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OneDrive\Рабочий стол\NAVIGATION\"/>
    </mc:Choice>
  </mc:AlternateContent>
  <xr:revisionPtr revIDLastSave="0" documentId="13_ncr:1_{1543FDCB-DE8B-4E60-8CDB-1F6BBB1B07D0}" xr6:coauthVersionLast="47" xr6:coauthVersionMax="47" xr10:uidLastSave="{00000000-0000-0000-0000-000000000000}"/>
  <bookViews>
    <workbookView xWindow="-98" yWindow="-98" windowWidth="21795" windowHeight="12975" xr2:uid="{D048B480-4AFE-4234-81BF-6D464B785401}"/>
  </bookViews>
  <sheets>
    <sheet name="INSTRACTION" sheetId="2" r:id="rId1"/>
    <sheet name="BLEND SAMPLE" sheetId="1" r:id="rId2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E5" i="1"/>
  <c r="L2" i="1"/>
</calcChain>
</file>

<file path=xl/sharedStrings.xml><?xml version="1.0" encoding="utf-8"?>
<sst xmlns="http://schemas.openxmlformats.org/spreadsheetml/2006/main" count="22" uniqueCount="22">
  <si>
    <t>IFO 380 Density @15°C</t>
  </si>
  <si>
    <t>MGO Density @15°C</t>
  </si>
  <si>
    <t>BOTTLE CAPACITY</t>
  </si>
  <si>
    <t>NET MIX VOLUME (ml)</t>
  </si>
  <si>
    <t>MIXING TEMP   (°C)</t>
  </si>
  <si>
    <t>Safety Margin    (%)</t>
  </si>
  <si>
    <t>№</t>
  </si>
  <si>
    <t>FINAL DENSITY @15°C</t>
  </si>
  <si>
    <t>IFO 380 TO POUR (ml)</t>
  </si>
  <si>
    <t>MGO TO POUR (ml)</t>
  </si>
  <si>
    <t>SAMPLE</t>
  </si>
  <si>
    <t>SAMPLE FOR SURVEYOR</t>
  </si>
  <si>
    <t>1. Подготовка в Excel</t>
  </si>
  <si>
    <r>
      <t>1. Выбери бутылку:</t>
    </r>
    <r>
      <rPr>
        <sz val="11"/>
        <color theme="1"/>
        <rFont val="Calibri"/>
        <family val="2"/>
        <charset val="204"/>
        <scheme val="minor"/>
      </rPr>
      <t xml:space="preserve"> В колонке </t>
    </r>
    <r>
      <rPr>
        <b/>
        <sz val="11"/>
        <color theme="1"/>
        <rFont val="Calibri"/>
        <family val="2"/>
        <charset val="204"/>
        <scheme val="minor"/>
      </rPr>
      <t>B5</t>
    </r>
    <r>
      <rPr>
        <sz val="11"/>
        <color theme="1"/>
        <rFont val="Calibri"/>
        <family val="2"/>
        <charset val="204"/>
        <scheme val="minor"/>
      </rPr>
      <t xml:space="preserve"> (BOTTLE CAPACITY) выбери объем тары (500, 750 или 1000 мл).</t>
    </r>
  </si>
  <si>
    <r>
      <t>2. Проверь плотность:</t>
    </r>
    <r>
      <rPr>
        <sz val="11"/>
        <color theme="1"/>
        <rFont val="Calibri"/>
        <family val="2"/>
        <charset val="204"/>
        <scheme val="minor"/>
      </rPr>
      <t xml:space="preserve"> Убедись, что в ячейках </t>
    </r>
    <r>
      <rPr>
        <b/>
        <sz val="11"/>
        <color theme="1"/>
        <rFont val="Calibri"/>
        <family val="2"/>
        <charset val="204"/>
        <scheme val="minor"/>
      </rPr>
      <t>G5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>H5</t>
    </r>
    <r>
      <rPr>
        <sz val="11"/>
        <color theme="1"/>
        <rFont val="Calibri"/>
        <family val="2"/>
        <charset val="204"/>
        <scheme val="minor"/>
      </rPr>
      <t xml:space="preserve"> стоят актуальные плотности из сертификатов (IFO 380 и MGO).</t>
    </r>
  </si>
  <si>
    <r>
      <t>3. Запас (Safety Margin):</t>
    </r>
    <r>
      <rPr>
        <sz val="11"/>
        <color theme="1"/>
        <rFont val="Calibri"/>
        <family val="2"/>
        <charset val="204"/>
        <scheme val="minor"/>
      </rPr>
      <t xml:space="preserve"> В колонке </t>
    </r>
    <r>
      <rPr>
        <b/>
        <sz val="11"/>
        <color theme="1"/>
        <rFont val="Calibri"/>
        <family val="2"/>
        <charset val="204"/>
        <scheme val="minor"/>
      </rPr>
      <t>D5</t>
    </r>
    <r>
      <rPr>
        <sz val="11"/>
        <color theme="1"/>
        <rFont val="Calibri"/>
        <family val="2"/>
        <charset val="204"/>
        <scheme val="minor"/>
      </rPr>
      <t xml:space="preserve"> должно стоять </t>
    </r>
    <r>
      <rPr>
        <b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или </t>
    </r>
    <r>
      <rPr>
        <b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>. Это воздух, чтобы бутылку не разорвало!</t>
    </r>
  </si>
  <si>
    <r>
      <t>ВНИМАНИЕ:</t>
    </r>
    <r>
      <rPr>
        <i/>
        <sz val="11"/>
        <color rgb="FFFF0000"/>
        <rFont val="Calibri"/>
        <family val="2"/>
        <charset val="204"/>
        <scheme val="minor"/>
      </rPr>
      <t xml:space="preserve"> Все расчеты в таблице настроены на пропорцию </t>
    </r>
    <r>
      <rPr>
        <b/>
        <i/>
        <sz val="11"/>
        <color rgb="FFFF0000"/>
        <rFont val="Calibri"/>
        <family val="2"/>
        <charset val="204"/>
        <scheme val="minor"/>
      </rPr>
      <t>94% (Мазут) + 6% (Дизель)</t>
    </r>
    <r>
      <rPr>
        <i/>
        <sz val="11"/>
        <color rgb="FFFF0000"/>
        <rFont val="Calibri"/>
        <family val="2"/>
        <charset val="204"/>
        <scheme val="minor"/>
      </rPr>
      <t>. Не менять!</t>
    </r>
  </si>
  <si>
    <r>
      <t xml:space="preserve">Смотри на цифры в </t>
    </r>
    <r>
      <rPr>
        <b/>
        <sz val="11"/>
        <color theme="1"/>
        <rFont val="Calibri"/>
        <family val="2"/>
        <charset val="204"/>
        <scheme val="minor"/>
      </rPr>
      <t>синих</t>
    </r>
    <r>
      <rPr>
        <sz val="11"/>
        <color theme="1"/>
        <rFont val="Calibri"/>
        <family val="2"/>
        <charset val="204"/>
        <scheme val="minor"/>
      </rPr>
      <t xml:space="preserve"> колонках (</t>
    </r>
    <r>
      <rPr>
        <b/>
        <sz val="11"/>
        <color theme="1"/>
        <rFont val="Calibri"/>
        <family val="2"/>
        <charset val="204"/>
        <scheme val="minor"/>
      </rPr>
      <t>J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):</t>
    </r>
  </si>
  <si>
    <r>
      <t>ШАГ 1:</t>
    </r>
    <r>
      <rPr>
        <sz val="11"/>
        <color theme="1"/>
        <rFont val="Calibri"/>
        <family val="2"/>
        <charset val="204"/>
        <scheme val="minor"/>
      </rPr>
      <t xml:space="preserve"> Возьми мерный стакан. Налей в него мазут (IFO 380) ровно столько, сколько написано в колонке </t>
    </r>
    <r>
      <rPr>
        <b/>
        <sz val="11"/>
        <color theme="1"/>
        <rFont val="Calibri"/>
        <family val="2"/>
        <charset val="204"/>
        <scheme val="minor"/>
      </rPr>
      <t>J5</t>
    </r>
    <r>
      <rPr>
        <sz val="11"/>
        <color theme="1"/>
        <rFont val="Calibri"/>
        <family val="2"/>
        <charset val="204"/>
        <scheme val="minor"/>
      </rPr>
      <t xml:space="preserve"> (например, </t>
    </r>
    <r>
      <rPr>
        <b/>
        <sz val="11"/>
        <color theme="1"/>
        <rFont val="Calibri"/>
        <family val="2"/>
        <charset val="204"/>
        <scheme val="minor"/>
      </rPr>
      <t>456 мл</t>
    </r>
    <r>
      <rPr>
        <sz val="11"/>
        <color theme="1"/>
        <rFont val="Calibri"/>
        <family val="2"/>
        <charset val="204"/>
        <scheme val="minor"/>
      </rPr>
      <t>). Вылей в бутылку.</t>
    </r>
  </si>
  <si>
    <r>
      <t>ШАГ 2:</t>
    </r>
    <r>
      <rPr>
        <sz val="11"/>
        <color theme="1"/>
        <rFont val="Calibri"/>
        <family val="2"/>
        <charset val="204"/>
        <scheme val="minor"/>
      </rPr>
      <t xml:space="preserve"> Налей в мерный стакан дизель (MGO) столько, сколько написано в колонке </t>
    </r>
    <r>
      <rPr>
        <b/>
        <sz val="11"/>
        <color theme="1"/>
        <rFont val="Calibri"/>
        <family val="2"/>
        <charset val="204"/>
        <scheme val="minor"/>
      </rPr>
      <t>K5</t>
    </r>
    <r>
      <rPr>
        <sz val="11"/>
        <color theme="1"/>
        <rFont val="Calibri"/>
        <family val="2"/>
        <charset val="204"/>
        <scheme val="minor"/>
      </rPr>
      <t xml:space="preserve"> (например, </t>
    </r>
    <r>
      <rPr>
        <b/>
        <sz val="11"/>
        <color theme="1"/>
        <rFont val="Calibri"/>
        <family val="2"/>
        <charset val="204"/>
        <scheme val="minor"/>
      </rPr>
      <t>29 мл</t>
    </r>
    <r>
      <rPr>
        <sz val="11"/>
        <color theme="1"/>
        <rFont val="Calibri"/>
        <family val="2"/>
        <charset val="204"/>
        <scheme val="minor"/>
      </rPr>
      <t>). Добавь в ту же бутылку.</t>
    </r>
  </si>
  <si>
    <r>
      <t>ШАГ 3:</t>
    </r>
    <r>
      <rPr>
        <sz val="11"/>
        <color theme="1"/>
        <rFont val="Calibri"/>
        <family val="2"/>
        <charset val="204"/>
        <scheme val="minor"/>
      </rPr>
      <t xml:space="preserve"> Проверь — в бутылке должно остаться немного пустого места (воздуха). Это нормально!</t>
    </r>
  </si>
  <si>
    <t>2. Процесс  (Смешивание)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</si>
</sst>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b/>
      <sz val="13.5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/>
    <xf numFmtId="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164" fontId="1" fillId="0" borderId="10" xfId="0" applyNumberFormat="1" applyFont="1" applyBorder="1" applyAlignment="1">
      <alignment horizontal="center" vertical="center"/>
    </xf>
    <xf numFmtId="14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6A2C-7E80-4E0D-A223-4A192951D3F8}">
  <sheetPr>
    <tabColor rgb="FFC00000"/>
  </sheetPr>
  <dimension ref="B6:B25"/>
  <sheetViews>
    <sheetView tabSelected="1" workbookViewId="0">
      <selection activeCell="G18" sqref="G18"/>
    </sheetView>
  </sheetViews>
  <sheetFormatPr defaultRowHeight="14.25" x14ac:dyDescent="0.45"/>
  <sheetData>
    <row r="6" spans="2:2" x14ac:dyDescent="0.45">
      <c r="B6" s="28" t="s">
        <v>16</v>
      </c>
    </row>
    <row r="8" spans="2:2" ht="17.649999999999999" x14ac:dyDescent="0.45">
      <c r="B8" s="25" t="s">
        <v>12</v>
      </c>
    </row>
    <row r="9" spans="2:2" x14ac:dyDescent="0.45">
      <c r="B9" s="26"/>
    </row>
    <row r="10" spans="2:2" x14ac:dyDescent="0.45">
      <c r="B10" s="27" t="s">
        <v>13</v>
      </c>
    </row>
    <row r="11" spans="2:2" x14ac:dyDescent="0.45">
      <c r="B11" s="26"/>
    </row>
    <row r="12" spans="2:2" x14ac:dyDescent="0.45">
      <c r="B12" s="27" t="s">
        <v>14</v>
      </c>
    </row>
    <row r="13" spans="2:2" x14ac:dyDescent="0.45">
      <c r="B13" s="26"/>
    </row>
    <row r="14" spans="2:2" x14ac:dyDescent="0.45">
      <c r="B14" s="27" t="s">
        <v>15</v>
      </c>
    </row>
    <row r="17" spans="2:2" ht="17.649999999999999" x14ac:dyDescent="0.45">
      <c r="B17" s="25" t="s">
        <v>21</v>
      </c>
    </row>
    <row r="19" spans="2:2" x14ac:dyDescent="0.45">
      <c r="B19" t="s">
        <v>17</v>
      </c>
    </row>
    <row r="20" spans="2:2" x14ac:dyDescent="0.45">
      <c r="B20" s="26"/>
    </row>
    <row r="21" spans="2:2" x14ac:dyDescent="0.45">
      <c r="B21" s="27" t="s">
        <v>18</v>
      </c>
    </row>
    <row r="22" spans="2:2" x14ac:dyDescent="0.45">
      <c r="B22" s="26"/>
    </row>
    <row r="23" spans="2:2" x14ac:dyDescent="0.45">
      <c r="B23" s="27" t="s">
        <v>19</v>
      </c>
    </row>
    <row r="24" spans="2:2" x14ac:dyDescent="0.45">
      <c r="B24" s="26"/>
    </row>
    <row r="25" spans="2:2" x14ac:dyDescent="0.45">
      <c r="B25" s="2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0704-0FDF-4973-9B94-81930C1DD01C}">
  <sheetPr>
    <tabColor theme="4" tint="0.39997558519241921"/>
  </sheetPr>
  <dimension ref="A2:L19"/>
  <sheetViews>
    <sheetView workbookViewId="0">
      <selection activeCell="F15" sqref="F15"/>
    </sheetView>
  </sheetViews>
  <sheetFormatPr defaultRowHeight="14.25" x14ac:dyDescent="0.45"/>
  <cols>
    <col min="2" max="2" width="5.06640625" customWidth="1"/>
    <col min="3" max="3" width="10.06640625" customWidth="1"/>
    <col min="12" max="12" width="10.6640625" customWidth="1"/>
  </cols>
  <sheetData>
    <row r="2" spans="1:12" ht="14.35" customHeight="1" x14ac:dyDescent="0.5">
      <c r="A2" s="1"/>
      <c r="B2" s="1"/>
      <c r="C2" s="1"/>
      <c r="D2" s="1"/>
      <c r="E2" s="1"/>
      <c r="F2" s="24" t="s">
        <v>11</v>
      </c>
      <c r="G2" s="1"/>
      <c r="H2" s="1"/>
      <c r="I2" s="1"/>
      <c r="J2" s="1"/>
      <c r="K2" s="1"/>
      <c r="L2" s="23">
        <f ca="1">TODAY()</f>
        <v>46058</v>
      </c>
    </row>
    <row r="3" spans="1:12" ht="14.55" customHeight="1" thickBot="1" x14ac:dyDescent="0.5"/>
    <row r="4" spans="1:12" ht="45.5" customHeight="1" thickBot="1" x14ac:dyDescent="0.5">
      <c r="B4" s="2" t="s">
        <v>6</v>
      </c>
      <c r="C4" s="4" t="s">
        <v>2</v>
      </c>
      <c r="D4" s="4" t="s">
        <v>5</v>
      </c>
      <c r="E4" s="4" t="s">
        <v>3</v>
      </c>
      <c r="F4" s="4" t="s">
        <v>4</v>
      </c>
      <c r="G4" s="5" t="s">
        <v>0</v>
      </c>
      <c r="H4" s="5" t="s">
        <v>1</v>
      </c>
      <c r="I4" s="6" t="s">
        <v>7</v>
      </c>
      <c r="J4" s="7" t="s">
        <v>8</v>
      </c>
      <c r="K4" s="7" t="s">
        <v>9</v>
      </c>
      <c r="L4" s="8" t="s">
        <v>10</v>
      </c>
    </row>
    <row r="5" spans="1:12" ht="14.55" customHeight="1" x14ac:dyDescent="0.45">
      <c r="B5" s="9">
        <v>1</v>
      </c>
      <c r="C5" s="19">
        <v>500</v>
      </c>
      <c r="D5" s="10">
        <v>3</v>
      </c>
      <c r="E5" s="19">
        <f>B5*(1-D5/100)</f>
        <v>0.97</v>
      </c>
      <c r="F5" s="10">
        <v>45</v>
      </c>
      <c r="G5" s="22">
        <v>0.97</v>
      </c>
      <c r="H5" s="10">
        <v>0.84550000000000003</v>
      </c>
      <c r="I5" s="19">
        <f>(G5*0.94)+(H5*0.06)</f>
        <v>0.96252999999999989</v>
      </c>
      <c r="J5" s="10">
        <f>E5*0.94</f>
        <v>0.91179999999999994</v>
      </c>
      <c r="K5" s="19">
        <f>E5*0.06</f>
        <v>5.8199999999999995E-2</v>
      </c>
      <c r="L5" s="11">
        <v>500</v>
      </c>
    </row>
    <row r="6" spans="1:12" ht="14.35" customHeight="1" x14ac:dyDescent="0.45">
      <c r="B6" s="12"/>
      <c r="C6" s="20"/>
      <c r="D6" s="13"/>
      <c r="E6" s="20"/>
      <c r="F6" s="13"/>
      <c r="G6" s="20"/>
      <c r="H6" s="13"/>
      <c r="I6" s="20"/>
      <c r="J6" s="13"/>
      <c r="K6" s="20"/>
      <c r="L6" s="14">
        <v>750</v>
      </c>
    </row>
    <row r="7" spans="1:12" x14ac:dyDescent="0.45">
      <c r="B7" s="12"/>
      <c r="C7" s="20"/>
      <c r="D7" s="13"/>
      <c r="E7" s="20"/>
      <c r="F7" s="13"/>
      <c r="G7" s="20"/>
      <c r="H7" s="13"/>
      <c r="I7" s="20"/>
      <c r="J7" s="13"/>
      <c r="K7" s="20"/>
      <c r="L7" s="14">
        <v>1000</v>
      </c>
    </row>
    <row r="8" spans="1:12" x14ac:dyDescent="0.45">
      <c r="B8" s="12"/>
      <c r="C8" s="20"/>
      <c r="D8" s="13"/>
      <c r="E8" s="20"/>
      <c r="F8" s="13"/>
      <c r="G8" s="20"/>
      <c r="H8" s="13"/>
      <c r="I8" s="20"/>
      <c r="J8" s="13"/>
      <c r="K8" s="20"/>
      <c r="L8" s="15">
        <v>1250</v>
      </c>
    </row>
    <row r="9" spans="1:12" x14ac:dyDescent="0.45">
      <c r="B9" s="12"/>
      <c r="C9" s="20"/>
      <c r="D9" s="13"/>
      <c r="E9" s="20"/>
      <c r="F9" s="13"/>
      <c r="G9" s="20"/>
      <c r="H9" s="13"/>
      <c r="I9" s="20"/>
      <c r="J9" s="13"/>
      <c r="K9" s="20"/>
      <c r="L9" s="15">
        <v>1500</v>
      </c>
    </row>
    <row r="10" spans="1:12" x14ac:dyDescent="0.45">
      <c r="B10" s="12"/>
      <c r="C10" s="20"/>
      <c r="D10" s="13"/>
      <c r="E10" s="20"/>
      <c r="F10" s="13"/>
      <c r="G10" s="20"/>
      <c r="H10" s="13"/>
      <c r="I10" s="20"/>
      <c r="J10" s="13"/>
      <c r="K10" s="20"/>
      <c r="L10" s="14">
        <v>2000</v>
      </c>
    </row>
    <row r="11" spans="1:12" ht="14.65" thickBot="1" x14ac:dyDescent="0.5">
      <c r="B11" s="16"/>
      <c r="C11" s="21"/>
      <c r="D11" s="17"/>
      <c r="E11" s="21"/>
      <c r="F11" s="17"/>
      <c r="G11" s="21"/>
      <c r="H11" s="17"/>
      <c r="I11" s="21"/>
      <c r="J11" s="17"/>
      <c r="K11" s="21"/>
      <c r="L11" s="18"/>
    </row>
    <row r="12" spans="1:12" x14ac:dyDescent="0.45"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45"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45"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45">
      <c r="B15" s="1"/>
      <c r="C15" s="1"/>
      <c r="D15" s="1"/>
      <c r="F15" s="1"/>
      <c r="G15" s="1"/>
      <c r="H15" s="1"/>
      <c r="I15" s="1"/>
      <c r="J15" s="1"/>
      <c r="K15" s="1"/>
      <c r="L15" s="1"/>
    </row>
    <row r="16" spans="1:12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dataValidations count="1">
    <dataValidation type="list" allowBlank="1" showInputMessage="1" showErrorMessage="1" sqref="C5" xr:uid="{3859DDE8-EEFC-40C5-BBB2-01B84EADF661}">
      <formula1>$L$5:$L$10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INSTRACTION</vt:lpstr>
      <vt:lpstr>BLEND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2026-02-05T17:07:33Z</dcterms:created>
  <dcterms:modified xsi:type="dcterms:W3CDTF">2026-02-05T19:33:18Z</dcterms:modified>
</cp:coreProperties>
</file>