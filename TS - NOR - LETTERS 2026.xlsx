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E:\A TOP OFFICER'S 2021\FILE MASTER\LETTER OF PROTESTS SUPER\"/>
    </mc:Choice>
  </mc:AlternateContent>
  <xr:revisionPtr revIDLastSave="0" documentId="13_ncr:1_{30B5D8E2-E3F2-4FA7-B9F4-A5F5D6D52E7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TIME SHEET" sheetId="36" r:id="rId1"/>
    <sheet name="TIME SHEET №1" sheetId="37" r:id="rId2"/>
    <sheet name="TIME SHEET №2 " sheetId="38" r:id="rId3"/>
    <sheet name="TIME SHEET №3" sheetId="53" r:id="rId4"/>
    <sheet name="TIME SHEET №4 " sheetId="59" r:id="rId5"/>
    <sheet name="TIME SHEET №5 " sheetId="60" r:id="rId6"/>
    <sheet name="TIME SHEET №6 " sheetId="61" r:id="rId7"/>
    <sheet name="TIME SHEET №7" sheetId="33" r:id="rId8"/>
    <sheet name="NOR  BLANK " sheetId="56" r:id="rId9"/>
    <sheet name="RE - NOR  BLANK" sheetId="54" r:id="rId10"/>
    <sheet name="NOR " sheetId="2" r:id="rId11"/>
    <sheet name=" NOR 1" sheetId="1" r:id="rId12"/>
    <sheet name="NOR re- tendering 2" sheetId="4" r:id="rId13"/>
    <sheet name=" NOR re-tendering 3" sheetId="26" r:id="rId14"/>
    <sheet name=" NOR  4 TORM" sheetId="27" r:id="rId15"/>
    <sheet name=" NOR Re-tend 5TORM " sheetId="28" r:id="rId16"/>
    <sheet name="LETTER OF Authorization 6 TORM" sheetId="29" r:id="rId17"/>
    <sheet name="NOTICE 7 TORM" sheetId="30" r:id="rId18"/>
    <sheet name="LETTER OF PROTEST 8 TORM" sheetId="31" r:id="rId19"/>
    <sheet name="CARGO RECEIPT 9 TORM" sheetId="55" r:id="rId20"/>
    <sheet name="CARGO RECEIPT 10" sheetId="5" r:id="rId21"/>
    <sheet name="LETTER №1" sheetId="3" r:id="rId22"/>
    <sheet name="LETTER №2" sheetId="6" r:id="rId23"/>
    <sheet name="LETTER №3" sheetId="8" r:id="rId24"/>
    <sheet name="LETTER №4" sheetId="7" r:id="rId25"/>
    <sheet name="LETTER №5" sheetId="9" r:id="rId26"/>
    <sheet name="LETTER №6 " sheetId="11" r:id="rId27"/>
    <sheet name="LETTER №7" sheetId="12" r:id="rId28"/>
    <sheet name="LETTER Notice of readiness №8 " sheetId="13" r:id="rId29"/>
    <sheet name="LETTER №9" sheetId="14" r:id="rId30"/>
    <sheet name="LETTER Slow loading rate №10" sheetId="15" r:id="rId31"/>
    <sheet name="LETTER №11" sheetId="16" r:id="rId32"/>
    <sheet name="LETTER Water in cargo №12 " sheetId="17" r:id="rId33"/>
    <sheet name="LETTER MSDS №13" sheetId="18" r:id="rId34"/>
    <sheet name="LETTER Shore descripany №14 " sheetId="19" r:id="rId35"/>
    <sheet name="LETTER Dif quantity №15" sheetId="21" r:id="rId36"/>
    <sheet name="LETTER Cargo quantity dis №16 " sheetId="22" r:id="rId37"/>
    <sheet name="LETTER №17" sheetId="23" r:id="rId38"/>
    <sheet name="LETTER №18" sheetId="24" r:id="rId39"/>
    <sheet name="LETTER №19 " sheetId="25" r:id="rId40"/>
    <sheet name="LETTER REFUSAL №20 " sheetId="32" r:id="rId41"/>
    <sheet name="LETTER DEMURRAGE №21" sheetId="34" r:id="rId42"/>
    <sheet name="LETTER Same hose all №22" sheetId="35" r:id="rId43"/>
    <sheet name="LETTER Sample not received  " sheetId="39" r:id="rId44"/>
    <sheet name="LETTER DELAY №24" sheetId="40" r:id="rId45"/>
    <sheet name="LETTER Bills of Loading №25" sheetId="41" r:id="rId46"/>
    <sheet name="LETTER Slow Discharge №26" sheetId="42" r:id="rId47"/>
    <sheet name="LETTER Cargo figures in ter 27" sheetId="43" r:id="rId48"/>
    <sheet name="LETTER Cargo quantity reque 28" sheetId="44" r:id="rId49"/>
    <sheet name="LETTER Cargo samples №29 " sheetId="45" r:id="rId50"/>
    <sheet name="LETTER Free pratique №30 " sheetId="46" r:id="rId51"/>
    <sheet name="LETTER NON DELIVERY №31" sheetId="47" r:id="rId52"/>
    <sheet name="LETTER LOW RATE №32" sheetId="48" r:id="rId53"/>
    <sheet name="LETTER Shore stop №33" sheetId="49" r:id="rId54"/>
    <sheet name="LETTER Difference №34" sheetId="50" r:id="rId55"/>
    <sheet name="LETTER Not Signed Doc №35" sheetId="51" r:id="rId56"/>
    <sheet name="LETTER High back pressure № 36" sheetId="52" r:id="rId57"/>
    <sheet name="LETTER Manifold pressure №3" sheetId="58" r:id="rId58"/>
    <sheet name="LETTER Calculation №38" sheetId="10" r:id="rId59"/>
    <sheet name="Лист1" sheetId="20" r:id="rId60"/>
  </sheets>
  <externalReferences>
    <externalReference r:id="rId61"/>
  </externalReferences>
  <definedNames>
    <definedName name="_xlnm.Print_Area" localSheetId="14">' NOR  4 TORM'!$A$1:$J$49</definedName>
    <definedName name="_xlnm.Print_Area" localSheetId="15">' NOR Re-tend 5TORM '!$A$1:$J$49</definedName>
    <definedName name="_xlnm.Print_Area" localSheetId="13">' NOR re-tendering 3'!$A$1:$J$49</definedName>
    <definedName name="_xlnm.Print_Area" localSheetId="20">'CARGO RECEIPT 10'!$A$1:$J$49</definedName>
    <definedName name="_xlnm.Print_Area" localSheetId="19">'CARGO RECEIPT 9 TORM'!$A$1:$J$49</definedName>
    <definedName name="_xlnm.Print_Area" localSheetId="45">'LETTER Bills of Loading №25'!$A$1:$J$50</definedName>
    <definedName name="_xlnm.Print_Area" localSheetId="58">'LETTER Calculation №38'!$A$1:$J$51</definedName>
    <definedName name="_xlnm.Print_Area" localSheetId="47">'LETTER Cargo figures in ter 27'!$A$1:$J$50</definedName>
    <definedName name="_xlnm.Print_Area" localSheetId="36">'LETTER Cargo quantity dis №16 '!$A$1:$J$51</definedName>
    <definedName name="_xlnm.Print_Area" localSheetId="48">'LETTER Cargo quantity reque 28'!$A$1:$J$50</definedName>
    <definedName name="_xlnm.Print_Area" localSheetId="49">'LETTER Cargo samples №29 '!$A$1:$J$50</definedName>
    <definedName name="_xlnm.Print_Area" localSheetId="44">'LETTER DELAY №24'!$A$1:$J$50</definedName>
    <definedName name="_xlnm.Print_Area" localSheetId="41">'LETTER DEMURRAGE №21'!$A$1:$J$50</definedName>
    <definedName name="_xlnm.Print_Area" localSheetId="35">'LETTER Dif quantity №15'!$A$1:$J$50</definedName>
    <definedName name="_xlnm.Print_Area" localSheetId="54">'LETTER Difference №34'!$A$1:$J$50</definedName>
    <definedName name="_xlnm.Print_Area" localSheetId="50">'LETTER Free pratique №30 '!$A$1:$J$50</definedName>
    <definedName name="_xlnm.Print_Area" localSheetId="56">'LETTER High back pressure № 36'!$A$1:$J$51</definedName>
    <definedName name="_xlnm.Print_Area" localSheetId="52">'LETTER LOW RATE №32'!$A$1:$J$50</definedName>
    <definedName name="_xlnm.Print_Area" localSheetId="57">'LETTER Manifold pressure №3'!$A$1:$J$51</definedName>
    <definedName name="_xlnm.Print_Area" localSheetId="33">'LETTER MSDS №13'!$A$1:$J$50</definedName>
    <definedName name="_xlnm.Print_Area" localSheetId="51">'LETTER NON DELIVERY №31'!$A$1:$J$50</definedName>
    <definedName name="_xlnm.Print_Area" localSheetId="55">'LETTER Not Signed Doc №35'!$A$1:$J$50</definedName>
    <definedName name="_xlnm.Print_Area" localSheetId="28">'LETTER Notice of readiness №8 '!$A$1:$J$50</definedName>
    <definedName name="_xlnm.Print_Area" localSheetId="21">'LETTER №1'!$A$1:$J$50</definedName>
    <definedName name="_xlnm.Print_Area" localSheetId="31">'LETTER №11'!$A$1:$J$50</definedName>
    <definedName name="_xlnm.Print_Area" localSheetId="37">'LETTER №17'!$A$1:$J$52</definedName>
    <definedName name="_xlnm.Print_Area" localSheetId="38">'LETTER №18'!$A$1:$J$50</definedName>
    <definedName name="_xlnm.Print_Area" localSheetId="39">'LETTER №19 '!$A$1:$J$50</definedName>
    <definedName name="_xlnm.Print_Area" localSheetId="22">'LETTER №2'!$A$1:$J$50</definedName>
    <definedName name="_xlnm.Print_Area" localSheetId="23">'LETTER №3'!$A$1:$J$50</definedName>
    <definedName name="_xlnm.Print_Area" localSheetId="24">'LETTER №4'!$A$1:$J$50</definedName>
    <definedName name="_xlnm.Print_Area" localSheetId="25">'LETTER №5'!$A$1:$J$50</definedName>
    <definedName name="_xlnm.Print_Area" localSheetId="26">'LETTER №6 '!$A$1:$J$50</definedName>
    <definedName name="_xlnm.Print_Area" localSheetId="27">'LETTER №7'!$A$1:$J$50</definedName>
    <definedName name="_xlnm.Print_Area" localSheetId="29">'LETTER №9'!$A$1:$J$48</definedName>
    <definedName name="_xlnm.Print_Area" localSheetId="16">'LETTER OF Authorization 6 TORM'!$A$1:$J$48</definedName>
    <definedName name="_xlnm.Print_Area" localSheetId="18">'LETTER OF PROTEST 8 TORM'!$A$1:$J$49</definedName>
    <definedName name="_xlnm.Print_Area" localSheetId="40">'LETTER REFUSAL №20 '!$A$1:$J$50</definedName>
    <definedName name="_xlnm.Print_Area" localSheetId="42">'LETTER Same hose all №22'!$A$1:$J$50</definedName>
    <definedName name="_xlnm.Print_Area" localSheetId="43">'LETTER Sample not received  '!$A$1:$J$50</definedName>
    <definedName name="_xlnm.Print_Area" localSheetId="34">'LETTER Shore descripany №14 '!$A$1:$J$50</definedName>
    <definedName name="_xlnm.Print_Area" localSheetId="53">'LETTER Shore stop №33'!$A$1:$J$50</definedName>
    <definedName name="_xlnm.Print_Area" localSheetId="46">'LETTER Slow Discharge №26'!$A$1:$J$50</definedName>
    <definedName name="_xlnm.Print_Area" localSheetId="30">'LETTER Slow loading rate №10'!$A$1:$J$49</definedName>
    <definedName name="_xlnm.Print_Area" localSheetId="32">'LETTER Water in cargo №12 '!$A$1:$J$50</definedName>
    <definedName name="_xlnm.Print_Area" localSheetId="12">'NOR re- tendering 2'!$A$1:$J$49</definedName>
    <definedName name="_xlnm.Print_Area" localSheetId="17">'NOTICE 7 TORM'!$A$1:$J$48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61" l="1"/>
  <c r="B6" i="61"/>
  <c r="I5" i="61"/>
  <c r="B5" i="61"/>
  <c r="A1" i="61"/>
  <c r="C47" i="51" l="1"/>
  <c r="C47" i="50" l="1"/>
  <c r="C47" i="49"/>
  <c r="C47" i="48"/>
  <c r="C47" i="47"/>
  <c r="C47" i="46"/>
  <c r="C47" i="45"/>
  <c r="C47" i="44" l="1"/>
  <c r="C47" i="43"/>
  <c r="C47" i="42"/>
  <c r="C47" i="41"/>
  <c r="G47" i="41" s="1"/>
  <c r="C47" i="40"/>
  <c r="G47" i="40" s="1"/>
  <c r="C47" i="39"/>
  <c r="G47" i="39" s="1"/>
  <c r="C47" i="35" l="1"/>
  <c r="G47" i="35" s="1"/>
  <c r="C47" i="34"/>
  <c r="G47" i="34" s="1"/>
  <c r="C47" i="32" l="1"/>
  <c r="G47" i="32" s="1"/>
  <c r="I28" i="26" l="1"/>
  <c r="H26" i="26"/>
  <c r="F20" i="26"/>
  <c r="H14" i="26"/>
  <c r="H6" i="26"/>
  <c r="C47" i="25" l="1"/>
  <c r="G47" i="25" s="1"/>
  <c r="C47" i="24"/>
  <c r="G47" i="24" s="1"/>
  <c r="C49" i="23"/>
  <c r="G49" i="23" s="1"/>
  <c r="C48" i="22" l="1"/>
  <c r="G48" i="22" s="1"/>
  <c r="H27" i="22"/>
  <c r="H28" i="22" s="1"/>
  <c r="E29" i="21"/>
  <c r="D29" i="21"/>
  <c r="H29" i="21" s="1"/>
  <c r="C29" i="21"/>
  <c r="H28" i="21"/>
  <c r="F28" i="21"/>
  <c r="H27" i="21"/>
  <c r="G27" i="21"/>
  <c r="F27" i="21"/>
  <c r="H26" i="21"/>
  <c r="G26" i="21"/>
  <c r="F26" i="21"/>
  <c r="H25" i="21"/>
  <c r="G25" i="21"/>
  <c r="F25" i="21"/>
  <c r="H24" i="21"/>
  <c r="G24" i="21"/>
  <c r="F24" i="21"/>
  <c r="H23" i="21"/>
  <c r="G23" i="21"/>
  <c r="F23" i="21"/>
  <c r="H22" i="21"/>
  <c r="F22" i="21"/>
  <c r="G22" i="21" s="1"/>
  <c r="G29" i="21" s="1"/>
  <c r="F29" i="21" l="1"/>
  <c r="H26" i="19" l="1"/>
  <c r="H27" i="19" s="1"/>
  <c r="F26" i="19"/>
  <c r="F27" i="19" s="1"/>
  <c r="D26" i="19"/>
  <c r="D27" i="19" s="1"/>
  <c r="H5" i="1" l="1"/>
  <c r="H5" i="2"/>
  <c r="H6" i="4"/>
</calcChain>
</file>

<file path=xl/sharedStrings.xml><?xml version="1.0" encoding="utf-8"?>
<sst xmlns="http://schemas.openxmlformats.org/spreadsheetml/2006/main" count="1847" uniqueCount="892">
  <si>
    <t>NOTICE OF READINESS</t>
  </si>
  <si>
    <t>Date:</t>
  </si>
  <si>
    <t>To:</t>
  </si>
  <si>
    <t>M/T</t>
  </si>
  <si>
    <t>Dear Sirs,</t>
  </si>
  <si>
    <t>I, Master of the M/T</t>
  </si>
  <si>
    <t>, hereby inform you</t>
  </si>
  <si>
    <t xml:space="preserve"> on the</t>
  </si>
  <si>
    <t>at</t>
  </si>
  <si>
    <t>Your faithfully,</t>
  </si>
  <si>
    <t>Master</t>
  </si>
  <si>
    <t>ACCEPTED/RECEIVED BY</t>
  </si>
  <si>
    <t>DATE / TIME:</t>
  </si>
  <si>
    <t>TAMANSKIY</t>
  </si>
  <si>
    <t>Port:</t>
  </si>
  <si>
    <t>12;00 LT</t>
  </si>
  <si>
    <t>TO WHOM IT MAY CONCERN</t>
  </si>
  <si>
    <t>her nominated cargo grade of : Crude Sunflowerseed Oil 2425.663 mt</t>
  </si>
  <si>
    <t>according with the terms and conditions of the Charter Party.</t>
  </si>
  <si>
    <t>SIGNATURE:</t>
  </si>
  <si>
    <t>that my vessel arrived on the Roads/Berthed at</t>
  </si>
  <si>
    <t>Re-tendering</t>
  </si>
  <si>
    <t>With reference to my original tendered " Notice of Readiness " dated: 12.07.2019</t>
  </si>
  <si>
    <t>at 09:00 hrs local time. I hereby re-tender " Notice of Readiness "</t>
  </si>
  <si>
    <t>at the following location:</t>
  </si>
  <si>
    <t>at 09:00 local time on the: 12.07.2019</t>
  </si>
  <si>
    <t>without pre-judice to my original tendered "Notice of Readiness" and as in accordance with instructions</t>
  </si>
  <si>
    <t>received from Operators of this vessel.</t>
  </si>
  <si>
    <t>My vessel is in all respects ready to commence loading/discharging her nominated</t>
  </si>
  <si>
    <t>MBTE 23456 mt</t>
  </si>
  <si>
    <t>in accordance with the Terms and Conditions of the Charter Paty date 12.06.2019</t>
  </si>
  <si>
    <t>Kindly acknowledge receipt/acceptance of the Notice of Readiness by signing below</t>
  </si>
  <si>
    <t>and returning duplicate copies.</t>
  </si>
  <si>
    <t xml:space="preserve">                   (without pre-judice to the original tendered notice)</t>
  </si>
  <si>
    <t xml:space="preserve">                                  /Orlov P./</t>
  </si>
  <si>
    <t>ODESSA / UKRAINE</t>
  </si>
  <si>
    <r>
      <t xml:space="preserve">hours and is in all respect ready to </t>
    </r>
    <r>
      <rPr>
        <b/>
        <sz val="10"/>
        <rFont val="Times New Roman"/>
        <family val="1"/>
        <charset val="204"/>
      </rPr>
      <t>Load</t>
    </r>
    <r>
      <rPr>
        <sz val="10"/>
        <rFont val="Times New Roman"/>
        <family val="1"/>
      </rPr>
      <t xml:space="preserve"> /</t>
    </r>
    <r>
      <rPr>
        <b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Discharge</t>
    </r>
  </si>
  <si>
    <t>Odessa / Ukraine</t>
  </si>
  <si>
    <t xml:space="preserve">With reference to my original tendered "Notice of Readiness" dated: </t>
  </si>
  <si>
    <t>date</t>
  </si>
  <si>
    <t xml:space="preserve">                 (without pre-judice to the original tendered notice)</t>
  </si>
  <si>
    <t>hrs</t>
  </si>
  <si>
    <t xml:space="preserve">local time. I hereby re-tender "Notice of Readiness" </t>
  </si>
  <si>
    <t>ODESSA</t>
  </si>
  <si>
    <t xml:space="preserve">local time on the </t>
  </si>
  <si>
    <t>without pre-judice to my original tendered "Notice of Readiness" and as in accordance</t>
  </si>
  <si>
    <t>with instructions received from the Operators of this vessel.</t>
  </si>
  <si>
    <t xml:space="preserve">My vessel is in all respects ready to commence loading her nominated cargo grade and </t>
  </si>
  <si>
    <t>quantity of:</t>
  </si>
  <si>
    <t>Quantity / Grade</t>
  </si>
  <si>
    <t>on the</t>
  </si>
  <si>
    <t>as in accordance with the Terms and Conditions of the Charter Party dated:</t>
  </si>
  <si>
    <t>Kindly acknowledge receipt / acceptance of the Notice of Readiness by signing below</t>
  </si>
  <si>
    <t>Port :</t>
  </si>
  <si>
    <t>To :</t>
  </si>
  <si>
    <t>M/T :</t>
  </si>
  <si>
    <t>Arrival Date:</t>
  </si>
  <si>
    <t>Arrival Time:</t>
  </si>
  <si>
    <t>To  :</t>
  </si>
  <si>
    <t xml:space="preserve">I herewith tender you the tanker / vessel " GUARDIANS " of which I am the Master as </t>
  </si>
  <si>
    <t>being ready in all respects to load her cargo of CRUDE DEGUMMED SOYA BEAN OIL - 3150,00mt.</t>
  </si>
  <si>
    <t>This Notice is tendered at</t>
  </si>
  <si>
    <t>12:00 / 24,11,2019</t>
  </si>
  <si>
    <t>(time / date)</t>
  </si>
  <si>
    <t>while the vessel at Underway</t>
  </si>
  <si>
    <t>All in accordance with the terms, conditions and exception of the Charter Party</t>
  </si>
  <si>
    <t xml:space="preserve">            / BERSHAVSKYY A./</t>
  </si>
  <si>
    <t>Master's Signature / Ship's Stamp</t>
  </si>
  <si>
    <t>SANTE INTERNATIONAL LTD</t>
  </si>
  <si>
    <t>ACCEPTED at</t>
  </si>
  <si>
    <t>Hours</t>
  </si>
  <si>
    <t>DAY / Month / Year :</t>
  </si>
  <si>
    <t>FOR CHARTERERS:</t>
  </si>
  <si>
    <t>(signature)</t>
  </si>
  <si>
    <r>
      <rPr>
        <b/>
        <sz val="10"/>
        <rFont val="Times New Roman"/>
        <family val="1"/>
        <charset val="204"/>
      </rPr>
      <t xml:space="preserve">M/T : </t>
    </r>
    <r>
      <rPr>
        <sz val="10"/>
        <rFont val="Times New Roman"/>
        <family val="1"/>
        <charset val="204"/>
      </rPr>
      <t xml:space="preserve"> "GUARDIANS"</t>
    </r>
  </si>
  <si>
    <t>FULL NAME IN BLOCK LETTERS :</t>
  </si>
  <si>
    <t>REPRESENTING :</t>
  </si>
  <si>
    <t>( Block Letters)</t>
  </si>
  <si>
    <r>
      <t>Port :</t>
    </r>
    <r>
      <rPr>
        <sz val="10"/>
        <rFont val="Times New Roman"/>
        <family val="1"/>
        <charset val="204"/>
      </rPr>
      <t xml:space="preserve"> DAKAR</t>
    </r>
  </si>
  <si>
    <t xml:space="preserve"> PORT :</t>
  </si>
  <si>
    <t>DATE :</t>
  </si>
  <si>
    <t xml:space="preserve"> TERMINAL :</t>
  </si>
  <si>
    <t xml:space="preserve">VOYAGE №. </t>
  </si>
  <si>
    <t>C/P DATED :</t>
  </si>
  <si>
    <r>
      <t xml:space="preserve">       </t>
    </r>
    <r>
      <rPr>
        <b/>
        <sz val="12"/>
        <color theme="1"/>
        <rFont val="Times New Roman"/>
        <family val="1"/>
        <charset val="204"/>
      </rPr>
      <t>L E T T E R    O F    P R O T E S T</t>
    </r>
  </si>
  <si>
    <t>RE:  ALLEGED QUANTITY OF CARGO REMAINED ON BOARD</t>
  </si>
  <si>
    <t xml:space="preserve">TO: </t>
  </si>
  <si>
    <t>DEAR SIRS,</t>
  </si>
  <si>
    <t xml:space="preserve">THIS IS TO INFORM YOU THAT I HAVE INSPECTED ALL VESSEL’S TANKS AND </t>
  </si>
  <si>
    <t>I HAVE FOUND THEM FULLY COMPLETED AND DRIED.</t>
  </si>
  <si>
    <t xml:space="preserve">REGARDING YOUR ALLEGATION THAT THE QUANTITY OF                      MT HAS  </t>
  </si>
  <si>
    <t xml:space="preserve">REMAINED IN TANKS IS NOT CORRECT BECAUSE VESSEL’S PUMPS ARE WORKING IN </t>
  </si>
  <si>
    <t xml:space="preserve">GOOD ORDER ,  ALSO VESSEL IS WITH PROPER TRIM , GAUGED QUANTITY CONCERNS </t>
  </si>
  <si>
    <t xml:space="preserve">SEDIMENTS  DUE TO  NATURE  OF  CARGO  WHICH  ARE  UNPUMPABLE  BY VESSEL’S </t>
  </si>
  <si>
    <t>MEANS .</t>
  </si>
  <si>
    <t xml:space="preserve">       THEREFORE I HOLD YOU RESPONSIBLE FOR ALL DELAYS , EXPENSES INCLUDING </t>
  </si>
  <si>
    <t xml:space="preserve">CLEANING  EXPENSES AND CONSEQUECES ARISING FROM YOUR REFUSAL TO SIGN </t>
  </si>
  <si>
    <t>THE DRYTANK CERTIFICATE WITHOUT REMARKS.</t>
  </si>
  <si>
    <t>I RESERVE THE RIGHT TO REVERT TO THIS MATTER AT FUTURE DATE.</t>
  </si>
  <si>
    <t xml:space="preserve">       I RESERVE THE RIGHT TO REVERT TO THIS MATTER AT FUTURE DATE.</t>
  </si>
  <si>
    <t xml:space="preserve">  YOURS FAITHFULLY,</t>
  </si>
  <si>
    <t xml:space="preserve">MASTER OF THE M/T </t>
  </si>
  <si>
    <t>SHORE REPRESENTATIVE (NAME &amp; SIGNATURE)</t>
  </si>
  <si>
    <t xml:space="preserve"> I BEG TO INFORM YOU THAT IN ACCORDANCE WITH C/P TERMS THE VESSEL </t>
  </si>
  <si>
    <t>IS TO BE LOADED ______________ OF CARGO _________________.</t>
  </si>
  <si>
    <t xml:space="preserve">                LOADING WAS STOPPED BY SHORE ORDER HAVING LOADED ______________.</t>
  </si>
  <si>
    <t xml:space="preserve">                I CONSIDER _______________ AS DEADFREIGHT AND HOLD YOU FULLY </t>
  </si>
  <si>
    <t xml:space="preserve">RESPONSIBLE  FOR ANY LOSSES OF MY OWNERS, CHARTERERS AND ALL PARTIES </t>
  </si>
  <si>
    <t>CONCERNED.</t>
  </si>
  <si>
    <t xml:space="preserve">TO PROTECT MYSELF, OWNERS, CHARTERERS AND ALL PARTIES </t>
  </si>
  <si>
    <t>CONCERNED I AM HOLDING YOU FULLY RESPONSIBLE FOR ANY CLAIMS ARISING</t>
  </si>
  <si>
    <t>THEREFROM.</t>
  </si>
  <si>
    <t xml:space="preserve"> I HEREBY WISH TO DRAW YOUR ATTENTION THAT ACCORDING TO YOUR</t>
  </si>
  <si>
    <t xml:space="preserve">INSTRUCTIONS SHORE STOPPED LOADING WITHOUT MY VESSEL HAVING LOADED A </t>
  </si>
  <si>
    <t xml:space="preserve"> FULL CARGO AS PER C/P TERMS AND VESSEL’S CAPABILITIES IN CONFIRMITY WITH</t>
  </si>
  <si>
    <t xml:space="preserve"> INTERNATIONAL LOAD LINE REGULATIONS.</t>
  </si>
  <si>
    <t>I HOLD YOU RESPONSIBLE FOR THE DEADFREIGHT INCURRED _____________</t>
  </si>
  <si>
    <t>AS PER ATTACHED DEADFREIGHT STATEMENT.</t>
  </si>
  <si>
    <t xml:space="preserve">               RE:  DEADFREIGHT</t>
  </si>
  <si>
    <t xml:space="preserve">               RE:  DEADFREIGHT PROTEST</t>
  </si>
  <si>
    <t xml:space="preserve">     D E A D F R E I G H T    S T A T E M E N T  </t>
  </si>
  <si>
    <t xml:space="preserve">THIS IS TO DRAW YOUR ATTENTION TO THE FACT THAT YOU DID NOT </t>
  </si>
  <si>
    <t xml:space="preserve">PROVIDE A FULL QUANTITY OF CARGO AS PER THE VESSEL’S CAPACITY IN </t>
  </si>
  <si>
    <t>ACCORDANCE INTERNATIONAL LOAD LINE REGULATIONS.</t>
  </si>
  <si>
    <t>PLEASE FIND HEREWITH DEADFREIGHT CALCULATION:</t>
  </si>
  <si>
    <t xml:space="preserve">LOAD ZONE APPLICABLE                                                                         </t>
  </si>
  <si>
    <t>■</t>
  </si>
  <si>
    <t xml:space="preserve">CORRESPONDING DWT                                                                             </t>
  </si>
  <si>
    <t xml:space="preserve">BUNKER, WATER, STORES                                                                       </t>
  </si>
  <si>
    <t xml:space="preserve">QUANTITY OF CARGO TO BE LOADED                                                  </t>
  </si>
  <si>
    <t>DEADFREIGHT</t>
  </si>
  <si>
    <t xml:space="preserve"> TO PROTECT MYSELF, OWNERS, CHARTERERS AND ALL PARTIES </t>
  </si>
  <si>
    <t>CONCERNED I AM HOLDING YOU FULLY RESPONSIBLE FOR DEADFREIGHT AND ANY</t>
  </si>
  <si>
    <t>CLAIMS ARISING THEREFROM.</t>
  </si>
  <si>
    <t xml:space="preserve"> RE: CARGO DISCREPANCY ________ MT AFTER DISCHARGING   </t>
  </si>
  <si>
    <t xml:space="preserve">       AS PER SHORE MEASUREMENTS</t>
  </si>
  <si>
    <t xml:space="preserve">REFERING TO YOUR NOTICE FOR AN ALLEGED CARGO SHORTAGE AS PER OUTTURN </t>
  </si>
  <si>
    <t xml:space="preserve">FIGURES OWNERS, CHARTERERS, MASTER OF THIS VESSEL REJECT ANY RESPONSIBILITY IN </t>
  </si>
  <si>
    <t>THIS RESPECT FOR THE FOLLOWING REASONS:</t>
  </si>
  <si>
    <t xml:space="preserve">VESSEL ARRIVED AT YOUR PORT WITH THE TOTAL QUANTITY OF CARGO ON BOARD AS PER </t>
  </si>
  <si>
    <t>ULLAGE MEASUREMENTS TAKEN IN PRESENCE OF YOUR REPRESENTATIVE;</t>
  </si>
  <si>
    <t xml:space="preserve"> AFTER COMPLETION OF DISCHARGING VESSEL RECEIVED A DRY TANK CERTIFICATE;</t>
  </si>
  <si>
    <t>AS PER C/P TERMS VESSEL IS RESPONSIBLE UP TO SHIPS’ MANIFOLDS;</t>
  </si>
  <si>
    <r>
      <rPr>
        <sz val="7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VESSEL DIDN’T TAKE PART IN SHORE MEASUREMENTS.</t>
    </r>
  </si>
  <si>
    <t xml:space="preserve"> THEREFORE VESSEL CAN NOT BE HOLD RESPONSIBLE FOR ANY CARGO LOSSES</t>
  </si>
  <si>
    <t>INCURRED AT SHORE INSTALLATION PLANT.</t>
  </si>
  <si>
    <t xml:space="preserve">  TO PROTECT MYSELF, OWNERS, CHARTERERS AND ALL PARTIES CONCERNED I AM </t>
  </si>
  <si>
    <t>HOLDING YOU FULLY RESPONSIBLE FOR ANY CLAIMS ARISING THEREFROM.</t>
  </si>
  <si>
    <t xml:space="preserve"> I RESERVE THE RIGHT TO REVERT TO THIS MATTER AT FUTURE DATE.</t>
  </si>
  <si>
    <t xml:space="preserve">              RE: REFUSAL TO SIGN A DRYTANK CERTIFICATE PRIOR LOADING</t>
  </si>
  <si>
    <t xml:space="preserve">THIS IS TO ADVISE YOU THAT YOUR REFUSAL TO SIGN A DRYTANK </t>
  </si>
  <si>
    <t xml:space="preserve">CERTIFICATE PRIOR LOADING IS COMPLETELY UNREASONABLE AND CONTRARY TO </t>
  </si>
  <si>
    <t>SHIPPING PRACTICE.</t>
  </si>
  <si>
    <t xml:space="preserve">YOU HAVE INSPECTED THE CARGO TANKS PRIOR THE LOADING IN </t>
  </si>
  <si>
    <t>PRESENCE OF MY CARGO OFFICER AND OBQ/RBQ CERTIFICATE WAS ISSUED BY YOU</t>
  </si>
  <si>
    <t>AND MY CARGO OFFICER WERE IT IS MENTIONED THAT CARGO TANKS ARE EMPTY.</t>
  </si>
  <si>
    <t xml:space="preserve">CONCERNED I AM HOLDING YOU FULLY RESPONSIBLE FOR ANY FUTURE CLAIMS </t>
  </si>
  <si>
    <t>ARISING THEREFROM.</t>
  </si>
  <si>
    <t xml:space="preserve">  I RESERVE THE RIGHT TO REVERT TO THIS MATTER AT FUTURE DATE.</t>
  </si>
  <si>
    <t xml:space="preserve">              RE:  BUTTERWORTHING AND/OR FLUSHING BOTTOMS AND FURTHER </t>
  </si>
  <si>
    <t xml:space="preserve">   DRAINING/STRIPPING OF TANKS</t>
  </si>
  <si>
    <t xml:space="preserve">I  HEREBY WISH TO DRAW YOUR ATTENTION THAT ON COMPLETION OF </t>
  </si>
  <si>
    <t xml:space="preserve">DISCHARGING MY VESSEL’S TANKS FOUND DRY AND WITHOUT CONTAINING ANY </t>
  </si>
  <si>
    <t xml:space="preserve">PUMPABLE CARGO . YOUR  INSTRUCTIONS VESSEL TO BUTTERWORTH AND FLUSH </t>
  </si>
  <si>
    <t xml:space="preserve">TANKS BOTTOMS AND TO  CARRY OUT ADDITIONAL STRIPPING DRAINING OF TANKS , </t>
  </si>
  <si>
    <t>ARE CONTRARY  C/P TERMS AND SHIPPING PRACTICE .</t>
  </si>
  <si>
    <t xml:space="preserve">IN LIGHT OF ABOVE AND IN ORDER TO AVOID DELAY AND EXPENSES  I AM </t>
  </si>
  <si>
    <r>
      <t xml:space="preserve">ARRANGING  </t>
    </r>
    <r>
      <rPr>
        <u/>
        <sz val="10"/>
        <color theme="1"/>
        <rFont val="Times New Roman"/>
        <family val="1"/>
        <charset val="204"/>
      </rPr>
      <t>UNDER  PROTEST</t>
    </r>
    <r>
      <rPr>
        <sz val="10"/>
        <color theme="1"/>
        <rFont val="Times New Roman"/>
        <family val="1"/>
        <charset val="204"/>
      </rPr>
      <t xml:space="preserve">  ABOVE OPERATION AND DISCHARGING SLOPS OF </t>
    </r>
  </si>
  <si>
    <t xml:space="preserve">WASH WATERS ASHORE.   ALL THE TIME AS EXTRA BUNKERS  CONSUMPTION WILL BE </t>
  </si>
  <si>
    <t>YOUR CHARTERERS ACCOUNT.</t>
  </si>
  <si>
    <t xml:space="preserve">TO PROTECT MYSELF, OWNERS ,CHARTERERS , AND ALL PARTIES CONCERNED I </t>
  </si>
  <si>
    <t xml:space="preserve">AM HOLDING  YOU FULLY RESPONSIBLE  FOR  DELAYS  , EXPENSES AND ANY FUTURE </t>
  </si>
  <si>
    <t>CLAIMS ARISING THEREFROM .</t>
  </si>
  <si>
    <t xml:space="preserve">THIS IS TO ADVISE YOU THAT MY VESSEL ARRIVED AT YOUR PORT ON </t>
  </si>
  <si>
    <t xml:space="preserve">___________ AT _______ LT AND AS PER MY NOTICE OF READINESS MY VESSEL IS </t>
  </si>
  <si>
    <t>READY IN ALL RESPECTS TO LOAD/DISCHARGE HER CARGO ON _________ AT ______ LT</t>
  </si>
  <si>
    <t>ABOUT WHAT YOU WERE INFORMED BY MY AGENT.</t>
  </si>
  <si>
    <t xml:space="preserve"> I SHOULD LIKE TO DRAW YOUR ATTENTION TO THE FACT THAT SHORE</t>
  </si>
  <si>
    <t>REPRESENTATIVE ACCEPTED/RECEIVED MY NOTICE OF READINESS ON ____________</t>
  </si>
  <si>
    <t>AT _______ LT.</t>
  </si>
  <si>
    <t xml:space="preserve">CONCERNED I AM HOLDING YOU FULLY RESPONSIBLE FOR ANY CLAIMS ARISING </t>
  </si>
  <si>
    <t xml:space="preserve">               RE:  NOTICE OF READINESS</t>
  </si>
  <si>
    <t xml:space="preserve">               RE:  SLOW LOADING RATE</t>
  </si>
  <si>
    <t xml:space="preserve"> THIS IS TO DRAW YOUR ATTENTION TO THE FOLLOWING FACTS:</t>
  </si>
  <si>
    <r>
      <rPr>
        <sz val="10"/>
        <color theme="1"/>
        <rFont val="Calibri"/>
        <family val="2"/>
        <charset val="204"/>
      </rPr>
      <t xml:space="preserve">̶  </t>
    </r>
    <r>
      <rPr>
        <sz val="10"/>
        <color theme="1"/>
        <rFont val="Times New Roman"/>
        <family val="1"/>
        <charset val="204"/>
      </rPr>
      <t>THE VESSEL IS EQUIPPED WITH THE ________ MANIFOLDS AND UNDER HER</t>
    </r>
  </si>
  <si>
    <t xml:space="preserve">  SPECIFICATION CAN RECEIVE THE CARGO WITH MAXIMUM LOADING RATE     </t>
  </si>
  <si>
    <t xml:space="preserve">  ___________ CUB M PER HOUR;</t>
  </si>
  <si>
    <r>
      <rPr>
        <sz val="10"/>
        <color theme="1"/>
        <rFont val="Calibri"/>
        <family val="2"/>
        <charset val="204"/>
      </rPr>
      <t xml:space="preserve">̶  </t>
    </r>
    <r>
      <rPr>
        <sz val="10"/>
        <color theme="1"/>
        <rFont val="Times New Roman"/>
        <family val="1"/>
        <charset val="204"/>
      </rPr>
      <t>YOU CONNECTED MY VESSEL BY _________ ONLY;</t>
    </r>
  </si>
  <si>
    <t>̶  THE LOADING WAS STOPPED _________  AND THE AVERAGE RATE WAS ________</t>
  </si>
  <si>
    <t xml:space="preserve">THIS IS TO INFORM YOU THAT VESSEL IS NOT ABLE TO UTILIZE HER </t>
  </si>
  <si>
    <t>MAXIMUM PUMPING CAPACITY BEING RESTRICTED DUE TO:</t>
  </si>
  <si>
    <t>1.</t>
  </si>
  <si>
    <t>2.</t>
  </si>
  <si>
    <t>3.</t>
  </si>
  <si>
    <t>4.</t>
  </si>
  <si>
    <t>5.</t>
  </si>
  <si>
    <t>THEREFEROM.</t>
  </si>
  <si>
    <t xml:space="preserve">               RE: UNPUMPABLE SEDIMENTS</t>
  </si>
  <si>
    <t xml:space="preserve">THIS IS TO INFORM YOU THAT IN SPITE  OF GOOD WORKING ORDER OF MY </t>
  </si>
  <si>
    <t>CARGO AND STRIPPING PUMPS UPON COMPLETION OF DISCHARGING  AND COW AND</t>
  </si>
  <si>
    <t xml:space="preserve">STRIPPING  OF TANKS DURING   ______   HOURS THERE WAS FOUND ABOUT  ___________   </t>
  </si>
  <si>
    <t>CBM OF UNPUMPABLE SEDIMENTS ABOARD.</t>
  </si>
  <si>
    <t xml:space="preserve">      THESE RESIDUES AROSE FROM PECULIAR PROPERTIES OF THE CARGO AND SEA</t>
  </si>
  <si>
    <t>WATER TEMPERATURES.</t>
  </si>
  <si>
    <t xml:space="preserve">      ALL ATTEMPTS OF THE VESSEL TO PUMP OUT ABOVE MENTIONED RESIDUES ON </t>
  </si>
  <si>
    <t>SHORE ARE UNEFFECTUAL.</t>
  </si>
  <si>
    <t xml:space="preserve">      TO DISCHARGE THE SEDIMENTS I CAN CLEAN TANKS USING HOT WATER, COLLECT </t>
  </si>
  <si>
    <t xml:space="preserve">THE SLOPS IN A SEPARATE TANK AND THEN PUMP OUT ON SHORE , OR DISSOLVE THEM </t>
  </si>
  <si>
    <t xml:space="preserve">BY MEANS OF KEROSINE , GASOIL , ETS. AND DISCHARGE THE MIXTURE ON SHORE . THIS </t>
  </si>
  <si>
    <t xml:space="preserve">WORK SHOULD BE DONE ON YOURS REQUEST AND FOR YOUR ACCOUNT AS  </t>
  </si>
  <si>
    <t>UNPROVIDED IN CHARTER PARTY.</t>
  </si>
  <si>
    <t xml:space="preserve">PLEASE  ADVISE  YOUR  DECISION .  </t>
  </si>
  <si>
    <t xml:space="preserve">  I HEREBY LODGE PROTEST ON BEHALF OF THE VESSEL’S OWNERS, </t>
  </si>
  <si>
    <t xml:space="preserve">OPERATORS, CHARTERERS AND ALL PARTIES CONCERNED AND HOLD YOU </t>
  </si>
  <si>
    <t>RESPONSIBLE IN RESPECTS OF THE AMOUNT OF FREE WATER _________ FOUND IN THE</t>
  </si>
  <si>
    <t>CARGO AFTER LOADING AND THE  INDICATIONS OF INHERANT WATER DETECTED</t>
  </si>
  <si>
    <t>DURING WATER DIPPINGS UPON COMPLETION OF LOADING.</t>
  </si>
  <si>
    <t>THIS WATER WAS DELIVERED FROM YOUR INSTALLATION (SEE PRELOADING</t>
  </si>
  <si>
    <t>INSPECTION CERTIFICATE) AND IT IS ANTICIPATED THAT WATER INHERANT WITHIN</t>
  </si>
  <si>
    <t>THE CARGO WILL DROP-OUT DURING THE PASSAGE AND THEREFORE I RESERVE THE</t>
  </si>
  <si>
    <t>RIGHT OF ALL ABOVE MENTIONED PARTIES TO REFER TO THIS MATTER AT A LATER</t>
  </si>
  <si>
    <t>DATE IN THE EVENT OF A CLAIM BEING MADE AGAINST THE VESSEL.</t>
  </si>
  <si>
    <t xml:space="preserve">               RE: WATER IN CARGO</t>
  </si>
  <si>
    <t xml:space="preserve">               RE: SAFETY DATA SHEET NON DELIVERY</t>
  </si>
  <si>
    <t xml:space="preserve">This is to inform you that your representative didn’t provide us with SAFETY DATA SHEET </t>
  </si>
  <si>
    <t>for cargo to be loaded before commencement of loading.</t>
  </si>
  <si>
    <t>Therefore, I have to lodge official protest and I have to hold you fully responsible for any</t>
  </si>
  <si>
    <t>losses and consequences which may arise hereby.</t>
  </si>
  <si>
    <t>I reserve the right to revert to the matter at a later date.</t>
  </si>
  <si>
    <t>FOR RECEIPT:</t>
  </si>
  <si>
    <t>This is to advise you that, I, Master of   M/V"MARU"</t>
  </si>
  <si>
    <t>I protest against the difference between the ships figure and that of the shore / bill  of lading figure.</t>
  </si>
  <si>
    <t>acting on behalf of my Owners, Charterers and Vessel, do protest in respect of  : SHORE DESCRIPANCY</t>
  </si>
  <si>
    <t>Grade:</t>
  </si>
  <si>
    <t>Cargo by Ships Calculation:</t>
  </si>
  <si>
    <t>Cargo by Shore / Bill of Lading:</t>
  </si>
  <si>
    <t>Quantity Difference:</t>
  </si>
  <si>
    <t>Percentage Difference:</t>
  </si>
  <si>
    <t xml:space="preserve">I, as master of the vessel </t>
  </si>
  <si>
    <t>MARU  on behalf of my Owners, Charterers and all interested parties</t>
  </si>
  <si>
    <t xml:space="preserve"> do hereby formally note protest for all delays and losses incurred arising out  of the said  matter</t>
  </si>
  <si>
    <t xml:space="preserve"> and further reserve the right to refer to this letter of protest at a later date, time and place convenient.</t>
  </si>
  <si>
    <t xml:space="preserve">               RE: DIFFERENCE IN QUANTITIES</t>
  </si>
  <si>
    <t>GRADE</t>
  </si>
  <si>
    <t xml:space="preserve">Nominated (MT-VAC) </t>
  </si>
  <si>
    <t>Ship's Figure (MT-VAC)</t>
  </si>
  <si>
    <t>B/L Figure (MT-VAC)</t>
  </si>
  <si>
    <t>Difference (% - including V.E.F.)</t>
  </si>
  <si>
    <t>TOTAL</t>
  </si>
  <si>
    <t xml:space="preserve">   Difference    (%)</t>
  </si>
  <si>
    <t xml:space="preserve">      Difference       (MT-VAC)</t>
  </si>
  <si>
    <t>On behalf of my Principals, Owners/Managers, and Charterers; I, Capt. J.D.F. Williams - Master of the M/T  "HAMBISA", hereby note protest in respect of differences between ship's and shore figures,</t>
  </si>
  <si>
    <t>MTB</t>
  </si>
  <si>
    <t>NOTE:</t>
  </si>
  <si>
    <t>1.) Ship's figures do not include VEF of:</t>
  </si>
  <si>
    <t>2.) Protest issued on UNCORRECTED figures.</t>
  </si>
  <si>
    <t>3.) Cargo loading stopped by shore.</t>
  </si>
  <si>
    <t xml:space="preserve">We acknowledge receipt of these grades only in the quantities as shown by the vessel's figures. </t>
  </si>
  <si>
    <t xml:space="preserve"> Accordingly, this letter of protest is lodged in lieu of endorsing the B/L's with the ship's figures, and the B/L's  must be</t>
  </si>
  <si>
    <t>taken only to acknowledge the shipment of the weight or quantity given in the ship's measurements on completion of loading.</t>
  </si>
  <si>
    <t>Kindly acknowledge receipt of this letter by signing below.</t>
  </si>
  <si>
    <t>Received by:</t>
  </si>
  <si>
    <t>Signed:</t>
  </si>
  <si>
    <t>On behalf of:</t>
  </si>
  <si>
    <t>Date/Time:</t>
  </si>
  <si>
    <t>Capt. O. Lyashenko</t>
  </si>
  <si>
    <t>MASTER</t>
  </si>
  <si>
    <t>LETTER OF PROTEST</t>
  </si>
  <si>
    <t>Name of Vessel :</t>
  </si>
  <si>
    <t>Voyage Number:</t>
  </si>
  <si>
    <t>Port/Berth:</t>
  </si>
  <si>
    <t>Time:</t>
  </si>
  <si>
    <t>Dear Sir,</t>
  </si>
  <si>
    <t xml:space="preserve"> </t>
  </si>
  <si>
    <t>This is to inform you that there is a discrepancy between bill of lading quantity and quantity</t>
  </si>
  <si>
    <t>received by Intan Premier described as follows:</t>
  </si>
  <si>
    <t>Product</t>
  </si>
  <si>
    <t>Bill of Lading Figure</t>
  </si>
  <si>
    <t>Ship's Figure</t>
  </si>
  <si>
    <t>Difference</t>
  </si>
  <si>
    <t>MT</t>
  </si>
  <si>
    <t>%</t>
  </si>
  <si>
    <t>The quantity measured on board by ship's officer/loading master/surveyor represents the only quantity</t>
  </si>
  <si>
    <t>actually discharged by the vessel.</t>
  </si>
  <si>
    <t>In view of above, on behalf of my Owners, Charterers, I hereby hold you responsible for any consequences</t>
  </si>
  <si>
    <t>arising therefrom and reserve the rights to refer this matter at a later date.</t>
  </si>
  <si>
    <t>Acknowledged Receipt by</t>
  </si>
  <si>
    <t>Sign:</t>
  </si>
  <si>
    <t>Name:</t>
  </si>
  <si>
    <t>Terminal:</t>
  </si>
  <si>
    <t xml:space="preserve">Date: </t>
  </si>
  <si>
    <t>TO LOADING MASTER OF:</t>
  </si>
  <si>
    <t xml:space="preserve">Please be advised that the above named vessel has encountered delay </t>
  </si>
  <si>
    <t>In commencement  of loading at your terminal due to terminal's reason.</t>
  </si>
  <si>
    <t>DETAILS AS FOLLOWS:</t>
  </si>
  <si>
    <t>TIME</t>
  </si>
  <si>
    <t>DATE  /</t>
  </si>
  <si>
    <t>In View of the above, I, Master of the above named vessel, on behalf of my Owners/Charteres and All Cocerned Parties,hereby Protest</t>
  </si>
  <si>
    <t xml:space="preserve">  there from and reserve the rights to extend the same at the time and place of convenience.</t>
  </si>
  <si>
    <t>against the delay in berthing at your good terminal and hold you fully responsible for the delay and the Consequences that may  arise</t>
  </si>
  <si>
    <t xml:space="preserve">    FOR STOPPAGE </t>
  </si>
  <si>
    <t>Date :</t>
  </si>
  <si>
    <t>Time :</t>
  </si>
  <si>
    <t xml:space="preserve">I, Master of M/T. INTAN PREMIER, hereby submit formal protest to you for the stoppage during </t>
  </si>
  <si>
    <t>loading Operation at your terminal as follows:</t>
  </si>
  <si>
    <t>TERMINAL REQUESTED TO SHIFT 4M FWD FOR U97 &amp;U98 ARM CONNECTION          12:20-12:35LT 28-AUG-14</t>
  </si>
  <si>
    <t>AWAITING U95 ARM DISCONNECTION                                                                                     11:30-12:20LT 28-AUG-14</t>
  </si>
  <si>
    <t>AWAITING TO RESUME LOADING DUE TO SHORE PUMP TRIP                                          17:35-18:00LT 28-AUG-14</t>
  </si>
  <si>
    <t>AWAITING U97 ARM DISCONNECTION  TO CONNECT TO U98                                           18:40-20:12LT 28-AUG-14</t>
  </si>
  <si>
    <t>I hereby, on behalf of the Owner/Charterer, hold you fully responsible for the delays, demurrage,</t>
  </si>
  <si>
    <t>consequential loss or damage arising therefrom.</t>
  </si>
  <si>
    <t xml:space="preserve">    FOR NO RECEIVED CARGO MSDS </t>
  </si>
  <si>
    <t>Please be advised that my vessel had loaded JET A-1 at your terminal At 14.FEB.2014.</t>
  </si>
  <si>
    <t>Before and during cargo operation, ship’s chief officer several times requested that to provide the cargo</t>
  </si>
  <si>
    <t xml:space="preserve"> MSDS thru your terminal loading master but did not supplied until departure.</t>
  </si>
  <si>
    <t>Even no received the MSDS, I have to sail so that may proceed to discharge port without delay.</t>
  </si>
  <si>
    <t xml:space="preserve">                     In view of above, on behalf of my Owners/Charterers, I hereby hold the rights to refer this matter at a later date.</t>
  </si>
  <si>
    <t xml:space="preserve">    FOR REFUSAL OF ACKNOWLEDGING L.O.P. ISSUED BY SHIP</t>
  </si>
  <si>
    <t xml:space="preserve">I have issued below listed Letter of Protest ( L.O.P ) on behalf of my </t>
  </si>
  <si>
    <t xml:space="preserve">owners/charterers to your terminal and requested your terminal to acknowledge </t>
  </si>
  <si>
    <t xml:space="preserve">receipt of the LOP by signing and stamping however your terminal refused to </t>
  </si>
  <si>
    <t>acknowledge /sign the Letter of Protest.</t>
  </si>
  <si>
    <t>List of Letter of Protest is as follows:</t>
  </si>
  <si>
    <t>1:  DELAY IN BERTHING</t>
  </si>
  <si>
    <t>2:  CARGO QUANTITY  DESCRIPANCY FOR  ALKYLATE</t>
  </si>
  <si>
    <t xml:space="preserve">In view of the above, I hereby, on behalf of owners/charterers, protest against your </t>
  </si>
  <si>
    <t xml:space="preserve">refusal to acknowledge receipt of the above listed Letter of Protest and reserve the </t>
  </si>
  <si>
    <t>right to refer to this matter at time and place of convenience.</t>
  </si>
  <si>
    <t>Voyage №.:</t>
  </si>
  <si>
    <t>Notice of Readiness</t>
  </si>
  <si>
    <t>To Messrs.:</t>
  </si>
  <si>
    <t>Port of :</t>
  </si>
  <si>
    <t>Termina:</t>
  </si>
  <si>
    <t>Vessel:</t>
  </si>
  <si>
    <t>Sirs,</t>
  </si>
  <si>
    <t>As Master of  the above stated vessel and on behalf of the Owners / Operators / Charterers,</t>
  </si>
  <si>
    <t>I hereby advise you that my vessel arrived on the roads of / berthed in the port of:</t>
  </si>
  <si>
    <t>at:</t>
  </si>
  <si>
    <t>hrs,local time on the:</t>
  </si>
  <si>
    <t>and is in all respects ready to commence loading / discharging of her nominated cargo - grade</t>
  </si>
  <si>
    <t>and - quantity of:</t>
  </si>
  <si>
    <t>/</t>
  </si>
  <si>
    <t>as in accordance with the Terms and Conditions of the current Charter Party date:</t>
  </si>
  <si>
    <t xml:space="preserve">Kindly acknowledge receipt / acceptance of this Notice of Readinnes by signing below and </t>
  </si>
  <si>
    <t>return duplicate copies.</t>
  </si>
  <si>
    <t>Yours Sincerely</t>
  </si>
  <si>
    <t>(Master / Agent)</t>
  </si>
  <si>
    <t>Received / accepted by:</t>
  </si>
  <si>
    <t>Name in blockletters:</t>
  </si>
  <si>
    <t>Time / Date:</t>
  </si>
  <si>
    <t>Re - tendered</t>
  </si>
  <si>
    <t>(without pre-judice to the original tendered notice)</t>
  </si>
  <si>
    <t>With reference to my original tendered "Notice of Readiness"date:</t>
  </si>
  <si>
    <t>hrs.Local time Ihereby re-tender "Notice of Readiness" at the following</t>
  </si>
  <si>
    <t>location:</t>
  </si>
  <si>
    <t>hrs.Local time on the:</t>
  </si>
  <si>
    <t>with instructions received from the Owners / Operators / Charterers of this vessel.</t>
  </si>
  <si>
    <t>My vesse is in all respects ready to commence loading / discharging her nominated</t>
  </si>
  <si>
    <t>cargo grade and - quantity of:</t>
  </si>
  <si>
    <t>as in accorddance with the  Terms and Conditions of the Charter Party date:</t>
  </si>
  <si>
    <t>Letter of Authorization</t>
  </si>
  <si>
    <t>To Agent.:</t>
  </si>
  <si>
    <t>As Master of the above stated vessel and behalf of the Owners / Operators, I hereby</t>
  </si>
  <si>
    <t>authorize you, as agent for my vessel , to sign the Bill(s) of Loading on my behalf and for</t>
  </si>
  <si>
    <t>the cargo consisting of:</t>
  </si>
  <si>
    <t>Quantity:</t>
  </si>
  <si>
    <t>mts.,</t>
  </si>
  <si>
    <t>loaded on board my vessel at the:</t>
  </si>
  <si>
    <t>port of:</t>
  </si>
  <si>
    <t>on the date of:</t>
  </si>
  <si>
    <t>The authorization is limited to the signing / releasing of the Bill(s) of Loading only when</t>
  </si>
  <si>
    <t>all details including the quantities and qualities have been approved by myself and / or</t>
  </si>
  <si>
    <t>the Ownerrs / Operators of my vessel.</t>
  </si>
  <si>
    <t>Received  by:</t>
  </si>
  <si>
    <t>Notice</t>
  </si>
  <si>
    <t>with reference to Bill(s) of Loading</t>
  </si>
  <si>
    <t>As Master of the above stated vessel and on behalf of the Owners / Operators, I hereby</t>
  </si>
  <si>
    <t>kindly requrest you as shipper of the nominated cargo to insert the following woding in</t>
  </si>
  <si>
    <t>all original Bill(s) of Loading :</t>
  </si>
  <si>
    <t>" All the Terms, Conditions, Liberties and Exemptions of the Charter</t>
  </si>
  <si>
    <t>Party including the Arbitration Clause are herewith incorporated as</t>
  </si>
  <si>
    <t>per Charter Party date :</t>
  </si>
  <si>
    <t>"</t>
  </si>
  <si>
    <t>The request is solely for the purpose of linking the original Bill(s) of Loading with the</t>
  </si>
  <si>
    <t>Terms and Conditions agreed in the present Charter Party.</t>
  </si>
  <si>
    <t>As per instructions received from the Owners / Operators, I am presently not allowed to sign</t>
  </si>
  <si>
    <t>any original Bill(s) of Loading if above stated wording is missing.</t>
  </si>
  <si>
    <t>Thanking you in advance.</t>
  </si>
  <si>
    <t>Letter of Protest</t>
  </si>
  <si>
    <t>Referens is made to the presented Bill(s) of Loading date :</t>
  </si>
  <si>
    <t>as well</t>
  </si>
  <si>
    <t>as to my " Notice with reference to Bill(s) of Loading " date:</t>
  </si>
  <si>
    <t>and</t>
  </si>
  <si>
    <t>presented to your representative on my vessel's arrival to this terminal. This notice</t>
  </si>
  <si>
    <t>concerns my request for you incorporate the wording:</t>
  </si>
  <si>
    <t>into all original Bill(s) of Loading.</t>
  </si>
  <si>
    <t>As seen in the presented Bill(s) of Loading,the stated wording is missing and as Master of above</t>
  </si>
  <si>
    <t>stated vessel and on behalf of the Owners /Operators, I hereby lodge protest against your refusal</t>
  </si>
  <si>
    <t>to incorporate the required wording.</t>
  </si>
  <si>
    <t>It is also noted that the presented Bill(s) of Loading contains the wording :</t>
  </si>
  <si>
    <t>" CLEAN ON BOARD "</t>
  </si>
  <si>
    <t>and as this vessel do not have sufficient equipment to determine the correct chemical specifications</t>
  </si>
  <si>
    <t>of the loaded cargo, I hereby also lodge protest against the used sentence.</t>
  </si>
  <si>
    <t>(Delite this part if sentence incorporated in the presented Bill(s) of Loading)</t>
  </si>
  <si>
    <t>The presented Bill(s) of Loading will be signed by me under protest.</t>
  </si>
  <si>
    <t>Cargo Receipt</t>
  </si>
  <si>
    <t>In accordance with orders received from the Owners / Operators of the vessel,the delivery the of</t>
  </si>
  <si>
    <t xml:space="preserve">the cargo have been carried out by my crew against an undertaking of indemnity / Letter of   </t>
  </si>
  <si>
    <t xml:space="preserve"> terminal / berth without the original Bill(s) of Loading being presented for delivery of the cargo.  </t>
  </si>
  <si>
    <t>Please be informed that above stated vessel have discharged her entire cargo /part cargo at your</t>
  </si>
  <si>
    <t>Indemnity (LoI).</t>
  </si>
  <si>
    <t>As the receiving party of the below mentioned cargo,you are hereby kindly requested to sign this</t>
  </si>
  <si>
    <t>letter of receipt for the reception of following quantity(s) and quality(s):</t>
  </si>
  <si>
    <t>Bill(s) of Loading figures:</t>
  </si>
  <si>
    <t>total</t>
  </si>
  <si>
    <t>mt.</t>
  </si>
  <si>
    <t>Grade :</t>
  </si>
  <si>
    <t>at the port:</t>
  </si>
  <si>
    <t>as per issued Bill(s) of Lloading</t>
  </si>
  <si>
    <t xml:space="preserve"> date :</t>
  </si>
  <si>
    <t>You are also kindly requested to forward the original Bill(s) of Loading immediately when same</t>
  </si>
  <si>
    <t xml:space="preserve"> come(s) into your hands.</t>
  </si>
  <si>
    <t>Cargo received by (Company):</t>
  </si>
  <si>
    <t>Receiving person's signature:</t>
  </si>
  <si>
    <t xml:space="preserve">                Time / Date / Year:</t>
  </si>
  <si>
    <t xml:space="preserve">     DEMURRAGE.</t>
  </si>
  <si>
    <t>On behalf of my Owners I herewith inform you that laydays for loading the cargo under</t>
  </si>
  <si>
    <t>Charter Party dated the 17th of March 2000, have expired today at 16.00 hrs LT and from this</t>
  </si>
  <si>
    <t>time my vessel is now on demurrage for which you and all concerned will be held liable.</t>
  </si>
  <si>
    <t xml:space="preserve">Kindly acknowledge receipt of the letter by signing and returning the attached copies </t>
  </si>
  <si>
    <t>to me.</t>
  </si>
  <si>
    <t>For receipt</t>
  </si>
  <si>
    <t>NATIONAL IRANIAN TANKER CO.</t>
  </si>
  <si>
    <r>
      <t>TEHRAN :</t>
    </r>
    <r>
      <rPr>
        <sz val="8"/>
        <color theme="1"/>
        <rFont val="Times New Roman"/>
        <family val="1"/>
        <charset val="204"/>
      </rPr>
      <t xml:space="preserve"> TEL : 21939 / 2229094, TLX : 213937 / 213543, FAX : 2224537 / 2223011, IRAN</t>
    </r>
  </si>
  <si>
    <r>
      <t xml:space="preserve"> SHARJAH : </t>
    </r>
    <r>
      <rPr>
        <sz val="8"/>
        <color theme="1"/>
        <rFont val="Times New Roman"/>
        <family val="1"/>
        <charset val="204"/>
      </rPr>
      <t>TEL : 5282766, TLX : 68112 NITC EM, FAX : 5285357, P.O. Box : 3267 - U.A.E.</t>
    </r>
  </si>
  <si>
    <t>TIME SHEET</t>
  </si>
  <si>
    <t>M/T “IRAN SANANDAJ”</t>
  </si>
  <si>
    <t>Voy. No. 07/00</t>
  </si>
  <si>
    <t xml:space="preserve">PORT: </t>
  </si>
  <si>
    <t>DATE:</t>
  </si>
  <si>
    <t>DATE</t>
  </si>
  <si>
    <t xml:space="preserve">End of Sea Passage                            </t>
  </si>
  <si>
    <t>Notice of Readiness Tendered</t>
  </si>
  <si>
    <t>Notice of Readiness Accepted</t>
  </si>
  <si>
    <t>Pilot Boarded</t>
  </si>
  <si>
    <t>Dropped Anchor</t>
  </si>
  <si>
    <t>Weighed Anchor</t>
  </si>
  <si>
    <t>Pilot Boarded for Entry</t>
  </si>
  <si>
    <t>Dropped Anchor Inner Area</t>
  </si>
  <si>
    <t>Pilot Boarded for Berth</t>
  </si>
  <si>
    <t>1-st Rope</t>
  </si>
  <si>
    <t>All Fast Alongside  ( SPM )</t>
  </si>
  <si>
    <t>Gangway Ashore</t>
  </si>
  <si>
    <t>Hose(s) Connected  2 x 16”</t>
  </si>
  <si>
    <t>Cargo Tanks Inspected</t>
  </si>
  <si>
    <t>Loading/Discharging Commenced</t>
  </si>
  <si>
    <t>Loading/Discharging Completed</t>
  </si>
  <si>
    <t>Cargo Tanks Inspection Completed</t>
  </si>
  <si>
    <t>Cargo Calculation Completed</t>
  </si>
  <si>
    <t>Hose(s) Disconnected</t>
  </si>
  <si>
    <t>Cargo Documents O/B</t>
  </si>
  <si>
    <t>Pilot Boarded for Sailing</t>
  </si>
  <si>
    <t>Cast Off</t>
  </si>
  <si>
    <t>Pilot Off</t>
  </si>
  <si>
    <t xml:space="preserve">Start Sea Passage                                 </t>
  </si>
  <si>
    <t>AGENT</t>
  </si>
  <si>
    <t>TERMINAL</t>
  </si>
  <si>
    <t>Remarks:</t>
  </si>
  <si>
    <t>1)</t>
  </si>
  <si>
    <t>2)</t>
  </si>
  <si>
    <t>3)</t>
  </si>
  <si>
    <t>4)</t>
  </si>
  <si>
    <t xml:space="preserve">     SAME HOSE ALL.</t>
  </si>
  <si>
    <t xml:space="preserve">I, the undersigned, the master of the M/T “St. JOHANNIS” hereby serve this Letter of Protest due </t>
  </si>
  <si>
    <t>to the following, as recorded in the Port log of the Vessel:</t>
  </si>
  <si>
    <t>The terminal used the same hose for both grades of cargo – CPO and CPKO.</t>
  </si>
  <si>
    <t xml:space="preserve">Subsequently, on behalf of my Owners/Operators, I hold you responsible for all costs/delays, </t>
  </si>
  <si>
    <t xml:space="preserve">directly/indirectly involved, and the consequences therewith, that may arise from this matter, and </t>
  </si>
  <si>
    <t xml:space="preserve">directly / indirectly involved, and the consequences therewith, that may arise from this matter, and </t>
  </si>
  <si>
    <t>reserve the right to resume this protest, at a later date.</t>
  </si>
  <si>
    <t>YOURS FAITHFULLY,</t>
  </si>
  <si>
    <t xml:space="preserve"> Terminal</t>
  </si>
  <si>
    <t>For receipt only on behalf Terminal</t>
  </si>
  <si>
    <t xml:space="preserve">I, the undersigned, the master of the MT ”Cielo Di Barents” hereby serve this Letter of Protest </t>
  </si>
  <si>
    <t>due to the following, as recorded in the Portlog of the Vessel.</t>
  </si>
  <si>
    <t>There were no cargo samples received from Terminal.</t>
  </si>
  <si>
    <t xml:space="preserve">Subsequently, on behalf of my Owners/Operators, I hold you responsible for all costs/delays,  </t>
  </si>
  <si>
    <t xml:space="preserve"> reserve the right to resume this protest, at a later date.</t>
  </si>
  <si>
    <t>Flag:</t>
  </si>
  <si>
    <t>Cargo:</t>
  </si>
  <si>
    <t>Operation:</t>
  </si>
  <si>
    <t xml:space="preserve"> STATEMENT OF FACT</t>
  </si>
  <si>
    <t xml:space="preserve">EVENT </t>
  </si>
  <si>
    <t>REMARK'S</t>
  </si>
  <si>
    <t>End of Sea Passsage</t>
  </si>
  <si>
    <t>Pilot on Board</t>
  </si>
  <si>
    <t xml:space="preserve">Drop Anchor </t>
  </si>
  <si>
    <t>Pilot disembarked</t>
  </si>
  <si>
    <t>NOR Tendered</t>
  </si>
  <si>
    <t>Anchor Up</t>
  </si>
  <si>
    <t>First line ashore</t>
  </si>
  <si>
    <t>All Fast</t>
  </si>
  <si>
    <t>NOR Accepted</t>
  </si>
  <si>
    <t>Free Pratique</t>
  </si>
  <si>
    <t>Surveyor, Loading Master on Board</t>
  </si>
  <si>
    <t>Safety Meeting Complited</t>
  </si>
  <si>
    <t>Cargo Tank Inspected Time</t>
  </si>
  <si>
    <t>Cargo Hose Connected</t>
  </si>
  <si>
    <t>Commenced Loading</t>
  </si>
  <si>
    <t xml:space="preserve">Stop Loading </t>
  </si>
  <si>
    <t>Rresume Loading</t>
  </si>
  <si>
    <t>Samples Taken</t>
  </si>
  <si>
    <t>Completed Loading</t>
  </si>
  <si>
    <t>Cargo Hose Disconnected</t>
  </si>
  <si>
    <t>Ullages Taken</t>
  </si>
  <si>
    <t>Calculation Completed</t>
  </si>
  <si>
    <t>Documents on Board</t>
  </si>
  <si>
    <t>Left Berth</t>
  </si>
  <si>
    <t>Loading surveyor :</t>
  </si>
  <si>
    <t>Agent :</t>
  </si>
  <si>
    <t>B/L DATE</t>
  </si>
  <si>
    <t>SHIP'S TANKS</t>
  </si>
  <si>
    <t>VESSEL:</t>
  </si>
  <si>
    <t>CARGO:</t>
  </si>
  <si>
    <t>PORT:</t>
  </si>
  <si>
    <t>BERTH №</t>
  </si>
  <si>
    <t>OPERATION</t>
  </si>
  <si>
    <t>PORT OF DISCHARGE</t>
  </si>
  <si>
    <t>QUANTITY</t>
  </si>
  <si>
    <t>LOADING</t>
  </si>
  <si>
    <t>GENOA,ITALY</t>
  </si>
  <si>
    <t>DKAR</t>
  </si>
  <si>
    <t>Vessel Arrived</t>
  </si>
  <si>
    <t>Anchored/Anchor aweigh</t>
  </si>
  <si>
    <t>Pilot on board</t>
  </si>
  <si>
    <t>NOR tendered/Received</t>
  </si>
  <si>
    <t>First Line/All Secure</t>
  </si>
  <si>
    <t>All fast</t>
  </si>
  <si>
    <t>Gangway down</t>
  </si>
  <si>
    <t>Custom/Immigration Formalities</t>
  </si>
  <si>
    <t>Sampling</t>
  </si>
  <si>
    <t>Ullaging</t>
  </si>
  <si>
    <t xml:space="preserve">Calculation </t>
  </si>
  <si>
    <t xml:space="preserve">Connecting Cargo Hose </t>
  </si>
  <si>
    <t>Started loading</t>
  </si>
  <si>
    <t>Completed loading</t>
  </si>
  <si>
    <t>Tanks inspection</t>
  </si>
  <si>
    <t>Disconnect Cargo Hose</t>
  </si>
  <si>
    <t>Documentation on board/Signed</t>
  </si>
  <si>
    <t>Vessel Sailed</t>
  </si>
  <si>
    <t>Time</t>
  </si>
  <si>
    <t>Date</t>
  </si>
  <si>
    <t>From</t>
  </si>
  <si>
    <t>Event</t>
  </si>
  <si>
    <t>To</t>
  </si>
  <si>
    <t>Lapse</t>
  </si>
  <si>
    <t>DD.HH.MM</t>
  </si>
  <si>
    <t>General Delays and Stoppages</t>
  </si>
  <si>
    <t>Shifting berth, bad weather delays, pollution, berthing delays, shore or ship stops etc (Detail in seperate letter if necessary)</t>
  </si>
  <si>
    <t>Total Delays</t>
  </si>
  <si>
    <t>STATEMENT OF FACTS</t>
  </si>
  <si>
    <t>Vessel :</t>
  </si>
  <si>
    <t>Voyage :</t>
  </si>
  <si>
    <t>Operation :</t>
  </si>
  <si>
    <t>Terminal :</t>
  </si>
  <si>
    <t>Charter Party :</t>
  </si>
  <si>
    <t>KEY EVENTS</t>
  </si>
  <si>
    <t>Shipper/Consignee/Terminal</t>
  </si>
  <si>
    <t>Agent</t>
  </si>
  <si>
    <t>Voyage:</t>
  </si>
  <si>
    <t xml:space="preserve">I, the undersigned, the master of the MT ”Cielo Di Bothnia” hereby serve this Letter of Protest, as </t>
  </si>
  <si>
    <t xml:space="preserve">a result of the delay in port of  VENTSPILS of the subject vessel, due to the following, as </t>
  </si>
  <si>
    <t>recorded in the Portlog for the Vessel.</t>
  </si>
  <si>
    <t>A)    Delay :</t>
  </si>
  <si>
    <t>13:00 LT</t>
  </si>
  <si>
    <t>14:45 LT</t>
  </si>
  <si>
    <t xml:space="preserve">Suspended loading by shore request for cargo arms </t>
  </si>
  <si>
    <t>reconnection</t>
  </si>
  <si>
    <t>RE:Bills of Loading Marked "Freight Prepaid".</t>
  </si>
  <si>
    <t xml:space="preserve">The Bill of Lading dated ............................... and presented to me, is marked «Freight </t>
  </si>
  <si>
    <t>Prepaid».</t>
  </si>
  <si>
    <t xml:space="preserve">This is not in accordance with the terms and conditions of the Charter Party and my </t>
  </si>
  <si>
    <t>Owners’ instructions.</t>
  </si>
  <si>
    <t xml:space="preserve">I therefore instruct you to present a Bill of Lading marked «Freight payable as per </t>
  </si>
  <si>
    <t>Charter Party dated ......................».</t>
  </si>
  <si>
    <t xml:space="preserve">On behalf of my Owners and Charterers, I hold you responsible for any expenses </t>
  </si>
  <si>
    <t>incurred, and any delays to the vessel and terminal must be to your account.</t>
  </si>
  <si>
    <t xml:space="preserve">Kindly acknowledge receipt of this letter and your compliance in producing a correctly </t>
  </si>
  <si>
    <t>notated Bill of Lading, by signing the space provided below.</t>
  </si>
  <si>
    <t xml:space="preserve">For acknowledgement only	</t>
  </si>
  <si>
    <t>RE:SLOW DISCHARGE.</t>
  </si>
  <si>
    <t xml:space="preserve">On behalf of my Owners/Operators and Charterers, I hereby lodge protest for the  </t>
  </si>
  <si>
    <t xml:space="preserve">slow discharging rate due to the fact that you have not provided the necessary </t>
  </si>
  <si>
    <t>facilities in order to discharge within the time stipulated in the Charter party.</t>
  </si>
  <si>
    <t xml:space="preserve">The average back pressure maintained on ship’s manifolds is ...3 bar.. as per </t>
  </si>
  <si>
    <t>‘’Pressures Record’’ sheet which will be attached to the Statement of Facts.</t>
  </si>
  <si>
    <t xml:space="preserve">For your information, the vessel is equipped with ................................. cargo pumps </t>
  </si>
  <si>
    <t xml:space="preserve">with an aggregate capacity of ...................... tons per hour but due to the shore side </t>
  </si>
  <si>
    <t>restrictions, vessel could use only ................................. cargo pump(s).</t>
  </si>
  <si>
    <t xml:space="preserve">Under these circumstances, I reserve the right of my Owners/Operators to refer to </t>
  </si>
  <si>
    <t>this letter when laytime / demurrages are calculated.</t>
  </si>
  <si>
    <t xml:space="preserve">c.c. : </t>
  </si>
  <si>
    <t>RE:CARGO FIGURES IN TERS OF WEIGHT.</t>
  </si>
  <si>
    <t>Due to the fact that the cargo mixing/blending on board is impossible and</t>
  </si>
  <si>
    <t xml:space="preserve">layering/stratification is unavoidable, the density/S.G. of the mixture as was </t>
  </si>
  <si>
    <t xml:space="preserve">determined from samples drawn form ship’s cargo tanks is not satisfactory for </t>
  </si>
  <si>
    <t>accurate quantitative calculations.</t>
  </si>
  <si>
    <t xml:space="preserve">Under these circumstances, and as I am not allowed to make any remarks on the Bill </t>
  </si>
  <si>
    <t xml:space="preserve">of Lading, I am signing same for the volumetric measurements only and I reserve the </t>
  </si>
  <si>
    <t xml:space="preserve">rights of all the parties concerned for any difference arising form the use of difference </t>
  </si>
  <si>
    <t xml:space="preserve">densities/S.G. Under no circumstances, I am accepting weights and/or losses based </t>
  </si>
  <si>
    <t>on density/S.G. differences.</t>
  </si>
  <si>
    <t xml:space="preserve">A copy of this letter is forwarded through Charterers/Owners to the cargo receivers </t>
  </si>
  <si>
    <t>because the situation will not be materially different at the other end.</t>
  </si>
  <si>
    <t>RE:CARGO QUANTITY REQUEST.</t>
  </si>
  <si>
    <t xml:space="preserve">According to instructions I have received from my Owners/ Operator/ Charterers and </t>
  </si>
  <si>
    <t xml:space="preserve">in compliance with the terms of the governing Charter Party, I hereby request a </t>
  </si>
  <si>
    <t xml:space="preserve">quantity of ................................................... m/tons, of cargo in bulk to be loaded at </t>
  </si>
  <si>
    <t>this port.</t>
  </si>
  <si>
    <t xml:space="preserve">For any difference (more or less) I hold you responsible and I am hereby reserving  </t>
  </si>
  <si>
    <t>the rights of all parties concerned to refer to this letter at a later date.</t>
  </si>
  <si>
    <t>RE:CARGO SAMLES.</t>
  </si>
  <si>
    <t xml:space="preserve">Further to my letter handed to your representative on arrival, this is to advise you that </t>
  </si>
  <si>
    <t xml:space="preserve">the samples delivered on board as per attached samples receipt, are received under </t>
  </si>
  <si>
    <t xml:space="preserve">protest and for transportation only, because sampling and sealing was not witnessed </t>
  </si>
  <si>
    <t>by a responsible ship’s officer as requested.</t>
  </si>
  <si>
    <t xml:space="preserve">Under these circumstances, I reserve the right of my Owners/Operators, Charterers </t>
  </si>
  <si>
    <t>and Bill of Lading holders to refer to this letter at a later date.</t>
  </si>
  <si>
    <t xml:space="preserve">   RE:FREE PRATIQUE.</t>
  </si>
  <si>
    <t>Charterers:</t>
  </si>
  <si>
    <t>According to Charterer Party Date :</t>
  </si>
  <si>
    <t>The vessel tendered NOR at</t>
  </si>
  <si>
    <t>hrs,</t>
  </si>
  <si>
    <t>However, Free Pratique has not granted at</t>
  </si>
  <si>
    <t xml:space="preserve">hrs, on the </t>
  </si>
  <si>
    <t xml:space="preserve">I hereby formally protest and reserve, on behalf of my Owners / Operators, </t>
  </si>
  <si>
    <t>all rights, which they have in the terms of the governing Charter Party:</t>
  </si>
  <si>
    <t>Receiver / Terminal / Agent</t>
  </si>
  <si>
    <t>Port/Terminal:</t>
  </si>
  <si>
    <t xml:space="preserve">   RE:NON DELIVERY.</t>
  </si>
  <si>
    <t>I have to draw Your attention in respect of non-supplied the following</t>
  </si>
  <si>
    <t>documents at the ship before/after loading :</t>
  </si>
  <si>
    <t>Material Safety Data Sheet for cargo loaded;</t>
  </si>
  <si>
    <t xml:space="preserve"> Bill (s) of Lading</t>
  </si>
  <si>
    <t>Certificate of Quantity</t>
  </si>
  <si>
    <t>Cargo Manifest</t>
  </si>
  <si>
    <t>Cargo samples for Receivers</t>
  </si>
  <si>
    <t>As a consequence of the above, I hold You fully responsible for all costs</t>
  </si>
  <si>
    <t>and/or consequences which may arise therefrom and reserve the right of my</t>
  </si>
  <si>
    <t>Owners/Charterers to revert to this matter later on.</t>
  </si>
  <si>
    <t>For receipt:</t>
  </si>
  <si>
    <t xml:space="preserve">   RE:LOW RATE.</t>
  </si>
  <si>
    <t xml:space="preserve">  On behalf of the vessel's Owners / Operators, Charterers  I hereby lodge protest</t>
  </si>
  <si>
    <t>for the slow loading rate due to the fact that you have not provided necessary facilities in</t>
  </si>
  <si>
    <t>order to load cargo within  the time stipulated in the Charter Party.</t>
  </si>
  <si>
    <t>The  time used for loading of</t>
  </si>
  <si>
    <t>of</t>
  </si>
  <si>
    <t>Gasoil</t>
  </si>
  <si>
    <t>at  your  Terminal  was 21,8 hrs  with the average rate</t>
  </si>
  <si>
    <t>m³/hr</t>
  </si>
  <si>
    <t>m³</t>
  </si>
  <si>
    <t>Actually the vessel was provided by 1 x 16 inches cargo arm only.</t>
  </si>
  <si>
    <t>For your information, the vessel is equipped with 6 x 12 " manifolds / lines and is capable</t>
  </si>
  <si>
    <t>to accept the cargo with maximum rate 3000 m3 / hour.</t>
  </si>
  <si>
    <t>Under these circumstances, I reserve the right of my Owners / Operators to refer to</t>
  </si>
  <si>
    <t>this letter when laytime / demmurages are calculated.</t>
  </si>
  <si>
    <t>LETTER ACCEPTED/RECEIVED:</t>
  </si>
  <si>
    <t xml:space="preserve">   RE:SHORE STOP.</t>
  </si>
  <si>
    <t>On behalf of my Owners / Operator and Charterers I  lodge a protest against  shore</t>
  </si>
  <si>
    <t>stop of the loading. As a result  the quantity of loaded cargo as per ship's figure is</t>
  </si>
  <si>
    <t>mt in vac.</t>
  </si>
  <si>
    <t>In accordance with the above I hold  the Terminal / Shippers fully responsible</t>
  </si>
  <si>
    <t>for all costs and / or consequences which may arise therefrom  and reserve the right of my</t>
  </si>
  <si>
    <t>Owners / Charterers to revert to this matter later on.</t>
  </si>
  <si>
    <t xml:space="preserve">I have to inform You that, according to my Charterers instructions, in case if Bill of Lading </t>
  </si>
  <si>
    <t xml:space="preserve">figures differ from the Ship's figures ( VEF not applied) more than 0.3 percent loss, the Bill </t>
  </si>
  <si>
    <t xml:space="preserve">of Lading will be not signed by Master. The vessel will remain alongside until  the Bill of  </t>
  </si>
  <si>
    <t>Lading  figure  re-calculated to be closer to the Ship's figure.</t>
  </si>
  <si>
    <t xml:space="preserve">   RE:Re-tendered Notice of Readiness.</t>
  </si>
  <si>
    <t xml:space="preserve">  I wish to inform you that, on arrival at Petronor Terminal  Loading Master refused to sign</t>
  </si>
  <si>
    <t>re-tendered Notice of Readiness (all fast time).</t>
  </si>
  <si>
    <t xml:space="preserve"> Hereby on behalf of my Owner/Operator and Charterers I lodge a protest against aforesaid</t>
  </si>
  <si>
    <t xml:space="preserve">and reject any claims which may arise therefrom and reserve the right to revert to this matter </t>
  </si>
  <si>
    <t>later on.</t>
  </si>
  <si>
    <t>Acknowledged by :</t>
  </si>
  <si>
    <t xml:space="preserve">               RE: SHORE DESCRIPANCY</t>
  </si>
  <si>
    <t xml:space="preserve">RE: FOR DELAY IN COMMENCEMENT LOADING </t>
  </si>
  <si>
    <t xml:space="preserve">RE: CARGO QUANTITY DISCREPANCY </t>
  </si>
  <si>
    <t xml:space="preserve">This is to advise you that, I, Master of   M/T </t>
  </si>
  <si>
    <t xml:space="preserve">acting on behalf of my Owners, Charterers and Vessel, do protest in respect of  : </t>
  </si>
  <si>
    <t>High backpressure</t>
  </si>
  <si>
    <t>Please note that the M/T</t>
  </si>
  <si>
    <t>has been provided with</t>
  </si>
  <si>
    <t xml:space="preserve"> connections. Due to this, the vessel is experiencing a very high back pressure at the</t>
  </si>
  <si>
    <t xml:space="preserve"> manifolds during the discharge operation.</t>
  </si>
  <si>
    <t xml:space="preserve">Please note the vessel is maintaining </t>
  </si>
  <si>
    <t>BAR</t>
  </si>
  <si>
    <t xml:space="preserve">at the </t>
  </si>
  <si>
    <t>manifolds which is your maximum permitted and that with only</t>
  </si>
  <si>
    <t>cargo</t>
  </si>
  <si>
    <t>pump running at reduced speed.</t>
  </si>
  <si>
    <t>Due to the high back pressure at the manifolds, the vessel has to undergo excessive port stay.</t>
  </si>
  <si>
    <t>Please refer to pumping logs.</t>
  </si>
  <si>
    <t xml:space="preserve"> on behalf of my Owners, </t>
  </si>
  <si>
    <t>Charterers and all interested parties do hereby formally note protest for all delays and</t>
  </si>
  <si>
    <t xml:space="preserve"> losses incurred arising out of the said matter and further reserve the right to refer to this </t>
  </si>
  <si>
    <t>letter  of protest  at a later date, time and place convenient.</t>
  </si>
  <si>
    <t xml:space="preserve"> RECEIVED  BY : </t>
  </si>
  <si>
    <t xml:space="preserve">   RE:High Back Pressure.</t>
  </si>
  <si>
    <t xml:space="preserve">   RE:Manifold Pressure.</t>
  </si>
  <si>
    <t xml:space="preserve">    RE: DELAY.</t>
  </si>
  <si>
    <t xml:space="preserve">   RE:SAMPLES NOR RECEIVED.</t>
  </si>
  <si>
    <t>Drafts</t>
  </si>
  <si>
    <t>ARRIVAL</t>
  </si>
  <si>
    <t>DEPARTURE</t>
  </si>
  <si>
    <t>FWD</t>
  </si>
  <si>
    <t>AFT</t>
  </si>
  <si>
    <t>m</t>
  </si>
  <si>
    <t>Operation</t>
  </si>
  <si>
    <t>Remarks</t>
  </si>
  <si>
    <t>END OF SEA PASSAGE</t>
  </si>
  <si>
    <t>NOR TENDERED</t>
  </si>
  <si>
    <t>DROP ANCHOR</t>
  </si>
  <si>
    <t>ANCHOR UP</t>
  </si>
  <si>
    <t>POB</t>
  </si>
  <si>
    <t>1ST LINE ASHORE</t>
  </si>
  <si>
    <t>ALL FAST</t>
  </si>
  <si>
    <t>GANGWAY ASHORE</t>
  </si>
  <si>
    <t>PILOT LEFT</t>
  </si>
  <si>
    <t>SURVEYOR ON BOARD</t>
  </si>
  <si>
    <t>COMMENCED TANK INSPECTION</t>
  </si>
  <si>
    <t>TANK INSPECTION PASSED</t>
  </si>
  <si>
    <t>CARGO HOSES CONNECTED</t>
  </si>
  <si>
    <t>VAPOUR HOSE CONNECTED 1 x 6"</t>
  </si>
  <si>
    <t>COMMENCED LOADING CPO</t>
  </si>
  <si>
    <t>COMPLETED TAKE SAMPLES FROM ALL TANKS</t>
  </si>
  <si>
    <t>RESUMED LOADING</t>
  </si>
  <si>
    <t>COMMENCED LOADING RBDO</t>
  </si>
  <si>
    <t>COMPLETED LOADING RBDO</t>
  </si>
  <si>
    <t>COMMENCED BLOWING RBDO</t>
  </si>
  <si>
    <t xml:space="preserve">COMPLETED BLOWING </t>
  </si>
  <si>
    <t>Shipper</t>
  </si>
  <si>
    <t xml:space="preserve">           Master</t>
  </si>
  <si>
    <t>Re - tendering</t>
  </si>
  <si>
    <t>M/T:</t>
  </si>
  <si>
    <t>With reference to my original tendered "Notice of Readiness" date :</t>
  </si>
  <si>
    <t>hrs.</t>
  </si>
  <si>
    <t>local time. I hereby re- tender "Notice of Readiness"</t>
  </si>
  <si>
    <t>at the following location :</t>
  </si>
  <si>
    <t>local time on the:</t>
  </si>
  <si>
    <t>without pre-judice to my original tendered "Notice of Readiness" and as in accordance with instructions received</t>
  </si>
  <si>
    <t>from the Operators of this vessel.</t>
  </si>
  <si>
    <t>My vessel is in all respects ready to commence loading / discharging her nominated cargo</t>
  </si>
  <si>
    <t>Grade</t>
  </si>
  <si>
    <t>in accordance with the Terms and Conditions of the Charter Party date</t>
  </si>
  <si>
    <t>Kindly acknowledge receipt / acceptance of the Notice of Readiness by signing below and returning duplicate copiec.</t>
  </si>
  <si>
    <t>ACCEPTED/RECEIVED BY:</t>
  </si>
  <si>
    <t>Terminal.</t>
  </si>
  <si>
    <t>CARGO RECEIPT</t>
  </si>
  <si>
    <t>This is to certify that the following cargo-described in the Bill of Lading as</t>
  </si>
  <si>
    <t>(Cargo)</t>
  </si>
  <si>
    <t>(Quantity)</t>
  </si>
  <si>
    <t>(Loadport)</t>
  </si>
  <si>
    <t>(Date)</t>
  </si>
  <si>
    <t>Has been received from the captioned vessel at/into:</t>
  </si>
  <si>
    <t xml:space="preserve">(barge/shore tanks) </t>
  </si>
  <si>
    <t>and dry tank certificate has been issued accordingly.</t>
  </si>
  <si>
    <t>Yours faithfully,</t>
  </si>
  <si>
    <t>Receiver</t>
  </si>
  <si>
    <t>Title:</t>
  </si>
  <si>
    <t>that my vessel arrived on the roads/berthed at</t>
  </si>
  <si>
    <t>hours and is in all respect ready to Load / Discharge</t>
  </si>
  <si>
    <t xml:space="preserve">her nominated cargo grade of: </t>
  </si>
  <si>
    <t>according to Charter Party dated:</t>
  </si>
  <si>
    <t>Berth:</t>
  </si>
  <si>
    <t>Cargo discharged:</t>
  </si>
  <si>
    <t xml:space="preserve">B/L: </t>
  </si>
  <si>
    <t>S/F:</t>
  </si>
  <si>
    <t>Key events</t>
  </si>
  <si>
    <t>LT (UTC+2)</t>
  </si>
  <si>
    <t>End of Sea Passage</t>
  </si>
  <si>
    <t>NOR tendered</t>
  </si>
  <si>
    <t>NOR received/accepted</t>
  </si>
  <si>
    <t>Drop Anchor</t>
  </si>
  <si>
    <t>Port authorities on board</t>
  </si>
  <si>
    <t>Free Pratique granted</t>
  </si>
  <si>
    <t>Port authorities left</t>
  </si>
  <si>
    <t>Anchor Aweigh</t>
  </si>
  <si>
    <t>Cargo calculated</t>
  </si>
  <si>
    <t>Hose(s)/arm(s) connected</t>
  </si>
  <si>
    <t>Safety and security meeting</t>
  </si>
  <si>
    <t>Commenced Discharging</t>
  </si>
  <si>
    <t>Completed Discharging</t>
  </si>
  <si>
    <t>Tanks Inspection</t>
  </si>
  <si>
    <t>Shore line circulation</t>
  </si>
  <si>
    <t>ROB calculated</t>
  </si>
  <si>
    <t xml:space="preserve">Hose(s)/arm(s) disconnected  </t>
  </si>
  <si>
    <t>Unberthed</t>
  </si>
  <si>
    <t>Cargo Documents on board</t>
  </si>
  <si>
    <t>Full Away on Passage</t>
  </si>
  <si>
    <t>BUNKERS</t>
  </si>
  <si>
    <t>FUEL</t>
  </si>
  <si>
    <t>DIESEL</t>
  </si>
  <si>
    <t>LUBOIL</t>
  </si>
  <si>
    <t>FW</t>
  </si>
  <si>
    <t>mt</t>
  </si>
  <si>
    <t xml:space="preserve">DRAFTS: </t>
  </si>
  <si>
    <t>(m)</t>
  </si>
  <si>
    <t>Total net discharging time (hrs):</t>
  </si>
  <si>
    <t>Average rate (m3/h):</t>
  </si>
  <si>
    <t>SAILING</t>
  </si>
  <si>
    <t>BUNKER RCV</t>
  </si>
  <si>
    <t xml:space="preserve">Tugs used: </t>
  </si>
  <si>
    <t>IN:</t>
  </si>
  <si>
    <t>OUT:</t>
  </si>
  <si>
    <t>Agent:</t>
  </si>
  <si>
    <t>Master:</t>
  </si>
  <si>
    <t>Name</t>
  </si>
  <si>
    <t>Stamp</t>
  </si>
  <si>
    <t>Signature</t>
  </si>
  <si>
    <t xml:space="preserve">   RE:CALCULATION.</t>
  </si>
  <si>
    <t xml:space="preserve">Grade  </t>
  </si>
  <si>
    <t xml:space="preserve">I, the undersigned, the master of the M/T ”Cielo Di Barents” hereby serve this Letter of Protest </t>
  </si>
  <si>
    <t>due to the following.</t>
  </si>
  <si>
    <t xml:space="preserve">Vessel used for calculation of cargo density received from Consignee in loading port. Your </t>
  </si>
  <si>
    <t xml:space="preserve">surveyor used other density. Due to the above big difference  between ship’s and surveyor's </t>
  </si>
  <si>
    <t>calculation.</t>
  </si>
  <si>
    <t>For receipt of notification only  Agent</t>
  </si>
  <si>
    <t>Safety Management System</t>
  </si>
  <si>
    <t>Time  LT</t>
  </si>
  <si>
    <t>End of Sea Passage /Arrived on the Roads</t>
  </si>
  <si>
    <t>Drafts on Arrival</t>
  </si>
  <si>
    <t>Pilot onboard</t>
  </si>
  <si>
    <t>TF =</t>
  </si>
  <si>
    <t>Notice of Readiness tendered</t>
  </si>
  <si>
    <t>TA =</t>
  </si>
  <si>
    <t>Notice of Readiness accepted</t>
  </si>
  <si>
    <t>Anchor dropped</t>
  </si>
  <si>
    <t>Anchor up</t>
  </si>
  <si>
    <t>FL Commenced  mooring</t>
  </si>
  <si>
    <t>AF Completed  mooring</t>
  </si>
  <si>
    <t>Tank accepted / Cargo calculated</t>
  </si>
  <si>
    <t>Hose connected</t>
  </si>
  <si>
    <t>Commenced Loading/Discharging</t>
  </si>
  <si>
    <t>Completed Loading/Discharging</t>
  </si>
  <si>
    <t>Hose disconnected</t>
  </si>
  <si>
    <t>Drafts on Departure</t>
  </si>
  <si>
    <t>Tank inspected / Cargo calculated</t>
  </si>
  <si>
    <t>Documents onboard</t>
  </si>
  <si>
    <t>Departure</t>
  </si>
  <si>
    <t>Pilot off</t>
  </si>
  <si>
    <t>1 Parcel</t>
  </si>
  <si>
    <t>2 Parcel</t>
  </si>
  <si>
    <t>3 parcel</t>
  </si>
  <si>
    <t>4 parcel</t>
  </si>
  <si>
    <t>Cargo op.commenced</t>
  </si>
  <si>
    <t>Cargo op.completeded</t>
  </si>
  <si>
    <t>Interruptions of Cargo Operation</t>
  </si>
  <si>
    <t>Time from</t>
  </si>
  <si>
    <t>Time to</t>
  </si>
  <si>
    <t>Reason</t>
  </si>
  <si>
    <t>Shore Representative</t>
  </si>
  <si>
    <t>Master / Chief Officer</t>
  </si>
  <si>
    <t>M/T " North Trader"</t>
  </si>
  <si>
    <t>Location:</t>
  </si>
  <si>
    <t>Time Log</t>
  </si>
  <si>
    <t>End of sea passage</t>
  </si>
  <si>
    <t>Notice of Readiness received</t>
  </si>
  <si>
    <t>All fast jetty 2</t>
  </si>
  <si>
    <t>Key meeting commenced</t>
  </si>
  <si>
    <t>Inspector on board</t>
  </si>
  <si>
    <t>Key meeting / safety checklists completed</t>
  </si>
  <si>
    <t>Cargo survey and sampling commenced</t>
  </si>
  <si>
    <t>Discharge arms connected (3x16")</t>
  </si>
  <si>
    <t>Cargo survey and sampling completed</t>
  </si>
  <si>
    <t>Cargo calculations completed</t>
  </si>
  <si>
    <t>Awaiting Ship's readiness till</t>
  </si>
  <si>
    <t>Commenced discharge</t>
  </si>
  <si>
    <t>Suspended discharge due to (Shore) line fullness check</t>
  </si>
  <si>
    <t>Resume discharge</t>
  </si>
  <si>
    <t>Commenced ballasting</t>
  </si>
  <si>
    <t>Commenced COW operations</t>
  </si>
  <si>
    <t>Completed COW operations</t>
  </si>
  <si>
    <t>Completed ballasting</t>
  </si>
  <si>
    <t>ROB Cargo survey commenced</t>
  </si>
  <si>
    <t>Completed discharge</t>
  </si>
  <si>
    <t>ROB Cargo survey completed</t>
  </si>
  <si>
    <t>ROB Calculations Completed</t>
  </si>
  <si>
    <t>Discharge arms disconnected</t>
  </si>
  <si>
    <t>Documentation completed</t>
  </si>
  <si>
    <t>Vessel sailed</t>
  </si>
  <si>
    <t xml:space="preserve"> 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</si>
</sst>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dd\ mmmm\ yyyy"/>
    <numFmt numFmtId="166" formatCode="hh:mm;@"/>
    <numFmt numFmtId="167" formatCode="0.000"/>
    <numFmt numFmtId="168" formatCode="h:mm;@"/>
    <numFmt numFmtId="169" formatCode="0\:"/>
  </numFmts>
  <fonts count="81">
    <font>
      <sz val="11"/>
      <color theme="1"/>
      <name val="Calibri"/>
      <family val="2"/>
      <charset val="204"/>
      <scheme val="minor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6"/>
      <name val="Times New Roman"/>
      <family val="1"/>
    </font>
    <font>
      <sz val="10"/>
      <color indexed="12"/>
      <name val="Times New Roman"/>
      <family val="1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u/>
      <sz val="10"/>
      <color indexed="12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9"/>
      <name val="Times New Roman"/>
      <family val="1"/>
    </font>
    <font>
      <sz val="11"/>
      <color theme="1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6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indexed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7"/>
      <color theme="1"/>
      <name val="Times New Roman"/>
      <family val="1"/>
      <charset val="204"/>
    </font>
    <font>
      <u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</font>
    <font>
      <sz val="10"/>
      <color theme="1"/>
      <name val="Times New Roman"/>
      <family val="2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empus Sans ITC"/>
      <family val="5"/>
    </font>
    <font>
      <sz val="10"/>
      <name val="Tempus Sans ITC"/>
      <family val="5"/>
    </font>
    <font>
      <b/>
      <sz val="10"/>
      <name val="Tempus Sans ITC"/>
      <family val="5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12"/>
      <name val="Times New Roman"/>
      <family val="1"/>
      <charset val="204"/>
    </font>
    <font>
      <b/>
      <sz val="24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 CE"/>
      <family val="1"/>
      <charset val="238"/>
    </font>
    <font>
      <b/>
      <i/>
      <sz val="9"/>
      <name val="Times New Roman CE"/>
      <family val="1"/>
      <charset val="238"/>
    </font>
    <font>
      <b/>
      <sz val="18"/>
      <name val="Times New Roman"/>
      <family val="1"/>
      <charset val="204"/>
    </font>
    <font>
      <sz val="11.5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b/>
      <sz val="10"/>
      <name val="Calibri"/>
      <family val="2"/>
      <charset val="204"/>
    </font>
    <font>
      <b/>
      <sz val="11"/>
      <name val="Calibri"/>
      <family val="2"/>
      <charset val="204"/>
    </font>
    <font>
      <sz val="8"/>
      <color rgb="FF000000"/>
      <name val="Tahoma"/>
      <family val="2"/>
      <charset val="204"/>
    </font>
    <font>
      <i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u/>
      <sz val="11"/>
      <color indexed="12"/>
      <name val="Times New Roman"/>
      <family val="1"/>
      <charset val="204"/>
    </font>
    <font>
      <i/>
      <sz val="10"/>
      <name val="Times New Roman"/>
      <family val="1"/>
    </font>
    <font>
      <b/>
      <sz val="22"/>
      <name val="Times New Roman"/>
      <family val="1"/>
      <charset val="204"/>
    </font>
    <font>
      <sz val="10"/>
      <color indexed="18"/>
      <name val="Times New Roman"/>
      <family val="1"/>
      <charset val="204"/>
    </font>
    <font>
      <b/>
      <sz val="10"/>
      <color indexed="18"/>
      <name val="Times New Roman"/>
      <family val="1"/>
      <charset val="204"/>
    </font>
    <font>
      <b/>
      <sz val="11"/>
      <color indexed="18"/>
      <name val="Times New Roman"/>
      <family val="1"/>
      <charset val="204"/>
    </font>
    <font>
      <sz val="11"/>
      <color indexed="18"/>
      <name val="Times New Roman"/>
      <family val="1"/>
      <charset val="204"/>
    </font>
    <font>
      <sz val="11"/>
      <color indexed="18"/>
      <name val="PROMT OEM Courier Cyr"/>
      <family val="3"/>
      <charset val="204"/>
    </font>
    <font>
      <b/>
      <i/>
      <sz val="11"/>
      <color indexed="18"/>
      <name val="Times New Roman"/>
      <family val="1"/>
      <charset val="204"/>
    </font>
    <font>
      <b/>
      <i/>
      <sz val="10"/>
      <color indexed="18"/>
      <name val="Times New Roman"/>
      <family val="1"/>
      <charset val="204"/>
    </font>
    <font>
      <sz val="10"/>
      <color indexed="18"/>
      <name val="PROMT OEM Courier Cyr"/>
      <family val="3"/>
      <charset val="204"/>
    </font>
    <font>
      <sz val="11"/>
      <color indexed="18"/>
      <name val="PROMT OEM Courier Cyr Spec"/>
      <family val="3"/>
      <charset val="204"/>
    </font>
    <font>
      <i/>
      <sz val="10"/>
      <color indexed="18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6"/>
      <color indexed="18"/>
      <name val="Times New Roman"/>
      <family val="1"/>
      <charset val="204"/>
    </font>
    <font>
      <b/>
      <sz val="14"/>
      <color indexed="1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39" fillId="0" borderId="0" applyFont="0" applyFill="0" applyBorder="0" applyAlignment="0" applyProtection="0"/>
  </cellStyleXfs>
  <cellXfs count="135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4" fontId="3" fillId="0" borderId="0" xfId="0" applyNumberFormat="1" applyFont="1" applyBorder="1" applyAlignment="1">
      <alignment horizontal="center"/>
    </xf>
    <xf numFmtId="14" fontId="3" fillId="0" borderId="0" xfId="0" applyNumberFormat="1" applyFont="1" applyBorder="1" applyAlignment="1"/>
    <xf numFmtId="165" fontId="3" fillId="0" borderId="0" xfId="0" applyNumberFormat="1" applyFont="1" applyBorder="1" applyAlignment="1" applyProtection="1"/>
    <xf numFmtId="14" fontId="2" fillId="0" borderId="0" xfId="0" applyNumberFormat="1" applyFont="1" applyBorder="1" applyAlignment="1"/>
    <xf numFmtId="0" fontId="3" fillId="0" borderId="0" xfId="0" applyFont="1" applyBorder="1" applyAlignment="1" applyProtection="1">
      <protection locked="0"/>
    </xf>
    <xf numFmtId="0" fontId="2" fillId="0" borderId="0" xfId="0" applyFont="1" applyBorder="1"/>
    <xf numFmtId="0" fontId="3" fillId="0" borderId="0" xfId="0" applyFont="1" applyBorder="1" applyAlignment="1"/>
    <xf numFmtId="0" fontId="2" fillId="0" borderId="0" xfId="0" applyFont="1" applyAlignment="1">
      <alignment horizontal="left" indent="2"/>
    </xf>
    <xf numFmtId="0" fontId="2" fillId="0" borderId="0" xfId="0" applyFont="1" applyBorder="1" applyAlignment="1"/>
    <xf numFmtId="20" fontId="3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166" fontId="3" fillId="0" borderId="0" xfId="0" applyNumberFormat="1" applyFont="1" applyBorder="1" applyAlignment="1" applyProtection="1">
      <alignment vertical="center"/>
      <protection locked="0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165" fontId="3" fillId="0" borderId="0" xfId="0" applyNumberFormat="1" applyFont="1" applyBorder="1" applyAlignment="1"/>
    <xf numFmtId="0" fontId="2" fillId="0" borderId="0" xfId="0" applyFont="1" applyBorder="1" applyAlignment="1" applyProtection="1"/>
    <xf numFmtId="0" fontId="2" fillId="0" borderId="0" xfId="0" applyFont="1" applyBorder="1" applyAlignment="1" applyProtection="1">
      <protection locked="0"/>
    </xf>
    <xf numFmtId="0" fontId="6" fillId="0" borderId="0" xfId="0" applyFont="1"/>
    <xf numFmtId="0" fontId="3" fillId="0" borderId="0" xfId="0" applyFont="1" applyBorder="1" applyAlignment="1">
      <alignment horizontal="center"/>
    </xf>
    <xf numFmtId="0" fontId="6" fillId="0" borderId="0" xfId="0" applyFont="1" applyBorder="1" applyAlignment="1"/>
    <xf numFmtId="0" fontId="6" fillId="0" borderId="0" xfId="0" applyFont="1" applyAlignment="1"/>
    <xf numFmtId="0" fontId="2" fillId="0" borderId="0" xfId="0" applyFont="1" applyAlignment="1"/>
    <xf numFmtId="0" fontId="4" fillId="0" borderId="0" xfId="0" applyFont="1"/>
    <xf numFmtId="0" fontId="9" fillId="0" borderId="0" xfId="0" applyFont="1" applyBorder="1" applyAlignment="1"/>
    <xf numFmtId="0" fontId="9" fillId="0" borderId="0" xfId="0" applyFont="1" applyBorder="1" applyAlignment="1">
      <alignment horizontal="left"/>
    </xf>
    <xf numFmtId="164" fontId="3" fillId="0" borderId="0" xfId="0" applyNumberFormat="1" applyFont="1" applyBorder="1" applyAlignment="1" applyProtection="1">
      <protection locked="0"/>
    </xf>
    <xf numFmtId="0" fontId="0" fillId="0" borderId="0" xfId="0" applyBorder="1" applyAlignment="1"/>
    <xf numFmtId="164" fontId="3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0" fillId="0" borderId="0" xfId="0" applyFont="1" applyBorder="1" applyAlignment="1" applyProtection="1">
      <protection locked="0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164" fontId="10" fillId="0" borderId="0" xfId="0" applyNumberFormat="1" applyFont="1" applyBorder="1" applyAlignment="1" applyProtection="1">
      <protection locked="0"/>
    </xf>
    <xf numFmtId="166" fontId="10" fillId="0" borderId="1" xfId="0" applyNumberFormat="1" applyFont="1" applyBorder="1" applyAlignment="1" applyProtection="1">
      <alignment horizontal="center" vertical="center"/>
      <protection locked="0"/>
    </xf>
    <xf numFmtId="166" fontId="10" fillId="0" borderId="0" xfId="0" applyNumberFormat="1" applyFont="1" applyBorder="1" applyAlignment="1" applyProtection="1">
      <alignment vertical="center"/>
      <protection locked="0"/>
    </xf>
    <xf numFmtId="0" fontId="10" fillId="0" borderId="0" xfId="0" applyFont="1" applyBorder="1" applyAlignment="1"/>
    <xf numFmtId="14" fontId="3" fillId="0" borderId="0" xfId="0" applyNumberFormat="1" applyFont="1" applyBorder="1" applyAlignment="1" applyProtection="1">
      <alignment vertical="center"/>
      <protection locked="0"/>
    </xf>
    <xf numFmtId="14" fontId="12" fillId="0" borderId="0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12" fillId="0" borderId="0" xfId="0" applyFont="1" applyBorder="1" applyAlignment="1"/>
    <xf numFmtId="0" fontId="9" fillId="0" borderId="0" xfId="0" applyFont="1" applyBorder="1" applyAlignment="1">
      <alignment horizontal="center" vertical="center"/>
    </xf>
    <xf numFmtId="166" fontId="9" fillId="0" borderId="0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/>
    <xf numFmtId="0" fontId="10" fillId="0" borderId="0" xfId="0" applyFont="1"/>
    <xf numFmtId="14" fontId="9" fillId="0" borderId="1" xfId="0" applyNumberFormat="1" applyFont="1" applyBorder="1" applyAlignment="1" applyProtection="1">
      <alignment vertical="center"/>
      <protection locked="0"/>
    </xf>
    <xf numFmtId="14" fontId="9" fillId="0" borderId="0" xfId="0" applyNumberFormat="1" applyFont="1" applyBorder="1" applyAlignment="1" applyProtection="1">
      <alignment vertical="center"/>
      <protection locked="0"/>
    </xf>
    <xf numFmtId="0" fontId="10" fillId="0" borderId="0" xfId="0" applyFont="1" applyAlignment="1">
      <alignment horizontal="right"/>
    </xf>
    <xf numFmtId="14" fontId="9" fillId="0" borderId="0" xfId="0" applyNumberFormat="1" applyFont="1" applyBorder="1" applyAlignment="1">
      <alignment horizontal="center"/>
    </xf>
    <xf numFmtId="14" fontId="9" fillId="0" borderId="0" xfId="0" applyNumberFormat="1" applyFont="1" applyBorder="1" applyAlignment="1"/>
    <xf numFmtId="165" fontId="9" fillId="0" borderId="0" xfId="0" applyNumberFormat="1" applyFont="1" applyBorder="1" applyAlignment="1" applyProtection="1"/>
    <xf numFmtId="14" fontId="10" fillId="0" borderId="0" xfId="0" applyNumberFormat="1" applyFont="1" applyBorder="1" applyAlignment="1"/>
    <xf numFmtId="14" fontId="15" fillId="0" borderId="1" xfId="0" applyNumberFormat="1" applyFont="1" applyBorder="1" applyAlignment="1" applyProtection="1">
      <alignment vertical="center"/>
      <protection locked="0"/>
    </xf>
    <xf numFmtId="14" fontId="15" fillId="0" borderId="0" xfId="0" applyNumberFormat="1" applyFont="1" applyBorder="1" applyAlignment="1" applyProtection="1">
      <alignment vertical="center"/>
      <protection locked="0"/>
    </xf>
    <xf numFmtId="0" fontId="9" fillId="0" borderId="0" xfId="0" applyFont="1" applyBorder="1" applyAlignment="1" applyProtection="1">
      <protection locked="0"/>
    </xf>
    <xf numFmtId="0" fontId="10" fillId="0" borderId="0" xfId="0" applyFont="1" applyBorder="1"/>
    <xf numFmtId="0" fontId="9" fillId="0" borderId="1" xfId="0" applyFont="1" applyBorder="1" applyAlignment="1" applyProtection="1">
      <alignment vertical="center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10" fillId="0" borderId="0" xfId="0" applyFont="1" applyBorder="1" applyAlignment="1">
      <alignment vertical="center"/>
    </xf>
    <xf numFmtId="20" fontId="10" fillId="0" borderId="1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3" fillId="0" borderId="0" xfId="0" applyFont="1" applyBorder="1" applyAlignment="1"/>
    <xf numFmtId="166" fontId="9" fillId="0" borderId="0" xfId="0" applyNumberFormat="1" applyFont="1" applyBorder="1" applyAlignment="1" applyProtection="1">
      <alignment vertical="center"/>
      <protection locked="0"/>
    </xf>
    <xf numFmtId="0" fontId="17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164" fontId="9" fillId="0" borderId="0" xfId="0" applyNumberFormat="1" applyFont="1" applyBorder="1" applyAlignment="1" applyProtection="1">
      <protection locked="0"/>
    </xf>
    <xf numFmtId="165" fontId="9" fillId="0" borderId="0" xfId="0" applyNumberFormat="1" applyFont="1" applyBorder="1" applyAlignment="1"/>
    <xf numFmtId="0" fontId="10" fillId="0" borderId="0" xfId="0" applyFont="1" applyBorder="1" applyAlignment="1" applyProtection="1"/>
    <xf numFmtId="0" fontId="10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166" fontId="9" fillId="0" borderId="0" xfId="0" applyNumberFormat="1" applyFont="1" applyBorder="1" applyAlignment="1" applyProtection="1">
      <alignment horizontal="left" vertical="center"/>
      <protection locked="0"/>
    </xf>
    <xf numFmtId="164" fontId="9" fillId="0" borderId="0" xfId="0" applyNumberFormat="1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right"/>
    </xf>
    <xf numFmtId="165" fontId="9" fillId="0" borderId="1" xfId="0" applyNumberFormat="1" applyFont="1" applyBorder="1" applyAlignment="1" applyProtection="1"/>
    <xf numFmtId="0" fontId="9" fillId="0" borderId="3" xfId="0" applyFont="1" applyBorder="1" applyAlignment="1" applyProtection="1">
      <alignment vertical="center"/>
      <protection locked="0"/>
    </xf>
    <xf numFmtId="0" fontId="9" fillId="0" borderId="3" xfId="0" applyFont="1" applyBorder="1" applyAlignment="1"/>
    <xf numFmtId="0" fontId="10" fillId="0" borderId="3" xfId="0" applyFont="1" applyBorder="1"/>
    <xf numFmtId="0" fontId="10" fillId="0" borderId="0" xfId="0" applyFont="1" applyAlignment="1"/>
    <xf numFmtId="0" fontId="15" fillId="0" borderId="0" xfId="0" applyFont="1" applyBorder="1" applyAlignment="1"/>
    <xf numFmtId="0" fontId="15" fillId="0" borderId="0" xfId="0" applyFont="1" applyBorder="1" applyAlignment="1">
      <alignment horizontal="left"/>
    </xf>
    <xf numFmtId="0" fontId="15" fillId="0" borderId="0" xfId="0" applyFont="1" applyAlignment="1"/>
    <xf numFmtId="0" fontId="9" fillId="0" borderId="0" xfId="0" applyFont="1" applyAlignment="1"/>
    <xf numFmtId="0" fontId="9" fillId="0" borderId="0" xfId="0" applyFont="1"/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right"/>
    </xf>
    <xf numFmtId="20" fontId="10" fillId="0" borderId="0" xfId="0" applyNumberFormat="1" applyFont="1" applyBorder="1" applyAlignment="1">
      <alignment horizontal="center" vertical="center"/>
    </xf>
    <xf numFmtId="14" fontId="10" fillId="0" borderId="0" xfId="0" applyNumberFormat="1" applyFont="1" applyBorder="1" applyAlignment="1" applyProtection="1">
      <protection locked="0"/>
    </xf>
    <xf numFmtId="0" fontId="13" fillId="0" borderId="0" xfId="0" applyFont="1" applyBorder="1" applyAlignment="1">
      <alignment vertical="center"/>
    </xf>
    <xf numFmtId="14" fontId="10" fillId="0" borderId="0" xfId="0" applyNumberFormat="1" applyFont="1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4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0" fillId="0" borderId="0" xfId="0" applyFont="1" applyBorder="1"/>
    <xf numFmtId="0" fontId="25" fillId="0" borderId="0" xfId="0" applyFont="1" applyBorder="1"/>
    <xf numFmtId="0" fontId="15" fillId="0" borderId="0" xfId="0" applyFont="1" applyBorder="1" applyAlignment="1">
      <alignment vertical="center"/>
    </xf>
    <xf numFmtId="164" fontId="15" fillId="0" borderId="0" xfId="0" applyNumberFormat="1" applyFont="1" applyBorder="1" applyAlignment="1" applyProtection="1">
      <protection locked="0"/>
    </xf>
    <xf numFmtId="0" fontId="24" fillId="0" borderId="0" xfId="0" applyFont="1"/>
    <xf numFmtId="14" fontId="15" fillId="0" borderId="0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/>
    <xf numFmtId="0" fontId="15" fillId="0" borderId="3" xfId="0" applyFont="1" applyBorder="1" applyAlignment="1">
      <alignment vertical="center"/>
    </xf>
    <xf numFmtId="0" fontId="20" fillId="0" borderId="3" xfId="0" applyFont="1" applyBorder="1"/>
    <xf numFmtId="0" fontId="15" fillId="0" borderId="3" xfId="0" applyFont="1" applyBorder="1" applyAlignment="1">
      <alignment horizontal="right"/>
    </xf>
    <xf numFmtId="164" fontId="15" fillId="0" borderId="3" xfId="0" applyNumberFormat="1" applyFont="1" applyBorder="1" applyAlignment="1" applyProtection="1">
      <protection locked="0"/>
    </xf>
    <xf numFmtId="0" fontId="20" fillId="0" borderId="3" xfId="0" applyFont="1" applyBorder="1" applyAlignment="1">
      <alignment horizontal="right"/>
    </xf>
    <xf numFmtId="165" fontId="15" fillId="0" borderId="3" xfId="0" applyNumberFormat="1" applyFont="1" applyBorder="1" applyAlignment="1" applyProtection="1"/>
    <xf numFmtId="0" fontId="10" fillId="0" borderId="0" xfId="0" applyFont="1" applyBorder="1" applyAlignment="1" applyProtection="1">
      <alignment vertical="center"/>
      <protection locked="0"/>
    </xf>
    <xf numFmtId="14" fontId="10" fillId="0" borderId="0" xfId="0" applyNumberFormat="1" applyFont="1" applyBorder="1" applyAlignment="1" applyProtection="1">
      <alignment vertical="center"/>
      <protection locked="0"/>
    </xf>
    <xf numFmtId="0" fontId="10" fillId="0" borderId="1" xfId="0" applyFont="1" applyBorder="1"/>
    <xf numFmtId="0" fontId="9" fillId="0" borderId="1" xfId="0" applyFont="1" applyBorder="1" applyAlignment="1" applyProtection="1">
      <protection locked="0"/>
    </xf>
    <xf numFmtId="0" fontId="15" fillId="0" borderId="0" xfId="0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20" fillId="0" borderId="0" xfId="0" applyFont="1" applyBorder="1" applyAlignment="1"/>
    <xf numFmtId="164" fontId="20" fillId="0" borderId="0" xfId="0" applyNumberFormat="1" applyFont="1" applyBorder="1" applyAlignment="1" applyProtection="1">
      <protection locked="0"/>
    </xf>
    <xf numFmtId="0" fontId="20" fillId="0" borderId="0" xfId="0" applyFont="1" applyBorder="1" applyAlignment="1">
      <alignment horizontal="center"/>
    </xf>
    <xf numFmtId="0" fontId="20" fillId="0" borderId="0" xfId="0" applyFont="1" applyBorder="1" applyAlignment="1">
      <alignment vertical="center"/>
    </xf>
    <xf numFmtId="0" fontId="25" fillId="0" borderId="0" xfId="0" applyFont="1" applyBorder="1" applyAlignment="1"/>
    <xf numFmtId="166" fontId="15" fillId="0" borderId="0" xfId="0" applyNumberFormat="1" applyFont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vertical="center"/>
      <protection locked="0"/>
    </xf>
    <xf numFmtId="0" fontId="24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/>
    </xf>
    <xf numFmtId="165" fontId="15" fillId="0" borderId="0" xfId="0" applyNumberFormat="1" applyFont="1" applyBorder="1" applyAlignment="1"/>
    <xf numFmtId="0" fontId="20" fillId="0" borderId="0" xfId="0" applyFont="1" applyBorder="1" applyAlignment="1" applyProtection="1"/>
    <xf numFmtId="0" fontId="20" fillId="0" borderId="0" xfId="0" applyFont="1" applyBorder="1" applyAlignment="1" applyProtection="1">
      <protection locked="0"/>
    </xf>
    <xf numFmtId="0" fontId="15" fillId="0" borderId="0" xfId="0" applyFont="1" applyBorder="1" applyAlignment="1" applyProtection="1">
      <protection locked="0"/>
    </xf>
    <xf numFmtId="0" fontId="20" fillId="0" borderId="0" xfId="0" applyFont="1" applyBorder="1" applyAlignment="1" applyProtection="1">
      <alignment vertical="center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14" fontId="20" fillId="0" borderId="0" xfId="0" applyNumberFormat="1" applyFont="1" applyBorder="1" applyAlignment="1" applyProtection="1">
      <alignment vertical="center"/>
      <protection locked="0"/>
    </xf>
    <xf numFmtId="14" fontId="20" fillId="0" borderId="0" xfId="0" applyNumberFormat="1" applyFont="1" applyBorder="1" applyAlignment="1" applyProtection="1">
      <protection locked="0"/>
    </xf>
    <xf numFmtId="0" fontId="22" fillId="0" borderId="0" xfId="0" applyFont="1" applyAlignment="1"/>
    <xf numFmtId="0" fontId="22" fillId="0" borderId="0" xfId="0" applyFont="1" applyAlignment="1">
      <alignment horizontal="right" vertical="center"/>
    </xf>
    <xf numFmtId="0" fontId="22" fillId="0" borderId="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15" fillId="0" borderId="1" xfId="0" applyFont="1" applyBorder="1" applyAlignment="1" applyProtection="1">
      <protection locked="0"/>
    </xf>
    <xf numFmtId="0" fontId="15" fillId="0" borderId="3" xfId="0" applyFont="1" applyBorder="1" applyAlignment="1" applyProtection="1">
      <protection locked="0"/>
    </xf>
    <xf numFmtId="14" fontId="20" fillId="0" borderId="3" xfId="0" applyNumberFormat="1" applyFont="1" applyBorder="1" applyAlignment="1" applyProtection="1">
      <alignment vertical="center"/>
      <protection locked="0"/>
    </xf>
    <xf numFmtId="0" fontId="20" fillId="0" borderId="3" xfId="0" applyFont="1" applyBorder="1" applyAlignment="1" applyProtection="1">
      <alignment vertical="center"/>
      <protection locked="0"/>
    </xf>
    <xf numFmtId="0" fontId="20" fillId="0" borderId="3" xfId="0" applyFont="1" applyBorder="1" applyAlignment="1" applyProtection="1">
      <protection locked="0"/>
    </xf>
    <xf numFmtId="14" fontId="20" fillId="0" borderId="3" xfId="0" applyNumberFormat="1" applyFont="1" applyBorder="1" applyAlignment="1" applyProtection="1">
      <protection locked="0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0" fontId="22" fillId="0" borderId="0" xfId="0" applyFont="1" applyBorder="1" applyAlignment="1"/>
    <xf numFmtId="0" fontId="23" fillId="0" borderId="0" xfId="0" applyFont="1" applyBorder="1" applyAlignment="1">
      <alignment horizontal="center" vertical="center"/>
    </xf>
    <xf numFmtId="14" fontId="20" fillId="0" borderId="1" xfId="0" applyNumberFormat="1" applyFont="1" applyBorder="1" applyAlignment="1" applyProtection="1">
      <protection locked="0"/>
    </xf>
    <xf numFmtId="0" fontId="32" fillId="0" borderId="0" xfId="0" applyFont="1"/>
    <xf numFmtId="0" fontId="31" fillId="0" borderId="0" xfId="0" applyFont="1"/>
    <xf numFmtId="0" fontId="22" fillId="0" borderId="1" xfId="0" applyFont="1" applyBorder="1" applyAlignment="1"/>
    <xf numFmtId="166" fontId="9" fillId="0" borderId="3" xfId="0" applyNumberFormat="1" applyFont="1" applyBorder="1" applyAlignment="1" applyProtection="1">
      <alignment horizontal="center" vertical="center"/>
      <protection locked="0"/>
    </xf>
    <xf numFmtId="166" fontId="9" fillId="0" borderId="3" xfId="0" applyNumberFormat="1" applyFont="1" applyBorder="1" applyAlignment="1" applyProtection="1">
      <alignment vertical="center"/>
      <protection locked="0"/>
    </xf>
    <xf numFmtId="0" fontId="10" fillId="0" borderId="3" xfId="0" applyFont="1" applyBorder="1" applyAlignment="1"/>
    <xf numFmtId="0" fontId="22" fillId="0" borderId="3" xfId="0" applyFont="1" applyBorder="1" applyAlignment="1"/>
    <xf numFmtId="0" fontId="23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2" fillId="0" borderId="3" xfId="0" applyFont="1" applyBorder="1"/>
    <xf numFmtId="164" fontId="9" fillId="0" borderId="3" xfId="0" applyNumberFormat="1" applyFont="1" applyBorder="1" applyAlignment="1" applyProtection="1">
      <protection locked="0"/>
    </xf>
    <xf numFmtId="165" fontId="9" fillId="0" borderId="3" xfId="0" applyNumberFormat="1" applyFont="1" applyBorder="1" applyAlignment="1"/>
    <xf numFmtId="0" fontId="10" fillId="0" borderId="3" xfId="0" applyFont="1" applyBorder="1" applyAlignment="1" applyProtection="1"/>
    <xf numFmtId="0" fontId="9" fillId="0" borderId="3" xfId="0" applyFont="1" applyBorder="1" applyAlignment="1" applyProtection="1">
      <protection locked="0"/>
    </xf>
    <xf numFmtId="0" fontId="32" fillId="0" borderId="0" xfId="0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22" fillId="0" borderId="0" xfId="0" applyFont="1" applyBorder="1"/>
    <xf numFmtId="0" fontId="34" fillId="0" borderId="0" xfId="0" applyFont="1" applyBorder="1" applyAlignment="1"/>
    <xf numFmtId="0" fontId="33" fillId="0" borderId="0" xfId="0" applyFont="1" applyBorder="1" applyAlignment="1" applyProtection="1">
      <protection locked="0"/>
    </xf>
    <xf numFmtId="0" fontId="35" fillId="0" borderId="0" xfId="0" applyFont="1" applyAlignment="1">
      <alignment vertical="center"/>
    </xf>
    <xf numFmtId="0" fontId="35" fillId="0" borderId="0" xfId="0" applyFont="1"/>
    <xf numFmtId="0" fontId="35" fillId="0" borderId="0" xfId="0" applyFont="1" applyBorder="1"/>
    <xf numFmtId="0" fontId="36" fillId="0" borderId="0" xfId="0" applyFont="1" applyBorder="1" applyAlignment="1" applyProtection="1"/>
    <xf numFmtId="0" fontId="37" fillId="0" borderId="0" xfId="0" applyFont="1" applyBorder="1" applyAlignment="1" applyProtection="1">
      <protection locked="0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33" fillId="0" borderId="3" xfId="0" applyFont="1" applyBorder="1" applyAlignment="1"/>
    <xf numFmtId="0" fontId="34" fillId="0" borderId="3" xfId="0" applyFont="1" applyBorder="1" applyAlignment="1"/>
    <xf numFmtId="0" fontId="17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0" xfId="0" applyFont="1"/>
    <xf numFmtId="0" fontId="38" fillId="0" borderId="0" xfId="0" applyFont="1" applyBorder="1"/>
    <xf numFmtId="0" fontId="19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vertical="center"/>
    </xf>
    <xf numFmtId="164" fontId="9" fillId="0" borderId="0" xfId="0" applyNumberFormat="1" applyFont="1" applyBorder="1" applyAlignment="1" applyProtection="1">
      <alignment vertical="center"/>
      <protection locked="0"/>
    </xf>
    <xf numFmtId="167" fontId="10" fillId="0" borderId="0" xfId="0" applyNumberFormat="1" applyFont="1" applyBorder="1" applyAlignment="1" applyProtection="1">
      <alignment vertical="center"/>
      <protection locked="0"/>
    </xf>
    <xf numFmtId="0" fontId="38" fillId="0" borderId="12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38" fillId="0" borderId="15" xfId="0" applyFont="1" applyBorder="1" applyAlignment="1">
      <alignment vertical="center"/>
    </xf>
    <xf numFmtId="0" fontId="38" fillId="0" borderId="17" xfId="0" applyFont="1" applyBorder="1" applyAlignment="1">
      <alignment horizontal="center" vertical="center" wrapText="1"/>
    </xf>
    <xf numFmtId="0" fontId="23" fillId="0" borderId="0" xfId="0" applyFont="1" applyBorder="1" applyAlignment="1">
      <alignment vertical="center"/>
    </xf>
    <xf numFmtId="0" fontId="33" fillId="0" borderId="0" xfId="0" applyFont="1" applyBorder="1" applyAlignment="1"/>
    <xf numFmtId="0" fontId="23" fillId="0" borderId="12" xfId="0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 wrapText="1"/>
    </xf>
    <xf numFmtId="2" fontId="10" fillId="0" borderId="17" xfId="0" applyNumberFormat="1" applyFont="1" applyBorder="1" applyAlignment="1" applyProtection="1">
      <alignment horizontal="center" vertical="center"/>
      <protection locked="0"/>
    </xf>
    <xf numFmtId="2" fontId="10" fillId="0" borderId="0" xfId="0" applyNumberFormat="1" applyFont="1" applyBorder="1" applyAlignment="1" applyProtection="1">
      <protection locked="0"/>
    </xf>
    <xf numFmtId="2" fontId="9" fillId="0" borderId="18" xfId="0" applyNumberFormat="1" applyFont="1" applyBorder="1" applyAlignment="1" applyProtection="1">
      <alignment horizontal="center" vertical="center"/>
      <protection locked="0"/>
    </xf>
    <xf numFmtId="2" fontId="38" fillId="0" borderId="18" xfId="0" applyNumberFormat="1" applyFont="1" applyBorder="1" applyAlignment="1">
      <alignment horizontal="center" vertical="center"/>
    </xf>
    <xf numFmtId="2" fontId="9" fillId="0" borderId="18" xfId="0" applyNumberFormat="1" applyFont="1" applyBorder="1" applyAlignment="1" applyProtection="1">
      <alignment vertical="center"/>
      <protection locked="0"/>
    </xf>
    <xf numFmtId="2" fontId="19" fillId="0" borderId="18" xfId="0" applyNumberFormat="1" applyFont="1" applyBorder="1" applyAlignment="1">
      <alignment vertical="center"/>
    </xf>
    <xf numFmtId="2" fontId="19" fillId="0" borderId="18" xfId="0" applyNumberFormat="1" applyFont="1" applyBorder="1" applyAlignment="1" applyProtection="1">
      <alignment horizontal="center" vertical="center"/>
      <protection locked="0"/>
    </xf>
    <xf numFmtId="2" fontId="10" fillId="0" borderId="18" xfId="0" applyNumberFormat="1" applyFont="1" applyBorder="1" applyAlignment="1"/>
    <xf numFmtId="2" fontId="10" fillId="0" borderId="19" xfId="0" applyNumberFormat="1" applyFont="1" applyBorder="1" applyAlignment="1" applyProtection="1">
      <protection locked="0"/>
    </xf>
    <xf numFmtId="2" fontId="23" fillId="0" borderId="22" xfId="0" applyNumberFormat="1" applyFont="1" applyBorder="1" applyAlignment="1">
      <alignment horizontal="center" vertical="center"/>
    </xf>
    <xf numFmtId="2" fontId="22" fillId="0" borderId="18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 applyProtection="1">
      <alignment horizontal="center" vertical="center"/>
    </xf>
    <xf numFmtId="2" fontId="10" fillId="0" borderId="18" xfId="0" applyNumberFormat="1" applyFont="1" applyBorder="1" applyAlignment="1" applyProtection="1">
      <alignment horizontal="center" vertical="center"/>
      <protection locked="0"/>
    </xf>
    <xf numFmtId="1" fontId="10" fillId="0" borderId="16" xfId="0" applyNumberFormat="1" applyFont="1" applyBorder="1" applyAlignment="1">
      <alignment horizontal="center" vertical="center"/>
    </xf>
    <xf numFmtId="0" fontId="10" fillId="0" borderId="11" xfId="0" applyFont="1" applyBorder="1" applyAlignment="1" applyProtection="1">
      <alignment horizontal="center" vertical="center"/>
      <protection locked="0"/>
    </xf>
    <xf numFmtId="167" fontId="10" fillId="0" borderId="16" xfId="0" applyNumberFormat="1" applyFont="1" applyBorder="1" applyAlignment="1">
      <alignment horizontal="center" vertical="center"/>
    </xf>
    <xf numFmtId="167" fontId="9" fillId="0" borderId="18" xfId="0" applyNumberFormat="1" applyFont="1" applyBorder="1" applyAlignment="1" applyProtection="1">
      <alignment horizontal="center" vertical="center"/>
      <protection locked="0"/>
    </xf>
    <xf numFmtId="167" fontId="10" fillId="0" borderId="20" xfId="0" applyNumberFormat="1" applyFont="1" applyBorder="1" applyAlignment="1" applyProtection="1">
      <alignment horizontal="center" vertical="center"/>
      <protection locked="0"/>
    </xf>
    <xf numFmtId="167" fontId="10" fillId="0" borderId="17" xfId="0" applyNumberFormat="1" applyFont="1" applyBorder="1" applyAlignment="1" applyProtection="1">
      <alignment horizontal="center" vertical="center"/>
      <protection locked="0"/>
    </xf>
    <xf numFmtId="167" fontId="23" fillId="0" borderId="21" xfId="0" applyNumberFormat="1" applyFont="1" applyBorder="1" applyAlignment="1">
      <alignment horizontal="center" vertical="center"/>
    </xf>
    <xf numFmtId="0" fontId="20" fillId="0" borderId="0" xfId="0" applyFont="1" applyBorder="1" applyAlignment="1" applyProtection="1">
      <alignment horizontal="left"/>
      <protection locked="0"/>
    </xf>
    <xf numFmtId="0" fontId="23" fillId="0" borderId="0" xfId="0" applyFont="1" applyAlignment="1">
      <alignment horizontal="right" vertical="center"/>
    </xf>
    <xf numFmtId="0" fontId="22" fillId="0" borderId="1" xfId="0" applyFont="1" applyBorder="1" applyAlignment="1">
      <alignment vertical="center"/>
    </xf>
    <xf numFmtId="0" fontId="10" fillId="0" borderId="1" xfId="0" applyFont="1" applyBorder="1" applyAlignment="1"/>
    <xf numFmtId="0" fontId="23" fillId="0" borderId="1" xfId="0" applyFont="1" applyBorder="1" applyAlignment="1">
      <alignment vertical="center"/>
    </xf>
    <xf numFmtId="0" fontId="13" fillId="0" borderId="1" xfId="0" applyFont="1" applyBorder="1"/>
    <xf numFmtId="0" fontId="9" fillId="0" borderId="0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right"/>
    </xf>
    <xf numFmtId="0" fontId="20" fillId="0" borderId="0" xfId="0" applyFont="1" applyBorder="1" applyAlignment="1">
      <alignment horizontal="right"/>
    </xf>
    <xf numFmtId="165" fontId="15" fillId="0" borderId="0" xfId="0" applyNumberFormat="1" applyFont="1" applyBorder="1" applyAlignment="1" applyProtection="1"/>
    <xf numFmtId="0" fontId="24" fillId="0" borderId="0" xfId="0" applyFont="1" applyBorder="1"/>
    <xf numFmtId="0" fontId="27" fillId="0" borderId="0" xfId="0" applyFont="1" applyAlignment="1">
      <alignment vertical="center"/>
    </xf>
    <xf numFmtId="0" fontId="9" fillId="0" borderId="0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38" fillId="0" borderId="0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 wrapText="1"/>
    </xf>
    <xf numFmtId="2" fontId="9" fillId="0" borderId="0" xfId="0" applyNumberFormat="1" applyFont="1" applyBorder="1" applyAlignment="1" applyProtection="1">
      <alignment horizontal="center" vertical="center"/>
      <protection locked="0"/>
    </xf>
    <xf numFmtId="2" fontId="22" fillId="0" borderId="0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vertical="center"/>
    </xf>
    <xf numFmtId="2" fontId="19" fillId="0" borderId="0" xfId="0" applyNumberFormat="1" applyFont="1" applyBorder="1" applyAlignment="1">
      <alignment horizontal="center" vertical="center"/>
    </xf>
    <xf numFmtId="2" fontId="19" fillId="0" borderId="0" xfId="0" applyNumberFormat="1" applyFont="1" applyBorder="1" applyAlignment="1">
      <alignment vertical="center"/>
    </xf>
    <xf numFmtId="2" fontId="23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2" fontId="10" fillId="0" borderId="0" xfId="0" applyNumberFormat="1" applyFont="1" applyBorder="1" applyAlignment="1" applyProtection="1">
      <alignment horizontal="center" vertical="center"/>
    </xf>
    <xf numFmtId="2" fontId="9" fillId="0" borderId="0" xfId="0" applyNumberFormat="1" applyFont="1" applyBorder="1" applyAlignment="1" applyProtection="1">
      <alignment vertical="center"/>
      <protection locked="0"/>
    </xf>
    <xf numFmtId="2" fontId="10" fillId="0" borderId="0" xfId="0" applyNumberFormat="1" applyFont="1" applyBorder="1" applyAlignment="1" applyProtection="1">
      <alignment horizontal="center" vertical="center"/>
      <protection locked="0"/>
    </xf>
    <xf numFmtId="2" fontId="19" fillId="0" borderId="0" xfId="0" applyNumberFormat="1" applyFont="1" applyBorder="1" applyAlignment="1" applyProtection="1">
      <alignment horizontal="center" vertical="center"/>
      <protection locked="0"/>
    </xf>
    <xf numFmtId="167" fontId="10" fillId="0" borderId="0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Border="1" applyAlignment="1">
      <alignment horizontal="right" vertical="center"/>
    </xf>
    <xf numFmtId="0" fontId="25" fillId="0" borderId="0" xfId="0" applyFont="1" applyBorder="1" applyAlignment="1">
      <alignment horizontal="right" vertical="center"/>
    </xf>
    <xf numFmtId="2" fontId="20" fillId="0" borderId="0" xfId="0" applyNumberFormat="1" applyFont="1" applyBorder="1" applyAlignment="1" applyProtection="1">
      <alignment horizontal="center" vertical="center"/>
      <protection locked="0"/>
    </xf>
    <xf numFmtId="2" fontId="15" fillId="0" borderId="0" xfId="0" applyNumberFormat="1" applyFont="1" applyBorder="1" applyAlignment="1" applyProtection="1">
      <alignment horizontal="center" vertical="center"/>
      <protection locked="0"/>
    </xf>
    <xf numFmtId="1" fontId="15" fillId="0" borderId="0" xfId="0" applyNumberFormat="1" applyFont="1" applyBorder="1" applyAlignment="1">
      <alignment horizontal="center" vertical="center"/>
    </xf>
    <xf numFmtId="2" fontId="15" fillId="0" borderId="28" xfId="0" applyNumberFormat="1" applyFont="1" applyBorder="1" applyAlignment="1" applyProtection="1">
      <alignment horizontal="center" vertical="center"/>
      <protection locked="0"/>
    </xf>
    <xf numFmtId="2" fontId="23" fillId="0" borderId="0" xfId="0" applyNumberFormat="1" applyFont="1" applyBorder="1" applyAlignment="1">
      <alignment vertical="center"/>
    </xf>
    <xf numFmtId="2" fontId="24" fillId="0" borderId="0" xfId="0" applyNumberFormat="1" applyFont="1" applyBorder="1" applyAlignment="1">
      <alignment horizontal="center" vertical="center"/>
    </xf>
    <xf numFmtId="167" fontId="15" fillId="0" borderId="0" xfId="0" applyNumberFormat="1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vertical="center"/>
      <protection locked="0"/>
    </xf>
    <xf numFmtId="167" fontId="15" fillId="0" borderId="16" xfId="0" applyNumberFormat="1" applyFont="1" applyBorder="1" applyAlignment="1" applyProtection="1">
      <alignment horizontal="center" vertical="center"/>
      <protection locked="0"/>
    </xf>
    <xf numFmtId="0" fontId="23" fillId="0" borderId="25" xfId="0" applyFont="1" applyBorder="1" applyAlignment="1">
      <alignment horizontal="center" vertical="center"/>
    </xf>
    <xf numFmtId="0" fontId="20" fillId="0" borderId="26" xfId="0" applyFont="1" applyBorder="1" applyAlignment="1" applyProtection="1">
      <alignment vertical="center"/>
      <protection locked="0"/>
    </xf>
    <xf numFmtId="2" fontId="10" fillId="0" borderId="26" xfId="0" applyNumberFormat="1" applyFont="1" applyBorder="1" applyAlignment="1" applyProtection="1">
      <alignment horizontal="center" vertical="center"/>
      <protection locked="0"/>
    </xf>
    <xf numFmtId="167" fontId="10" fillId="0" borderId="26" xfId="0" applyNumberFormat="1" applyFont="1" applyBorder="1" applyAlignment="1" applyProtection="1">
      <alignment horizontal="center" vertical="center"/>
      <protection locked="0"/>
    </xf>
    <xf numFmtId="14" fontId="10" fillId="0" borderId="27" xfId="0" applyNumberFormat="1" applyFont="1" applyBorder="1" applyAlignment="1" applyProtection="1">
      <protection locked="0"/>
    </xf>
    <xf numFmtId="2" fontId="15" fillId="0" borderId="31" xfId="0" applyNumberFormat="1" applyFont="1" applyBorder="1" applyAlignment="1" applyProtection="1">
      <alignment horizontal="center" vertical="center"/>
      <protection locked="0"/>
    </xf>
    <xf numFmtId="2" fontId="20" fillId="0" borderId="19" xfId="0" applyNumberFormat="1" applyFont="1" applyBorder="1" applyAlignment="1" applyProtection="1">
      <alignment horizontal="center" vertical="center"/>
      <protection locked="0"/>
    </xf>
    <xf numFmtId="2" fontId="10" fillId="0" borderId="29" xfId="0" applyNumberFormat="1" applyFont="1" applyBorder="1" applyAlignment="1" applyProtection="1">
      <protection locked="0"/>
    </xf>
    <xf numFmtId="2" fontId="10" fillId="0" borderId="30" xfId="0" applyNumberFormat="1" applyFont="1" applyBorder="1" applyAlignment="1" applyProtection="1">
      <alignment horizontal="center" vertical="center"/>
      <protection locked="0"/>
    </xf>
    <xf numFmtId="1" fontId="15" fillId="0" borderId="31" xfId="0" applyNumberFormat="1" applyFont="1" applyBorder="1" applyAlignment="1">
      <alignment horizontal="center" vertical="center"/>
    </xf>
    <xf numFmtId="167" fontId="10" fillId="0" borderId="19" xfId="0" applyNumberFormat="1" applyFont="1" applyBorder="1" applyAlignment="1" applyProtection="1">
      <alignment horizontal="center" vertical="center"/>
      <protection locked="0"/>
    </xf>
    <xf numFmtId="2" fontId="9" fillId="0" borderId="29" xfId="0" applyNumberFormat="1" applyFont="1" applyBorder="1" applyAlignment="1" applyProtection="1">
      <alignment horizontal="center" vertical="center"/>
      <protection locked="0"/>
    </xf>
    <xf numFmtId="9" fontId="9" fillId="0" borderId="16" xfId="2" applyFont="1" applyBorder="1" applyAlignment="1" applyProtection="1">
      <alignment horizontal="center" vertical="center"/>
      <protection locked="0"/>
    </xf>
    <xf numFmtId="167" fontId="9" fillId="0" borderId="18" xfId="0" applyNumberFormat="1" applyFont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/>
    </xf>
    <xf numFmtId="0" fontId="0" fillId="0" borderId="0" xfId="0" applyBorder="1"/>
    <xf numFmtId="0" fontId="33" fillId="0" borderId="0" xfId="0" applyFont="1" applyBorder="1" applyAlignment="1">
      <alignment vertical="center"/>
    </xf>
    <xf numFmtId="0" fontId="17" fillId="0" borderId="0" xfId="0" applyFont="1"/>
    <xf numFmtId="0" fontId="13" fillId="0" borderId="1" xfId="0" applyFont="1" applyBorder="1" applyAlignment="1">
      <alignment vertical="center"/>
    </xf>
    <xf numFmtId="0" fontId="34" fillId="0" borderId="1" xfId="0" applyFont="1" applyBorder="1" applyAlignment="1"/>
    <xf numFmtId="14" fontId="22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right" vertical="center"/>
    </xf>
    <xf numFmtId="167" fontId="9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9" fontId="9" fillId="0" borderId="0" xfId="2" applyFont="1" applyBorder="1" applyAlignment="1" applyProtection="1">
      <alignment horizontal="center" vertical="center"/>
      <protection locked="0"/>
    </xf>
    <xf numFmtId="0" fontId="8" fillId="0" borderId="0" xfId="1" applyFont="1" applyAlignment="1" applyProtection="1"/>
    <xf numFmtId="0" fontId="25" fillId="0" borderId="0" xfId="0" applyFont="1" applyBorder="1" applyAlignment="1">
      <alignment vertical="center"/>
    </xf>
    <xf numFmtId="20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23" fillId="0" borderId="1" xfId="0" applyFont="1" applyBorder="1" applyAlignment="1">
      <alignment horizontal="right" vertic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5" fillId="0" borderId="0" xfId="0" applyFont="1" applyBorder="1" applyAlignment="1" applyProtection="1">
      <alignment vertical="center"/>
      <protection locked="0"/>
    </xf>
    <xf numFmtId="0" fontId="24" fillId="0" borderId="0" xfId="0" applyFont="1" applyBorder="1" applyAlignment="1">
      <alignment vertical="center"/>
    </xf>
    <xf numFmtId="0" fontId="10" fillId="0" borderId="2" xfId="0" applyFont="1" applyBorder="1"/>
    <xf numFmtId="0" fontId="24" fillId="0" borderId="0" xfId="0" applyFont="1" applyBorder="1" applyAlignment="1">
      <alignment horizontal="right" vertical="center"/>
    </xf>
    <xf numFmtId="0" fontId="25" fillId="0" borderId="2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2" fontId="10" fillId="0" borderId="0" xfId="0" applyNumberFormat="1" applyFont="1" applyBorder="1" applyAlignment="1">
      <alignment vertical="center"/>
    </xf>
    <xf numFmtId="1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Border="1" applyAlignment="1">
      <alignment horizontal="right" vertical="center"/>
    </xf>
    <xf numFmtId="0" fontId="23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0" borderId="0" xfId="0" applyFont="1" applyAlignment="1"/>
    <xf numFmtId="14" fontId="13" fillId="0" borderId="0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34" fillId="0" borderId="0" xfId="0" applyFont="1" applyBorder="1"/>
    <xf numFmtId="0" fontId="45" fillId="0" borderId="0" xfId="0" applyFont="1" applyBorder="1"/>
    <xf numFmtId="0" fontId="9" fillId="0" borderId="0" xfId="0" applyFont="1" applyBorder="1" applyAlignment="1" applyProtection="1">
      <alignment horizontal="center" vertical="center"/>
      <protection locked="0"/>
    </xf>
    <xf numFmtId="0" fontId="0" fillId="0" borderId="1" xfId="0" applyBorder="1"/>
    <xf numFmtId="0" fontId="9" fillId="0" borderId="1" xfId="0" applyFont="1" applyBorder="1" applyAlignment="1"/>
    <xf numFmtId="0" fontId="33" fillId="0" borderId="0" xfId="0" applyFont="1" applyBorder="1"/>
    <xf numFmtId="0" fontId="33" fillId="0" borderId="0" xfId="0" applyFont="1" applyBorder="1" applyAlignment="1">
      <alignment horizontal="left" vertical="center"/>
    </xf>
    <xf numFmtId="0" fontId="33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vertical="center"/>
    </xf>
    <xf numFmtId="164" fontId="34" fillId="0" borderId="0" xfId="0" applyNumberFormat="1" applyFont="1" applyBorder="1" applyAlignment="1" applyProtection="1">
      <protection locked="0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vertical="center"/>
    </xf>
    <xf numFmtId="166" fontId="34" fillId="0" borderId="0" xfId="0" applyNumberFormat="1" applyFont="1" applyBorder="1" applyAlignment="1" applyProtection="1">
      <alignment vertical="center"/>
      <protection locked="0"/>
    </xf>
    <xf numFmtId="0" fontId="46" fillId="0" borderId="0" xfId="0" applyFont="1" applyBorder="1" applyAlignment="1">
      <alignment horizontal="center"/>
    </xf>
    <xf numFmtId="164" fontId="33" fillId="0" borderId="0" xfId="0" applyNumberFormat="1" applyFont="1" applyBorder="1" applyAlignment="1" applyProtection="1">
      <protection locked="0"/>
    </xf>
    <xf numFmtId="165" fontId="33" fillId="0" borderId="0" xfId="0" applyNumberFormat="1" applyFont="1" applyBorder="1" applyAlignment="1"/>
    <xf numFmtId="0" fontId="34" fillId="0" borderId="0" xfId="0" applyFont="1" applyBorder="1" applyAlignment="1" applyProtection="1"/>
    <xf numFmtId="0" fontId="34" fillId="0" borderId="0" xfId="0" applyFont="1" applyBorder="1" applyAlignment="1" applyProtection="1">
      <protection locked="0"/>
    </xf>
    <xf numFmtId="0" fontId="34" fillId="0" borderId="0" xfId="0" applyFont="1" applyBorder="1" applyAlignment="1" applyProtection="1">
      <alignment vertical="center"/>
      <protection locked="0"/>
    </xf>
    <xf numFmtId="0" fontId="34" fillId="0" borderId="0" xfId="0" applyFont="1" applyBorder="1" applyAlignment="1" applyProtection="1">
      <alignment horizontal="center" vertical="center"/>
      <protection locked="0"/>
    </xf>
    <xf numFmtId="14" fontId="34" fillId="0" borderId="0" xfId="0" applyNumberFormat="1" applyFont="1" applyBorder="1" applyAlignment="1" applyProtection="1">
      <alignment vertical="center"/>
      <protection locked="0"/>
    </xf>
    <xf numFmtId="14" fontId="34" fillId="0" borderId="0" xfId="0" applyNumberFormat="1" applyFont="1" applyBorder="1" applyAlignment="1" applyProtection="1">
      <protection locked="0"/>
    </xf>
    <xf numFmtId="0" fontId="34" fillId="0" borderId="0" xfId="0" applyFont="1"/>
    <xf numFmtId="0" fontId="33" fillId="0" borderId="0" xfId="0" applyFont="1" applyBorder="1" applyAlignment="1">
      <alignment horizontal="left"/>
    </xf>
    <xf numFmtId="0" fontId="34" fillId="0" borderId="0" xfId="0" applyFont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0" fillId="0" borderId="0" xfId="0" applyFont="1"/>
    <xf numFmtId="0" fontId="34" fillId="0" borderId="1" xfId="0" applyFont="1" applyBorder="1" applyAlignment="1">
      <alignment vertical="center"/>
    </xf>
    <xf numFmtId="0" fontId="34" fillId="0" borderId="0" xfId="0" applyFont="1" applyBorder="1" applyAlignment="1">
      <alignment horizontal="right"/>
    </xf>
    <xf numFmtId="0" fontId="13" fillId="0" borderId="0" xfId="0" applyFont="1" applyBorder="1" applyAlignment="1">
      <alignment horizontal="left" vertical="center"/>
    </xf>
    <xf numFmtId="0" fontId="46" fillId="0" borderId="1" xfId="0" applyFont="1" applyBorder="1" applyAlignment="1">
      <alignment horizontal="center"/>
    </xf>
    <xf numFmtId="0" fontId="34" fillId="0" borderId="1" xfId="0" applyFont="1" applyBorder="1" applyAlignment="1" applyProtection="1"/>
    <xf numFmtId="0" fontId="34" fillId="0" borderId="0" xfId="0" applyFont="1" applyBorder="1" applyAlignment="1" applyProtection="1">
      <alignment vertical="center"/>
    </xf>
    <xf numFmtId="0" fontId="34" fillId="0" borderId="0" xfId="0" applyFont="1" applyBorder="1" applyAlignment="1" applyProtection="1">
      <alignment horizontal="center" vertical="center"/>
    </xf>
    <xf numFmtId="0" fontId="33" fillId="0" borderId="0" xfId="0" applyFont="1" applyBorder="1" applyAlignment="1" applyProtection="1">
      <alignment horizontal="center" vertical="center"/>
    </xf>
    <xf numFmtId="0" fontId="34" fillId="0" borderId="1" xfId="0" applyFont="1" applyBorder="1" applyAlignment="1" applyProtection="1">
      <protection locked="0"/>
    </xf>
    <xf numFmtId="0" fontId="33" fillId="0" borderId="1" xfId="0" applyFont="1" applyBorder="1" applyAlignment="1" applyProtection="1">
      <protection locked="0"/>
    </xf>
    <xf numFmtId="0" fontId="34" fillId="0" borderId="0" xfId="0" applyFont="1" applyBorder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45" fillId="0" borderId="0" xfId="0" applyFont="1" applyBorder="1" applyAlignment="1">
      <alignment horizontal="right"/>
    </xf>
    <xf numFmtId="0" fontId="27" fillId="0" borderId="1" xfId="0" applyFont="1" applyBorder="1" applyAlignment="1"/>
    <xf numFmtId="0" fontId="27" fillId="0" borderId="0" xfId="0" applyFont="1" applyBorder="1" applyAlignment="1">
      <alignment horizontal="left" vertical="center"/>
    </xf>
    <xf numFmtId="0" fontId="45" fillId="0" borderId="0" xfId="0" applyFont="1" applyBorder="1" applyAlignment="1"/>
    <xf numFmtId="0" fontId="45" fillId="0" borderId="0" xfId="0" applyFont="1" applyBorder="1" applyAlignment="1" applyProtection="1"/>
    <xf numFmtId="0" fontId="45" fillId="0" borderId="0" xfId="0" applyFont="1" applyBorder="1" applyAlignment="1" applyProtection="1">
      <protection locked="0"/>
    </xf>
    <xf numFmtId="164" fontId="45" fillId="0" borderId="0" xfId="0" applyNumberFormat="1" applyFont="1" applyBorder="1" applyAlignment="1" applyProtection="1">
      <alignment horizontal="left" vertical="center"/>
      <protection locked="0"/>
    </xf>
    <xf numFmtId="0" fontId="34" fillId="0" borderId="1" xfId="0" applyFont="1" applyBorder="1"/>
    <xf numFmtId="0" fontId="45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vertical="center"/>
    </xf>
    <xf numFmtId="0" fontId="27" fillId="0" borderId="0" xfId="0" applyFont="1" applyBorder="1" applyAlignment="1"/>
    <xf numFmtId="0" fontId="45" fillId="0" borderId="1" xfId="0" applyFont="1" applyBorder="1" applyAlignment="1" applyProtection="1"/>
    <xf numFmtId="0" fontId="33" fillId="0" borderId="0" xfId="0" applyFont="1" applyBorder="1" applyAlignment="1" applyProtection="1">
      <alignment horizontal="center" vertical="center"/>
      <protection locked="0"/>
    </xf>
    <xf numFmtId="14" fontId="34" fillId="0" borderId="1" xfId="0" applyNumberFormat="1" applyFont="1" applyBorder="1" applyAlignment="1" applyProtection="1">
      <protection locked="0"/>
    </xf>
    <xf numFmtId="14" fontId="47" fillId="0" borderId="0" xfId="0" applyNumberFormat="1" applyFont="1" applyBorder="1" applyAlignment="1">
      <alignment vertical="center"/>
    </xf>
    <xf numFmtId="0" fontId="45" fillId="0" borderId="0" xfId="0" applyFont="1" applyBorder="1" applyAlignment="1">
      <alignment horizontal="left" vertical="center"/>
    </xf>
    <xf numFmtId="164" fontId="33" fillId="0" borderId="1" xfId="0" applyNumberFormat="1" applyFont="1" applyBorder="1" applyAlignment="1" applyProtection="1">
      <protection locked="0"/>
    </xf>
    <xf numFmtId="164" fontId="34" fillId="0" borderId="0" xfId="0" applyNumberFormat="1" applyFont="1" applyBorder="1" applyAlignment="1" applyProtection="1">
      <alignment horizontal="right"/>
      <protection locked="0"/>
    </xf>
    <xf numFmtId="165" fontId="33" fillId="0" borderId="1" xfId="0" applyNumberFormat="1" applyFont="1" applyBorder="1" applyAlignment="1"/>
    <xf numFmtId="0" fontId="34" fillId="0" borderId="0" xfId="0" applyFont="1" applyBorder="1" applyAlignment="1" applyProtection="1">
      <alignment horizontal="right" vertical="center"/>
      <protection locked="0"/>
    </xf>
    <xf numFmtId="0" fontId="34" fillId="0" borderId="1" xfId="0" applyFont="1" applyBorder="1" applyAlignment="1" applyProtection="1">
      <alignment horizontal="center" vertical="center"/>
      <protection locked="0"/>
    </xf>
    <xf numFmtId="0" fontId="34" fillId="0" borderId="1" xfId="0" applyFont="1" applyBorder="1" applyAlignment="1" applyProtection="1">
      <alignment vertical="center"/>
      <protection locked="0"/>
    </xf>
    <xf numFmtId="0" fontId="33" fillId="0" borderId="1" xfId="0" applyFont="1" applyBorder="1" applyAlignment="1" applyProtection="1">
      <alignment horizontal="center" vertical="center"/>
    </xf>
    <xf numFmtId="164" fontId="34" fillId="0" borderId="1" xfId="0" applyNumberFormat="1" applyFont="1" applyBorder="1" applyAlignment="1" applyProtection="1">
      <alignment horizontal="right"/>
      <protection locked="0"/>
    </xf>
    <xf numFmtId="164" fontId="33" fillId="0" borderId="1" xfId="0" applyNumberFormat="1" applyFont="1" applyBorder="1" applyAlignment="1" applyProtection="1">
      <alignment horizontal="right"/>
      <protection locked="0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/>
    <xf numFmtId="164" fontId="33" fillId="0" borderId="0" xfId="0" applyNumberFormat="1" applyFont="1" applyBorder="1" applyAlignment="1" applyProtection="1">
      <alignment horizontal="right"/>
      <protection locked="0"/>
    </xf>
    <xf numFmtId="0" fontId="13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 indent="2"/>
    </xf>
    <xf numFmtId="0" fontId="6" fillId="0" borderId="0" xfId="0" applyFont="1" applyBorder="1"/>
    <xf numFmtId="0" fontId="1" fillId="0" borderId="32" xfId="0" applyFont="1" applyBorder="1" applyAlignment="1"/>
    <xf numFmtId="0" fontId="1" fillId="0" borderId="33" xfId="0" applyFont="1" applyBorder="1" applyAlignment="1"/>
    <xf numFmtId="0" fontId="1" fillId="0" borderId="34" xfId="0" applyFont="1" applyBorder="1" applyAlignment="1"/>
    <xf numFmtId="0" fontId="2" fillId="0" borderId="15" xfId="0" applyFont="1" applyBorder="1"/>
    <xf numFmtId="0" fontId="0" fillId="0" borderId="15" xfId="0" applyBorder="1"/>
    <xf numFmtId="0" fontId="49" fillId="0" borderId="0" xfId="0" applyFont="1" applyBorder="1"/>
    <xf numFmtId="0" fontId="2" fillId="0" borderId="16" xfId="0" applyFont="1" applyBorder="1"/>
    <xf numFmtId="0" fontId="49" fillId="0" borderId="0" xfId="0" applyFont="1" applyBorder="1" applyAlignment="1">
      <alignment horizontal="left" vertical="center"/>
    </xf>
    <xf numFmtId="14" fontId="3" fillId="0" borderId="16" xfId="0" applyNumberFormat="1" applyFont="1" applyBorder="1" applyAlignment="1" applyProtection="1">
      <alignment vertical="center"/>
      <protection locked="0"/>
    </xf>
    <xf numFmtId="14" fontId="3" fillId="0" borderId="25" xfId="0" applyNumberFormat="1" applyFont="1" applyBorder="1" applyAlignment="1">
      <alignment horizontal="center"/>
    </xf>
    <xf numFmtId="14" fontId="3" fillId="0" borderId="26" xfId="0" applyNumberFormat="1" applyFont="1" applyBorder="1" applyAlignment="1">
      <alignment horizontal="center"/>
    </xf>
    <xf numFmtId="14" fontId="3" fillId="0" borderId="27" xfId="0" applyNumberFormat="1" applyFont="1" applyBorder="1" applyAlignment="1">
      <alignment horizontal="center"/>
    </xf>
    <xf numFmtId="0" fontId="2" fillId="0" borderId="12" xfId="0" applyFont="1" applyBorder="1"/>
    <xf numFmtId="0" fontId="2" fillId="0" borderId="23" xfId="0" applyFont="1" applyBorder="1"/>
    <xf numFmtId="0" fontId="2" fillId="0" borderId="16" xfId="0" applyFont="1" applyBorder="1" applyAlignment="1"/>
    <xf numFmtId="0" fontId="6" fillId="0" borderId="16" xfId="0" applyFont="1" applyBorder="1" applyAlignment="1"/>
    <xf numFmtId="0" fontId="22" fillId="0" borderId="25" xfId="0" applyFont="1" applyBorder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2" fillId="0" borderId="5" xfId="0" applyFont="1" applyBorder="1"/>
    <xf numFmtId="0" fontId="2" fillId="0" borderId="37" xfId="0" applyFont="1" applyBorder="1"/>
    <xf numFmtId="0" fontId="2" fillId="0" borderId="36" xfId="0" applyFont="1" applyBorder="1"/>
    <xf numFmtId="0" fontId="2" fillId="0" borderId="6" xfId="0" applyFont="1" applyBorder="1"/>
    <xf numFmtId="0" fontId="22" fillId="0" borderId="39" xfId="0" applyFont="1" applyBorder="1"/>
    <xf numFmtId="0" fontId="2" fillId="0" borderId="1" xfId="0" applyFont="1" applyBorder="1"/>
    <xf numFmtId="0" fontId="3" fillId="0" borderId="1" xfId="0" applyFont="1" applyBorder="1" applyAlignment="1" applyProtection="1">
      <protection locked="0"/>
    </xf>
    <xf numFmtId="0" fontId="2" fillId="0" borderId="40" xfId="0" applyFont="1" applyBorder="1" applyAlignment="1"/>
    <xf numFmtId="0" fontId="2" fillId="0" borderId="41" xfId="0" applyFont="1" applyBorder="1"/>
    <xf numFmtId="0" fontId="2" fillId="0" borderId="1" xfId="0" applyFont="1" applyBorder="1" applyAlignment="1"/>
    <xf numFmtId="0" fontId="2" fillId="0" borderId="41" xfId="0" applyFont="1" applyBorder="1" applyAlignment="1"/>
    <xf numFmtId="166" fontId="3" fillId="0" borderId="1" xfId="0" applyNumberFormat="1" applyFont="1" applyBorder="1" applyAlignment="1" applyProtection="1">
      <alignment vertical="center"/>
      <protection locked="0"/>
    </xf>
    <xf numFmtId="0" fontId="0" fillId="0" borderId="1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22" fillId="0" borderId="7" xfId="0" applyFont="1" applyBorder="1"/>
    <xf numFmtId="0" fontId="2" fillId="0" borderId="3" xfId="0" applyFont="1" applyBorder="1"/>
    <xf numFmtId="0" fontId="2" fillId="0" borderId="38" xfId="0" applyFont="1" applyBorder="1"/>
    <xf numFmtId="0" fontId="2" fillId="0" borderId="8" xfId="0" applyFont="1" applyBorder="1"/>
    <xf numFmtId="0" fontId="3" fillId="0" borderId="40" xfId="0" applyFont="1" applyBorder="1" applyAlignment="1" applyProtection="1">
      <protection locked="0"/>
    </xf>
    <xf numFmtId="0" fontId="9" fillId="0" borderId="1" xfId="0" applyFont="1" applyBorder="1" applyAlignment="1">
      <alignment horizontal="center" vertical="center"/>
    </xf>
    <xf numFmtId="0" fontId="2" fillId="0" borderId="40" xfId="0" applyFont="1" applyBorder="1"/>
    <xf numFmtId="0" fontId="2" fillId="0" borderId="3" xfId="0" applyFont="1" applyBorder="1" applyAlignment="1">
      <alignment horizontal="center"/>
    </xf>
    <xf numFmtId="20" fontId="3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/>
    <xf numFmtId="0" fontId="2" fillId="0" borderId="38" xfId="0" applyFont="1" applyBorder="1" applyAlignment="1"/>
    <xf numFmtId="0" fontId="0" fillId="0" borderId="8" xfId="0" applyBorder="1" applyAlignment="1"/>
    <xf numFmtId="0" fontId="6" fillId="0" borderId="41" xfId="0" applyFont="1" applyBorder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0" fontId="9" fillId="0" borderId="40" xfId="0" applyFont="1" applyBorder="1" applyAlignment="1"/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1" xfId="0" applyFont="1" applyBorder="1" applyAlignment="1" applyProtection="1">
      <protection locked="0"/>
    </xf>
    <xf numFmtId="0" fontId="2" fillId="0" borderId="40" xfId="0" applyFont="1" applyBorder="1" applyAlignment="1" applyProtection="1">
      <protection locked="0"/>
    </xf>
    <xf numFmtId="0" fontId="2" fillId="0" borderId="41" xfId="0" applyFont="1" applyBorder="1" applyAlignment="1" applyProtection="1">
      <protection locked="0"/>
    </xf>
    <xf numFmtId="0" fontId="3" fillId="0" borderId="41" xfId="0" applyFont="1" applyBorder="1" applyAlignment="1" applyProtection="1">
      <protection locked="0"/>
    </xf>
    <xf numFmtId="0" fontId="2" fillId="0" borderId="1" xfId="0" applyFont="1" applyBorder="1" applyAlignment="1" applyProtection="1"/>
    <xf numFmtId="0" fontId="2" fillId="0" borderId="40" xfId="0" applyFont="1" applyBorder="1" applyAlignment="1" applyProtection="1"/>
    <xf numFmtId="0" fontId="2" fillId="0" borderId="41" xfId="0" applyFont="1" applyBorder="1" applyAlignment="1" applyProtection="1"/>
    <xf numFmtId="164" fontId="3" fillId="0" borderId="3" xfId="0" applyNumberFormat="1" applyFont="1" applyBorder="1" applyAlignment="1" applyProtection="1">
      <protection locked="0"/>
    </xf>
    <xf numFmtId="164" fontId="3" fillId="0" borderId="38" xfId="0" applyNumberFormat="1" applyFont="1" applyBorder="1" applyAlignment="1" applyProtection="1">
      <protection locked="0"/>
    </xf>
    <xf numFmtId="165" fontId="3" fillId="0" borderId="8" xfId="0" applyNumberFormat="1" applyFont="1" applyBorder="1" applyAlignment="1"/>
    <xf numFmtId="0" fontId="2" fillId="0" borderId="33" xfId="0" applyFont="1" applyBorder="1" applyAlignment="1"/>
    <xf numFmtId="0" fontId="2" fillId="0" borderId="34" xfId="0" applyFont="1" applyBorder="1" applyAlignment="1"/>
    <xf numFmtId="0" fontId="6" fillId="0" borderId="16" xfId="0" applyFont="1" applyBorder="1"/>
    <xf numFmtId="0" fontId="2" fillId="0" borderId="26" xfId="0" applyFont="1" applyBorder="1"/>
    <xf numFmtId="0" fontId="2" fillId="0" borderId="27" xfId="0" applyFont="1" applyBorder="1"/>
    <xf numFmtId="0" fontId="23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51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48" fillId="0" borderId="0" xfId="0" applyFont="1" applyBorder="1" applyAlignment="1">
      <alignment vertical="center" wrapText="1"/>
    </xf>
    <xf numFmtId="0" fontId="1" fillId="0" borderId="0" xfId="0" applyFont="1" applyBorder="1" applyAlignment="1"/>
    <xf numFmtId="0" fontId="9" fillId="0" borderId="15" xfId="0" applyFont="1" applyBorder="1" applyAlignment="1">
      <alignment horizontal="center" vertical="center"/>
    </xf>
    <xf numFmtId="14" fontId="9" fillId="0" borderId="26" xfId="0" applyNumberFormat="1" applyFont="1" applyBorder="1" applyAlignment="1">
      <alignment horizontal="center"/>
    </xf>
    <xf numFmtId="14" fontId="9" fillId="0" borderId="27" xfId="0" applyNumberFormat="1" applyFont="1" applyBorder="1" applyAlignment="1">
      <alignment horizontal="center"/>
    </xf>
    <xf numFmtId="14" fontId="9" fillId="0" borderId="35" xfId="0" applyNumberFormat="1" applyFont="1" applyBorder="1" applyAlignment="1">
      <alignment horizontal="center" vertical="center"/>
    </xf>
    <xf numFmtId="14" fontId="9" fillId="0" borderId="35" xfId="0" applyNumberFormat="1" applyFont="1" applyBorder="1" applyAlignment="1">
      <alignment horizontal="center"/>
    </xf>
    <xf numFmtId="14" fontId="9" fillId="0" borderId="39" xfId="0" applyNumberFormat="1" applyFont="1" applyBorder="1" applyAlignment="1" applyProtection="1">
      <alignment vertical="center"/>
      <protection locked="0"/>
    </xf>
    <xf numFmtId="0" fontId="49" fillId="0" borderId="1" xfId="0" applyFont="1" applyBorder="1" applyAlignment="1">
      <alignment horizontal="left" vertical="center"/>
    </xf>
    <xf numFmtId="14" fontId="9" fillId="0" borderId="41" xfId="0" applyNumberFormat="1" applyFont="1" applyBorder="1" applyAlignment="1" applyProtection="1">
      <alignment vertical="center"/>
      <protection locked="0"/>
    </xf>
    <xf numFmtId="0" fontId="10" fillId="0" borderId="5" xfId="0" applyFont="1" applyBorder="1"/>
    <xf numFmtId="0" fontId="49" fillId="0" borderId="37" xfId="0" applyFont="1" applyBorder="1"/>
    <xf numFmtId="0" fontId="10" fillId="0" borderId="6" xfId="0" applyFont="1" applyBorder="1"/>
    <xf numFmtId="0" fontId="10" fillId="0" borderId="37" xfId="0" applyFont="1" applyBorder="1"/>
    <xf numFmtId="0" fontId="9" fillId="0" borderId="36" xfId="0" applyFont="1" applyBorder="1" applyAlignment="1">
      <alignment horizontal="center" vertical="center"/>
    </xf>
    <xf numFmtId="14" fontId="9" fillId="0" borderId="38" xfId="0" applyNumberFormat="1" applyFont="1" applyBorder="1" applyAlignment="1" applyProtection="1">
      <alignment horizontal="center" vertical="center"/>
      <protection locked="0"/>
    </xf>
    <xf numFmtId="0" fontId="17" fillId="0" borderId="36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2" fillId="0" borderId="42" xfId="0" applyFont="1" applyBorder="1"/>
    <xf numFmtId="0" fontId="2" fillId="0" borderId="43" xfId="0" applyFont="1" applyBorder="1"/>
    <xf numFmtId="0" fontId="3" fillId="0" borderId="44" xfId="0" applyFont="1" applyBorder="1" applyAlignment="1" applyProtection="1">
      <protection locked="0"/>
    </xf>
    <xf numFmtId="0" fontId="2" fillId="0" borderId="44" xfId="0" applyFont="1" applyBorder="1"/>
    <xf numFmtId="0" fontId="2" fillId="0" borderId="43" xfId="0" applyFont="1" applyBorder="1" applyAlignment="1"/>
    <xf numFmtId="0" fontId="2" fillId="0" borderId="44" xfId="0" applyFont="1" applyBorder="1" applyAlignment="1"/>
    <xf numFmtId="0" fontId="5" fillId="0" borderId="43" xfId="0" applyFont="1" applyBorder="1" applyAlignment="1">
      <alignment horizontal="center" vertical="center"/>
    </xf>
    <xf numFmtId="164" fontId="3" fillId="0" borderId="43" xfId="0" applyNumberFormat="1" applyFont="1" applyBorder="1" applyAlignment="1" applyProtection="1">
      <protection locked="0"/>
    </xf>
    <xf numFmtId="0" fontId="2" fillId="0" borderId="44" xfId="0" applyFont="1" applyBorder="1" applyAlignment="1" applyProtection="1"/>
    <xf numFmtId="0" fontId="2" fillId="0" borderId="44" xfId="0" applyFont="1" applyBorder="1" applyAlignment="1" applyProtection="1">
      <protection locked="0"/>
    </xf>
    <xf numFmtId="0" fontId="3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0" fillId="0" borderId="44" xfId="0" applyBorder="1" applyAlignment="1"/>
    <xf numFmtId="0" fontId="5" fillId="0" borderId="43" xfId="0" applyFont="1" applyBorder="1" applyAlignment="1">
      <alignment horizontal="center"/>
    </xf>
    <xf numFmtId="0" fontId="9" fillId="0" borderId="44" xfId="0" applyFont="1" applyBorder="1" applyAlignment="1"/>
    <xf numFmtId="0" fontId="9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3" fillId="0" borderId="43" xfId="0" applyFont="1" applyBorder="1" applyAlignment="1" applyProtection="1">
      <protection locked="0"/>
    </xf>
    <xf numFmtId="0" fontId="3" fillId="0" borderId="3" xfId="0" applyFont="1" applyBorder="1" applyAlignment="1" applyProtection="1">
      <protection locked="0"/>
    </xf>
    <xf numFmtId="0" fontId="6" fillId="0" borderId="8" xfId="0" applyFont="1" applyBorder="1" applyAlignment="1"/>
    <xf numFmtId="0" fontId="10" fillId="0" borderId="33" xfId="0" applyFont="1" applyBorder="1" applyAlignment="1"/>
    <xf numFmtId="0" fontId="10" fillId="0" borderId="34" xfId="0" applyFont="1" applyBorder="1" applyAlignment="1"/>
    <xf numFmtId="0" fontId="10" fillId="0" borderId="16" xfId="0" applyFont="1" applyBorder="1"/>
    <xf numFmtId="0" fontId="10" fillId="0" borderId="16" xfId="0" applyFont="1" applyBorder="1" applyAlignment="1"/>
    <xf numFmtId="0" fontId="10" fillId="0" borderId="26" xfId="0" applyFont="1" applyBorder="1"/>
    <xf numFmtId="0" fontId="10" fillId="0" borderId="27" xfId="0" applyFont="1" applyBorder="1"/>
    <xf numFmtId="0" fontId="21" fillId="0" borderId="0" xfId="1" applyFont="1" applyAlignment="1" applyProtection="1"/>
    <xf numFmtId="0" fontId="9" fillId="0" borderId="2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 indent="2"/>
    </xf>
    <xf numFmtId="0" fontId="10" fillId="0" borderId="43" xfId="0" applyFont="1" applyBorder="1"/>
    <xf numFmtId="0" fontId="9" fillId="0" borderId="44" xfId="0" applyFont="1" applyBorder="1" applyAlignment="1" applyProtection="1">
      <protection locked="0"/>
    </xf>
    <xf numFmtId="0" fontId="10" fillId="0" borderId="44" xfId="0" applyFont="1" applyBorder="1"/>
    <xf numFmtId="0" fontId="10" fillId="0" borderId="44" xfId="0" applyFont="1" applyBorder="1" applyAlignment="1"/>
    <xf numFmtId="0" fontId="10" fillId="0" borderId="43" xfId="0" applyFont="1" applyBorder="1" applyAlignment="1"/>
    <xf numFmtId="0" fontId="10" fillId="0" borderId="1" xfId="0" applyFont="1" applyBorder="1" applyAlignment="1" applyProtection="1"/>
    <xf numFmtId="0" fontId="10" fillId="0" borderId="44" xfId="0" applyFont="1" applyBorder="1" applyAlignment="1" applyProtection="1"/>
    <xf numFmtId="0" fontId="10" fillId="0" borderId="1" xfId="0" applyFont="1" applyBorder="1" applyAlignment="1" applyProtection="1">
      <protection locked="0"/>
    </xf>
    <xf numFmtId="0" fontId="10" fillId="0" borderId="44" xfId="0" applyFont="1" applyBorder="1" applyAlignment="1" applyProtection="1">
      <protection locked="0"/>
    </xf>
    <xf numFmtId="0" fontId="16" fillId="0" borderId="0" xfId="0" applyFont="1"/>
    <xf numFmtId="14" fontId="15" fillId="0" borderId="25" xfId="0" applyNumberFormat="1" applyFont="1" applyBorder="1" applyAlignment="1" applyProtection="1">
      <alignment vertical="center"/>
      <protection locked="0"/>
    </xf>
    <xf numFmtId="14" fontId="15" fillId="0" borderId="26" xfId="0" applyNumberFormat="1" applyFont="1" applyBorder="1" applyAlignment="1" applyProtection="1">
      <alignment vertical="center"/>
      <protection locked="0"/>
    </xf>
    <xf numFmtId="14" fontId="15" fillId="0" borderId="27" xfId="0" applyNumberFormat="1" applyFont="1" applyBorder="1" applyAlignment="1" applyProtection="1">
      <alignment vertical="center"/>
      <protection locked="0"/>
    </xf>
    <xf numFmtId="0" fontId="20" fillId="0" borderId="5" xfId="0" applyFont="1" applyBorder="1"/>
    <xf numFmtId="0" fontId="24" fillId="0" borderId="37" xfId="0" applyFont="1" applyBorder="1"/>
    <xf numFmtId="0" fontId="20" fillId="0" borderId="6" xfId="0" applyFont="1" applyBorder="1"/>
    <xf numFmtId="0" fontId="15" fillId="0" borderId="7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14" fontId="15" fillId="0" borderId="8" xfId="0" applyNumberFormat="1" applyFont="1" applyBorder="1" applyAlignment="1" applyProtection="1">
      <alignment vertical="center"/>
      <protection locked="0"/>
    </xf>
    <xf numFmtId="14" fontId="15" fillId="0" borderId="46" xfId="0" applyNumberFormat="1" applyFont="1" applyBorder="1" applyAlignment="1" applyProtection="1">
      <alignment horizontal="center" vertical="center"/>
      <protection locked="0"/>
    </xf>
    <xf numFmtId="1" fontId="15" fillId="0" borderId="47" xfId="0" applyNumberFormat="1" applyFont="1" applyBorder="1" applyAlignment="1" applyProtection="1">
      <alignment horizontal="center" vertical="center"/>
      <protection locked="0"/>
    </xf>
    <xf numFmtId="14" fontId="15" fillId="0" borderId="3" xfId="0" applyNumberFormat="1" applyFont="1" applyBorder="1" applyAlignment="1">
      <alignment horizontal="center"/>
    </xf>
    <xf numFmtId="14" fontId="15" fillId="0" borderId="8" xfId="0" applyNumberFormat="1" applyFont="1" applyBorder="1" applyAlignment="1">
      <alignment horizontal="center"/>
    </xf>
    <xf numFmtId="14" fontId="15" fillId="0" borderId="7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right"/>
    </xf>
    <xf numFmtId="0" fontId="20" fillId="0" borderId="8" xfId="0" applyFont="1" applyBorder="1"/>
    <xf numFmtId="0" fontId="23" fillId="0" borderId="0" xfId="0" applyFont="1" applyBorder="1" applyAlignment="1">
      <alignment horizontal="center" vertical="center"/>
    </xf>
    <xf numFmtId="0" fontId="13" fillId="0" borderId="49" xfId="0" applyFont="1" applyBorder="1"/>
    <xf numFmtId="0" fontId="23" fillId="0" borderId="49" xfId="0" applyFont="1" applyBorder="1"/>
    <xf numFmtId="0" fontId="10" fillId="0" borderId="49" xfId="0" applyFont="1" applyBorder="1"/>
    <xf numFmtId="0" fontId="13" fillId="0" borderId="50" xfId="0" applyFont="1" applyBorder="1"/>
    <xf numFmtId="0" fontId="22" fillId="0" borderId="1" xfId="0" applyFont="1" applyBorder="1"/>
    <xf numFmtId="0" fontId="10" fillId="0" borderId="51" xfId="0" applyFont="1" applyBorder="1" applyAlignment="1"/>
    <xf numFmtId="0" fontId="10" fillId="0" borderId="22" xfId="0" applyFont="1" applyBorder="1"/>
    <xf numFmtId="0" fontId="10" fillId="0" borderId="43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0" borderId="53" xfId="0" applyFont="1" applyBorder="1"/>
    <xf numFmtId="0" fontId="10" fillId="0" borderId="48" xfId="0" applyFont="1" applyBorder="1"/>
    <xf numFmtId="20" fontId="9" fillId="0" borderId="43" xfId="0" applyNumberFormat="1" applyFont="1" applyBorder="1" applyAlignment="1" applyProtection="1">
      <alignment horizontal="center"/>
      <protection locked="0"/>
    </xf>
    <xf numFmtId="0" fontId="10" fillId="0" borderId="48" xfId="0" applyFont="1" applyBorder="1" applyAlignment="1"/>
    <xf numFmtId="0" fontId="10" fillId="0" borderId="51" xfId="0" applyFont="1" applyBorder="1" applyAlignment="1" applyProtection="1">
      <protection locked="0"/>
    </xf>
    <xf numFmtId="0" fontId="9" fillId="0" borderId="51" xfId="0" applyFont="1" applyBorder="1" applyAlignment="1" applyProtection="1">
      <protection locked="0"/>
    </xf>
    <xf numFmtId="0" fontId="10" fillId="0" borderId="51" xfId="0" applyFont="1" applyBorder="1" applyAlignment="1" applyProtection="1"/>
    <xf numFmtId="164" fontId="9" fillId="0" borderId="51" xfId="0" applyNumberFormat="1" applyFont="1" applyBorder="1" applyAlignment="1" applyProtection="1">
      <protection locked="0"/>
    </xf>
    <xf numFmtId="0" fontId="18" fillId="0" borderId="44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166" fontId="9" fillId="0" borderId="43" xfId="0" applyNumberFormat="1" applyFont="1" applyBorder="1" applyAlignment="1" applyProtection="1">
      <alignment vertical="center"/>
      <protection locked="0"/>
    </xf>
    <xf numFmtId="0" fontId="17" fillId="0" borderId="49" xfId="0" applyFont="1" applyBorder="1"/>
    <xf numFmtId="0" fontId="22" fillId="0" borderId="49" xfId="0" applyFont="1" applyBorder="1"/>
    <xf numFmtId="0" fontId="10" fillId="0" borderId="49" xfId="0" applyFont="1" applyBorder="1" applyAlignment="1"/>
    <xf numFmtId="0" fontId="9" fillId="0" borderId="4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/>
    </xf>
    <xf numFmtId="0" fontId="9" fillId="0" borderId="43" xfId="0" applyFont="1" applyBorder="1" applyAlignment="1">
      <alignment horizontal="left" vertical="center"/>
    </xf>
    <xf numFmtId="0" fontId="10" fillId="0" borderId="52" xfId="0" applyFont="1" applyBorder="1" applyAlignment="1"/>
    <xf numFmtId="0" fontId="21" fillId="0" borderId="44" xfId="1" applyFont="1" applyBorder="1" applyAlignment="1" applyProtection="1"/>
    <xf numFmtId="0" fontId="52" fillId="0" borderId="48" xfId="0" applyFont="1" applyBorder="1"/>
    <xf numFmtId="0" fontId="53" fillId="0" borderId="4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1" fontId="15" fillId="0" borderId="0" xfId="0" applyNumberFormat="1" applyFont="1" applyBorder="1" applyAlignment="1" applyProtection="1">
      <alignment horizontal="center" vertical="center"/>
      <protection locked="0"/>
    </xf>
    <xf numFmtId="14" fontId="15" fillId="0" borderId="0" xfId="0" applyNumberFormat="1" applyFont="1" applyBorder="1" applyAlignment="1">
      <alignment horizontal="center" vertical="center"/>
    </xf>
    <xf numFmtId="14" fontId="15" fillId="0" borderId="0" xfId="0" applyNumberFormat="1" applyFont="1" applyBorder="1" applyAlignment="1">
      <alignment vertical="center"/>
    </xf>
    <xf numFmtId="165" fontId="15" fillId="0" borderId="0" xfId="0" applyNumberFormat="1" applyFont="1" applyBorder="1" applyAlignment="1" applyProtection="1">
      <alignment vertical="center"/>
    </xf>
    <xf numFmtId="0" fontId="13" fillId="0" borderId="0" xfId="0" applyFont="1" applyBorder="1"/>
    <xf numFmtId="0" fontId="10" fillId="0" borderId="0" xfId="0" applyFont="1" applyBorder="1" applyAlignment="1">
      <alignment horizontal="center" vertical="center"/>
    </xf>
    <xf numFmtId="0" fontId="21" fillId="0" borderId="0" xfId="1" applyFont="1" applyBorder="1" applyAlignment="1" applyProtection="1"/>
    <xf numFmtId="0" fontId="53" fillId="0" borderId="0" xfId="0" applyFont="1" applyBorder="1" applyAlignment="1">
      <alignment horizontal="center" vertical="center"/>
    </xf>
    <xf numFmtId="0" fontId="16" fillId="0" borderId="0" xfId="0" applyFont="1" applyBorder="1"/>
    <xf numFmtId="0" fontId="10" fillId="0" borderId="1" xfId="0" applyFont="1" applyBorder="1" applyAlignment="1">
      <alignment horizontal="left" indent="2"/>
    </xf>
    <xf numFmtId="0" fontId="22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0" fillId="0" borderId="44" xfId="0" applyFont="1" applyBorder="1" applyAlignment="1">
      <alignment horizontal="center"/>
    </xf>
    <xf numFmtId="0" fontId="9" fillId="0" borderId="44" xfId="0" applyFont="1" applyBorder="1" applyAlignment="1" applyProtection="1">
      <alignment horizontal="center" vertical="center"/>
      <protection locked="0"/>
    </xf>
    <xf numFmtId="0" fontId="25" fillId="0" borderId="50" xfId="0" applyFont="1" applyBorder="1"/>
    <xf numFmtId="0" fontId="10" fillId="0" borderId="1" xfId="0" applyFont="1" applyBorder="1" applyAlignment="1">
      <alignment horizontal="left"/>
    </xf>
    <xf numFmtId="164" fontId="9" fillId="0" borderId="1" xfId="0" applyNumberFormat="1" applyFont="1" applyBorder="1" applyAlignment="1" applyProtection="1">
      <protection locked="0"/>
    </xf>
    <xf numFmtId="0" fontId="10" fillId="0" borderId="37" xfId="0" applyFont="1" applyBorder="1" applyAlignment="1"/>
    <xf numFmtId="0" fontId="10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1" fillId="0" borderId="1" xfId="1" applyFont="1" applyBorder="1" applyAlignment="1" applyProtection="1"/>
    <xf numFmtId="0" fontId="52" fillId="0" borderId="1" xfId="0" applyFont="1" applyBorder="1"/>
    <xf numFmtId="0" fontId="27" fillId="0" borderId="0" xfId="0" applyFont="1" applyBorder="1"/>
    <xf numFmtId="0" fontId="27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34" fillId="0" borderId="0" xfId="0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55" fillId="0" borderId="0" xfId="0" applyFont="1" applyAlignment="1">
      <alignment horizontal="left" vertical="center" indent="5"/>
    </xf>
    <xf numFmtId="167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protection locked="0"/>
    </xf>
    <xf numFmtId="2" fontId="10" fillId="0" borderId="1" xfId="0" applyNumberFormat="1" applyFont="1" applyBorder="1" applyAlignment="1" applyProtection="1">
      <alignment horizontal="center" vertical="center"/>
      <protection locked="0"/>
    </xf>
    <xf numFmtId="14" fontId="20" fillId="0" borderId="55" xfId="0" applyNumberFormat="1" applyFont="1" applyBorder="1" applyAlignment="1" applyProtection="1">
      <alignment horizontal="center" vertical="center"/>
      <protection locked="0"/>
    </xf>
    <xf numFmtId="0" fontId="20" fillId="0" borderId="50" xfId="0" applyFont="1" applyBorder="1" applyAlignment="1" applyProtection="1">
      <alignment horizontal="center" vertical="center"/>
      <protection locked="0"/>
    </xf>
    <xf numFmtId="0" fontId="20" fillId="0" borderId="44" xfId="0" applyFont="1" applyBorder="1" applyAlignment="1" applyProtection="1">
      <alignment horizontal="center" vertical="center"/>
      <protection locked="0"/>
    </xf>
    <xf numFmtId="2" fontId="9" fillId="0" borderId="0" xfId="0" applyNumberFormat="1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protection locked="0"/>
    </xf>
    <xf numFmtId="0" fontId="25" fillId="0" borderId="18" xfId="0" applyFont="1" applyBorder="1" applyAlignment="1"/>
    <xf numFmtId="14" fontId="20" fillId="0" borderId="0" xfId="0" applyNumberFormat="1" applyFont="1" applyBorder="1" applyAlignment="1" applyProtection="1">
      <alignment horizontal="center" vertical="center"/>
      <protection locked="0"/>
    </xf>
    <xf numFmtId="0" fontId="38" fillId="0" borderId="0" xfId="0" applyFont="1" applyBorder="1" applyAlignment="1">
      <alignment horizontal="left" vertical="center"/>
    </xf>
    <xf numFmtId="0" fontId="27" fillId="0" borderId="0" xfId="0" applyFont="1"/>
    <xf numFmtId="0" fontId="13" fillId="0" borderId="0" xfId="0" applyFont="1" applyAlignment="1">
      <alignment horizontal="left" vertical="center" indent="5"/>
    </xf>
    <xf numFmtId="2" fontId="34" fillId="0" borderId="0" xfId="0" applyNumberFormat="1" applyFont="1" applyBorder="1" applyAlignment="1" applyProtection="1">
      <protection locked="0"/>
    </xf>
    <xf numFmtId="2" fontId="13" fillId="0" borderId="0" xfId="0" applyNumberFormat="1" applyFont="1" applyBorder="1" applyAlignment="1">
      <alignment horizontal="center" vertical="center"/>
    </xf>
    <xf numFmtId="2" fontId="33" fillId="0" borderId="0" xfId="0" applyNumberFormat="1" applyFont="1" applyBorder="1" applyAlignment="1" applyProtection="1">
      <alignment horizontal="center" vertical="center" wrapText="1"/>
      <protection locked="0"/>
    </xf>
    <xf numFmtId="2" fontId="33" fillId="0" borderId="0" xfId="0" applyNumberFormat="1" applyFont="1" applyBorder="1" applyAlignment="1">
      <alignment horizontal="center" vertical="center"/>
    </xf>
    <xf numFmtId="9" fontId="33" fillId="0" borderId="0" xfId="2" applyFont="1" applyBorder="1" applyAlignment="1" applyProtection="1">
      <alignment horizontal="center" vertical="center"/>
      <protection locked="0"/>
    </xf>
    <xf numFmtId="2" fontId="34" fillId="0" borderId="0" xfId="0" applyNumberFormat="1" applyFont="1" applyBorder="1" applyAlignment="1" applyProtection="1">
      <alignment horizontal="center" vertical="center"/>
      <protection locked="0"/>
    </xf>
    <xf numFmtId="167" fontId="34" fillId="0" borderId="0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 applyBorder="1"/>
    <xf numFmtId="14" fontId="22" fillId="0" borderId="0" xfId="0" applyNumberFormat="1" applyFont="1" applyBorder="1" applyAlignment="1">
      <alignment horizontal="center"/>
    </xf>
    <xf numFmtId="0" fontId="51" fillId="0" borderId="1" xfId="0" applyFont="1" applyBorder="1" applyAlignment="1">
      <alignment vertical="center"/>
    </xf>
    <xf numFmtId="0" fontId="56" fillId="0" borderId="0" xfId="0" applyFont="1" applyAlignment="1">
      <alignment horizontal="center" vertical="center"/>
    </xf>
    <xf numFmtId="2" fontId="34" fillId="0" borderId="0" xfId="0" applyNumberFormat="1" applyFont="1" applyBorder="1" applyAlignment="1" applyProtection="1">
      <alignment horizontal="center" vertical="center"/>
    </xf>
    <xf numFmtId="2" fontId="34" fillId="0" borderId="0" xfId="0" applyNumberFormat="1" applyFont="1" applyBorder="1" applyAlignment="1">
      <alignment vertical="center"/>
    </xf>
    <xf numFmtId="2" fontId="17" fillId="0" borderId="0" xfId="0" applyNumberFormat="1" applyFont="1" applyBorder="1" applyAlignment="1">
      <alignment horizontal="center" vertical="center"/>
    </xf>
    <xf numFmtId="1" fontId="34" fillId="0" borderId="0" xfId="0" applyNumberFormat="1" applyFont="1" applyBorder="1" applyAlignment="1">
      <alignment horizontal="center" vertical="center"/>
    </xf>
    <xf numFmtId="0" fontId="33" fillId="0" borderId="0" xfId="0" applyFont="1" applyBorder="1" applyAlignment="1" applyProtection="1">
      <alignment vertical="center"/>
      <protection locked="0"/>
    </xf>
    <xf numFmtId="2" fontId="17" fillId="0" borderId="0" xfId="0" applyNumberFormat="1" applyFont="1" applyBorder="1" applyAlignment="1">
      <alignment vertical="center"/>
    </xf>
    <xf numFmtId="2" fontId="33" fillId="0" borderId="0" xfId="0" applyNumberFormat="1" applyFont="1" applyBorder="1" applyAlignment="1" applyProtection="1">
      <alignment horizontal="center" vertical="center"/>
      <protection locked="0"/>
    </xf>
    <xf numFmtId="1" fontId="33" fillId="0" borderId="0" xfId="0" applyNumberFormat="1" applyFont="1" applyBorder="1" applyAlignment="1">
      <alignment horizontal="center" vertical="center"/>
    </xf>
    <xf numFmtId="167" fontId="33" fillId="0" borderId="0" xfId="0" applyNumberFormat="1" applyFont="1" applyBorder="1" applyAlignment="1">
      <alignment horizontal="center" vertical="center"/>
    </xf>
    <xf numFmtId="167" fontId="33" fillId="0" borderId="0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34" fillId="0" borderId="0" xfId="0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2" fontId="13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7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left" vertical="center"/>
    </xf>
    <xf numFmtId="14" fontId="33" fillId="0" borderId="0" xfId="0" applyNumberFormat="1" applyFont="1" applyBorder="1" applyAlignment="1" applyProtection="1">
      <alignment vertical="center"/>
      <protection locked="0"/>
    </xf>
    <xf numFmtId="168" fontId="17" fillId="0" borderId="1" xfId="0" applyNumberFormat="1" applyFont="1" applyBorder="1" applyAlignment="1">
      <alignment horizontal="center" vertical="center"/>
    </xf>
    <xf numFmtId="14" fontId="33" fillId="0" borderId="1" xfId="0" applyNumberFormat="1" applyFont="1" applyBorder="1" applyAlignment="1" applyProtection="1">
      <alignment vertical="center"/>
      <protection locked="0"/>
    </xf>
    <xf numFmtId="0" fontId="56" fillId="0" borderId="0" xfId="0" applyFont="1" applyAlignment="1">
      <alignment vertical="center"/>
    </xf>
    <xf numFmtId="0" fontId="56" fillId="0" borderId="0" xfId="0" applyFont="1" applyBorder="1" applyAlignment="1">
      <alignment vertical="center"/>
    </xf>
    <xf numFmtId="0" fontId="13" fillId="0" borderId="0" xfId="0" applyFont="1" applyBorder="1" applyAlignment="1">
      <alignment horizontal="left" vertical="center" indent="5"/>
    </xf>
    <xf numFmtId="0" fontId="57" fillId="0" borderId="0" xfId="0" applyFont="1" applyBorder="1" applyAlignment="1" applyProtection="1">
      <alignment vertical="center"/>
      <protection locked="0"/>
    </xf>
    <xf numFmtId="0" fontId="13" fillId="0" borderId="0" xfId="0" applyFont="1" applyBorder="1" applyAlignment="1">
      <alignment horizontal="center" vertical="center"/>
    </xf>
    <xf numFmtId="2" fontId="34" fillId="0" borderId="0" xfId="0" applyNumberFormat="1" applyFont="1" applyBorder="1" applyAlignment="1">
      <alignment horizontal="center" vertical="center"/>
    </xf>
    <xf numFmtId="164" fontId="33" fillId="0" borderId="0" xfId="0" applyNumberFormat="1" applyFont="1" applyBorder="1" applyAlignment="1" applyProtection="1">
      <alignment vertical="center"/>
      <protection locked="0"/>
    </xf>
    <xf numFmtId="0" fontId="58" fillId="0" borderId="0" xfId="0" applyFont="1" applyBorder="1" applyAlignment="1" applyProtection="1">
      <alignment vertical="center"/>
      <protection locked="0"/>
    </xf>
    <xf numFmtId="14" fontId="34" fillId="0" borderId="0" xfId="0" applyNumberFormat="1" applyFont="1" applyBorder="1" applyAlignment="1" applyProtection="1">
      <alignment horizontal="center" vertical="center"/>
      <protection locked="0"/>
    </xf>
    <xf numFmtId="0" fontId="42" fillId="0" borderId="0" xfId="0" applyFont="1" applyBorder="1" applyAlignment="1" applyProtection="1">
      <alignment horizontal="center" vertical="center"/>
      <protection locked="0"/>
    </xf>
    <xf numFmtId="168" fontId="26" fillId="0" borderId="0" xfId="0" applyNumberFormat="1" applyFont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9" fillId="0" borderId="0" xfId="0" applyFont="1"/>
    <xf numFmtId="2" fontId="9" fillId="0" borderId="45" xfId="0" applyNumberFormat="1" applyFont="1" applyBorder="1" applyAlignment="1" applyProtection="1">
      <alignment vertical="center"/>
      <protection locked="0"/>
    </xf>
    <xf numFmtId="0" fontId="22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4" fontId="15" fillId="0" borderId="0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left" vertical="center"/>
    </xf>
    <xf numFmtId="1" fontId="34" fillId="0" borderId="1" xfId="0" applyNumberFormat="1" applyFont="1" applyBorder="1" applyAlignment="1">
      <alignment horizontal="right" vertical="center"/>
    </xf>
    <xf numFmtId="2" fontId="33" fillId="0" borderId="0" xfId="0" applyNumberFormat="1" applyFont="1" applyBorder="1" applyAlignment="1" applyProtection="1">
      <alignment horizontal="left" vertical="center"/>
      <protection locked="0"/>
    </xf>
    <xf numFmtId="167" fontId="34" fillId="0" borderId="0" xfId="0" applyNumberFormat="1" applyFont="1" applyBorder="1" applyAlignment="1" applyProtection="1">
      <alignment horizontal="left" vertical="center"/>
      <protection locked="0"/>
    </xf>
    <xf numFmtId="0" fontId="34" fillId="0" borderId="1" xfId="0" applyNumberFormat="1" applyFont="1" applyBorder="1" applyAlignment="1" applyProtection="1">
      <alignment horizontal="center" vertical="center"/>
      <protection locked="0"/>
    </xf>
    <xf numFmtId="0" fontId="34" fillId="0" borderId="1" xfId="0" applyFont="1" applyBorder="1" applyAlignment="1">
      <alignment horizontal="center" vertical="center"/>
    </xf>
    <xf numFmtId="0" fontId="60" fillId="0" borderId="0" xfId="0" applyFont="1" applyBorder="1" applyAlignment="1">
      <alignment horizontal="center" vertical="center"/>
    </xf>
    <xf numFmtId="0" fontId="34" fillId="0" borderId="1" xfId="0" applyFont="1" applyBorder="1" applyAlignment="1">
      <alignment horizontal="right" vertical="center"/>
    </xf>
    <xf numFmtId="0" fontId="61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9" fillId="0" borderId="0" xfId="0" applyFont="1" applyAlignment="1">
      <alignment vertical="center"/>
    </xf>
    <xf numFmtId="164" fontId="9" fillId="0" borderId="1" xfId="0" applyNumberFormat="1" applyFont="1" applyBorder="1" applyAlignment="1" applyProtection="1">
      <alignment horizontal="center"/>
      <protection locked="0"/>
    </xf>
    <xf numFmtId="0" fontId="34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52" fillId="0" borderId="0" xfId="0" applyFont="1" applyBorder="1"/>
    <xf numFmtId="0" fontId="26" fillId="0" borderId="0" xfId="0" applyFont="1" applyBorder="1" applyAlignment="1">
      <alignment vertical="center"/>
    </xf>
    <xf numFmtId="0" fontId="23" fillId="0" borderId="56" xfId="0" applyFont="1" applyBorder="1" applyAlignment="1">
      <alignment horizontal="right" vertical="center"/>
    </xf>
    <xf numFmtId="0" fontId="23" fillId="0" borderId="46" xfId="0" applyFont="1" applyBorder="1" applyAlignment="1">
      <alignment horizontal="right" vertical="center"/>
    </xf>
    <xf numFmtId="0" fontId="23" fillId="0" borderId="58" xfId="0" applyFont="1" applyBorder="1" applyAlignment="1">
      <alignment horizontal="right" vertical="center"/>
    </xf>
    <xf numFmtId="0" fontId="9" fillId="0" borderId="59" xfId="0" applyFont="1" applyBorder="1" applyAlignment="1">
      <alignment horizontal="right"/>
    </xf>
    <xf numFmtId="0" fontId="10" fillId="0" borderId="19" xfId="0" applyFont="1" applyBorder="1"/>
    <xf numFmtId="14" fontId="9" fillId="0" borderId="0" xfId="0" applyNumberFormat="1" applyFont="1" applyBorder="1" applyAlignment="1" applyProtection="1">
      <alignment horizontal="center" vertical="center"/>
      <protection locked="0"/>
    </xf>
    <xf numFmtId="165" fontId="9" fillId="0" borderId="0" xfId="0" applyNumberFormat="1" applyFont="1" applyBorder="1" applyAlignment="1" applyProtection="1">
      <alignment horizontal="center" vertical="center"/>
    </xf>
    <xf numFmtId="0" fontId="9" fillId="0" borderId="26" xfId="0" applyFont="1" applyBorder="1" applyAlignment="1" applyProtection="1">
      <alignment horizontal="center" vertical="center"/>
      <protection locked="0"/>
    </xf>
    <xf numFmtId="14" fontId="9" fillId="0" borderId="50" xfId="0" applyNumberFormat="1" applyFont="1" applyBorder="1" applyAlignment="1">
      <alignment horizontal="center" vertical="center"/>
    </xf>
    <xf numFmtId="14" fontId="9" fillId="0" borderId="50" xfId="0" applyNumberFormat="1" applyFont="1" applyBorder="1" applyAlignment="1">
      <alignment vertical="center"/>
    </xf>
    <xf numFmtId="14" fontId="33" fillId="0" borderId="41" xfId="0" applyNumberFormat="1" applyFont="1" applyBorder="1" applyAlignment="1">
      <alignment vertical="center"/>
    </xf>
    <xf numFmtId="0" fontId="33" fillId="0" borderId="27" xfId="0" applyFont="1" applyBorder="1"/>
    <xf numFmtId="14" fontId="9" fillId="0" borderId="53" xfId="0" applyNumberFormat="1" applyFont="1" applyBorder="1" applyAlignment="1" applyProtection="1">
      <alignment vertical="center"/>
      <protection locked="0"/>
    </xf>
    <xf numFmtId="0" fontId="33" fillId="0" borderId="8" xfId="0" applyFont="1" applyBorder="1"/>
    <xf numFmtId="165" fontId="9" fillId="0" borderId="53" xfId="0" applyNumberFormat="1" applyFont="1" applyBorder="1" applyAlignment="1" applyProtection="1">
      <alignment vertical="center"/>
    </xf>
    <xf numFmtId="165" fontId="33" fillId="0" borderId="8" xfId="0" applyNumberFormat="1" applyFont="1" applyBorder="1" applyAlignment="1" applyProtection="1">
      <alignment vertical="center"/>
    </xf>
    <xf numFmtId="0" fontId="27" fillId="0" borderId="12" xfId="0" applyFont="1" applyBorder="1"/>
    <xf numFmtId="0" fontId="10" fillId="0" borderId="23" xfId="0" applyFont="1" applyBorder="1" applyAlignment="1">
      <alignment horizontal="left" indent="2"/>
    </xf>
    <xf numFmtId="0" fontId="22" fillId="0" borderId="23" xfId="0" applyFont="1" applyBorder="1" applyAlignment="1">
      <alignment horizontal="right" vertical="center"/>
    </xf>
    <xf numFmtId="0" fontId="10" fillId="0" borderId="23" xfId="0" applyFont="1" applyBorder="1"/>
    <xf numFmtId="0" fontId="10" fillId="0" borderId="13" xfId="0" applyFont="1" applyBorder="1"/>
    <xf numFmtId="0" fontId="22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33" xfId="0" applyFont="1" applyBorder="1"/>
    <xf numFmtId="0" fontId="10" fillId="0" borderId="27" xfId="0" applyFont="1" applyBorder="1" applyAlignment="1"/>
    <xf numFmtId="0" fontId="9" fillId="0" borderId="32" xfId="0" applyFont="1" applyBorder="1" applyAlignment="1">
      <alignment horizontal="center" vertical="center"/>
    </xf>
    <xf numFmtId="0" fontId="21" fillId="0" borderId="16" xfId="1" applyFont="1" applyBorder="1" applyAlignment="1" applyProtection="1"/>
    <xf numFmtId="0" fontId="21" fillId="0" borderId="15" xfId="1" applyFont="1" applyBorder="1" applyAlignment="1" applyProtection="1"/>
    <xf numFmtId="0" fontId="17" fillId="0" borderId="25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21" fillId="0" borderId="26" xfId="1" applyFont="1" applyBorder="1" applyAlignment="1" applyProtection="1"/>
    <xf numFmtId="0" fontId="9" fillId="0" borderId="26" xfId="1" applyFont="1" applyBorder="1" applyAlignment="1" applyProtection="1">
      <alignment vertical="center"/>
    </xf>
    <xf numFmtId="0" fontId="21" fillId="0" borderId="26" xfId="1" applyFont="1" applyBorder="1" applyAlignment="1" applyProtection="1">
      <alignment horizontal="center"/>
    </xf>
    <xf numFmtId="0" fontId="10" fillId="0" borderId="45" xfId="0" applyFont="1" applyBorder="1"/>
    <xf numFmtId="0" fontId="45" fillId="0" borderId="18" xfId="0" applyFont="1" applyBorder="1"/>
    <xf numFmtId="0" fontId="10" fillId="0" borderId="41" xfId="0" applyFont="1" applyBorder="1" applyAlignment="1"/>
    <xf numFmtId="0" fontId="33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right" vertical="center"/>
    </xf>
    <xf numFmtId="0" fontId="14" fillId="0" borderId="0" xfId="0" applyFont="1" applyBorder="1" applyAlignment="1"/>
    <xf numFmtId="0" fontId="42" fillId="0" borderId="0" xfId="0" applyFont="1" applyBorder="1" applyAlignment="1" applyProtection="1">
      <alignment vertical="center"/>
      <protection locked="0"/>
    </xf>
    <xf numFmtId="0" fontId="42" fillId="0" borderId="0" xfId="0" applyFont="1" applyBorder="1" applyAlignment="1" applyProtection="1">
      <protection locked="0"/>
    </xf>
    <xf numFmtId="0" fontId="0" fillId="0" borderId="0" xfId="0" applyFont="1" applyBorder="1"/>
    <xf numFmtId="14" fontId="44" fillId="0" borderId="0" xfId="0" applyNumberFormat="1" applyFont="1" applyBorder="1" applyAlignment="1" applyProtection="1">
      <alignment vertical="center"/>
      <protection locked="0"/>
    </xf>
    <xf numFmtId="0" fontId="42" fillId="0" borderId="0" xfId="0" applyFont="1" applyBorder="1" applyAlignment="1">
      <alignment vertical="center"/>
    </xf>
    <xf numFmtId="14" fontId="44" fillId="0" borderId="1" xfId="0" applyNumberFormat="1" applyFont="1" applyBorder="1" applyAlignment="1" applyProtection="1">
      <alignment vertical="center"/>
      <protection locked="0"/>
    </xf>
    <xf numFmtId="0" fontId="33" fillId="0" borderId="1" xfId="0" applyFont="1" applyBorder="1"/>
    <xf numFmtId="0" fontId="2" fillId="0" borderId="0" xfId="0" applyFont="1" applyAlignment="1">
      <alignment horizontal="center" vertical="center"/>
    </xf>
    <xf numFmtId="0" fontId="62" fillId="0" borderId="0" xfId="0" applyFont="1" applyAlignment="1"/>
    <xf numFmtId="0" fontId="34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33" fillId="0" borderId="0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/>
    <xf numFmtId="0" fontId="14" fillId="0" borderId="0" xfId="0" applyFont="1" applyBorder="1" applyAlignment="1" applyProtection="1">
      <alignment vertical="center"/>
      <protection locked="0"/>
    </xf>
    <xf numFmtId="14" fontId="14" fillId="0" borderId="0" xfId="0" applyNumberFormat="1" applyFont="1" applyBorder="1" applyAlignment="1" applyProtection="1">
      <alignment vertical="center"/>
      <protection locked="0"/>
    </xf>
    <xf numFmtId="0" fontId="23" fillId="0" borderId="0" xfId="0" applyFont="1" applyBorder="1"/>
    <xf numFmtId="0" fontId="34" fillId="0" borderId="0" xfId="0" applyFont="1" applyBorder="1" applyAlignment="1">
      <alignment horizontal="center" vertical="center"/>
    </xf>
    <xf numFmtId="164" fontId="33" fillId="0" borderId="0" xfId="0" applyNumberFormat="1" applyFont="1" applyBorder="1" applyAlignment="1" applyProtection="1">
      <alignment horizontal="center"/>
      <protection locked="0"/>
    </xf>
    <xf numFmtId="0" fontId="64" fillId="0" borderId="0" xfId="0" applyFont="1"/>
    <xf numFmtId="166" fontId="33" fillId="0" borderId="0" xfId="0" applyNumberFormat="1" applyFont="1" applyBorder="1" applyAlignment="1" applyProtection="1">
      <alignment vertical="center"/>
      <protection locked="0"/>
    </xf>
    <xf numFmtId="0" fontId="46" fillId="0" borderId="0" xfId="0" applyFont="1" applyBorder="1" applyAlignment="1">
      <alignment vertical="center"/>
    </xf>
    <xf numFmtId="0" fontId="64" fillId="0" borderId="0" xfId="0" applyFont="1" applyAlignment="1">
      <alignment vertical="center"/>
    </xf>
    <xf numFmtId="0" fontId="33" fillId="0" borderId="1" xfId="0" applyFont="1" applyBorder="1" applyAlignment="1"/>
    <xf numFmtId="0" fontId="34" fillId="0" borderId="0" xfId="0" applyFont="1" applyAlignment="1"/>
    <xf numFmtId="0" fontId="65" fillId="0" borderId="0" xfId="1" applyFont="1" applyAlignment="1" applyProtection="1"/>
    <xf numFmtId="0" fontId="10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34" fillId="0" borderId="0" xfId="0" applyFont="1" applyBorder="1" applyAlignment="1" applyProtection="1">
      <alignment horizontal="center" vertical="center"/>
      <protection locked="0"/>
    </xf>
    <xf numFmtId="0" fontId="34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4" fillId="0" borderId="0" xfId="0" applyFont="1" applyBorder="1" applyAlignment="1">
      <alignment vertical="center"/>
    </xf>
    <xf numFmtId="14" fontId="9" fillId="0" borderId="0" xfId="0" applyNumberFormat="1" applyFont="1" applyBorder="1" applyAlignment="1">
      <alignment horizontal="right" vertical="center"/>
    </xf>
    <xf numFmtId="14" fontId="9" fillId="0" borderId="0" xfId="0" applyNumberFormat="1" applyFont="1" applyBorder="1" applyAlignment="1" applyProtection="1">
      <alignment horizontal="right" vertical="center"/>
      <protection locked="0"/>
    </xf>
    <xf numFmtId="0" fontId="33" fillId="0" borderId="3" xfId="0" applyFont="1" applyBorder="1"/>
    <xf numFmtId="14" fontId="33" fillId="0" borderId="3" xfId="0" applyNumberFormat="1" applyFont="1" applyBorder="1" applyAlignment="1">
      <alignment vertical="center"/>
    </xf>
    <xf numFmtId="1" fontId="9" fillId="0" borderId="3" xfId="0" applyNumberFormat="1" applyFont="1" applyBorder="1" applyAlignment="1" applyProtection="1">
      <alignment vertical="center"/>
      <protection locked="0"/>
    </xf>
    <xf numFmtId="14" fontId="9" fillId="0" borderId="3" xfId="0" applyNumberFormat="1" applyFont="1" applyBorder="1" applyAlignment="1" applyProtection="1">
      <alignment horizontal="center" vertical="center"/>
      <protection locked="0"/>
    </xf>
    <xf numFmtId="14" fontId="9" fillId="0" borderId="3" xfId="0" applyNumberFormat="1" applyFont="1" applyBorder="1" applyAlignment="1">
      <alignment horizontal="center" vertical="center"/>
    </xf>
    <xf numFmtId="0" fontId="9" fillId="0" borderId="33" xfId="0" applyFont="1" applyBorder="1" applyAlignment="1"/>
    <xf numFmtId="0" fontId="9" fillId="0" borderId="37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169" fontId="9" fillId="0" borderId="15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right" vertical="center"/>
    </xf>
    <xf numFmtId="0" fontId="23" fillId="0" borderId="25" xfId="0" applyFont="1" applyBorder="1" applyAlignment="1">
      <alignment horizontal="right" vertical="center"/>
    </xf>
    <xf numFmtId="0" fontId="10" fillId="0" borderId="26" xfId="0" applyFont="1" applyBorder="1" applyAlignment="1"/>
    <xf numFmtId="0" fontId="9" fillId="0" borderId="26" xfId="0" applyFont="1" applyBorder="1" applyAlignment="1">
      <alignment vertical="center"/>
    </xf>
    <xf numFmtId="165" fontId="9" fillId="0" borderId="26" xfId="0" applyNumberFormat="1" applyFont="1" applyBorder="1" applyAlignment="1" applyProtection="1">
      <alignment horizontal="center" vertical="center"/>
    </xf>
    <xf numFmtId="165" fontId="9" fillId="0" borderId="26" xfId="0" applyNumberFormat="1" applyFont="1" applyBorder="1" applyAlignment="1" applyProtection="1">
      <alignment vertical="center"/>
    </xf>
    <xf numFmtId="165" fontId="33" fillId="0" borderId="26" xfId="0" applyNumberFormat="1" applyFont="1" applyBorder="1" applyAlignment="1" applyProtection="1">
      <alignment vertical="center"/>
    </xf>
    <xf numFmtId="0" fontId="0" fillId="0" borderId="27" xfId="0" applyBorder="1"/>
    <xf numFmtId="0" fontId="0" fillId="0" borderId="13" xfId="0" applyBorder="1"/>
    <xf numFmtId="0" fontId="33" fillId="0" borderId="24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13" fillId="0" borderId="26" xfId="0" applyFont="1" applyBorder="1" applyAlignment="1"/>
    <xf numFmtId="0" fontId="10" fillId="0" borderId="30" xfId="0" applyFont="1" applyBorder="1"/>
    <xf numFmtId="0" fontId="0" fillId="0" borderId="26" xfId="0" applyBorder="1"/>
    <xf numFmtId="0" fontId="13" fillId="0" borderId="37" xfId="0" applyFont="1" applyBorder="1"/>
    <xf numFmtId="0" fontId="13" fillId="0" borderId="6" xfId="0" applyFont="1" applyBorder="1"/>
    <xf numFmtId="0" fontId="13" fillId="0" borderId="3" xfId="0" applyFont="1" applyBorder="1"/>
    <xf numFmtId="0" fontId="13" fillId="0" borderId="8" xfId="0" applyFont="1" applyBorder="1"/>
    <xf numFmtId="0" fontId="13" fillId="0" borderId="26" xfId="0" applyFont="1" applyBorder="1"/>
    <xf numFmtId="0" fontId="13" fillId="0" borderId="27" xfId="0" applyFont="1" applyBorder="1"/>
    <xf numFmtId="0" fontId="9" fillId="0" borderId="55" xfId="0" applyFont="1" applyBorder="1" applyAlignment="1">
      <alignment horizontal="center" vertical="center"/>
    </xf>
    <xf numFmtId="0" fontId="10" fillId="0" borderId="2" xfId="0" applyFont="1" applyBorder="1" applyAlignment="1"/>
    <xf numFmtId="0" fontId="9" fillId="0" borderId="50" xfId="0" applyFont="1" applyBorder="1" applyAlignment="1">
      <alignment horizontal="center" vertical="center"/>
    </xf>
    <xf numFmtId="0" fontId="51" fillId="0" borderId="55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0" fillId="0" borderId="29" xfId="0" applyBorder="1"/>
    <xf numFmtId="0" fontId="10" fillId="0" borderId="52" xfId="0" applyFont="1" applyBorder="1"/>
    <xf numFmtId="0" fontId="13" fillId="0" borderId="2" xfId="0" applyFont="1" applyBorder="1"/>
    <xf numFmtId="0" fontId="13" fillId="0" borderId="62" xfId="0" applyFont="1" applyBorder="1"/>
    <xf numFmtId="0" fontId="10" fillId="0" borderId="43" xfId="0" applyFont="1" applyBorder="1" applyAlignment="1">
      <alignment horizontal="center"/>
    </xf>
    <xf numFmtId="0" fontId="13" fillId="0" borderId="43" xfId="0" applyFont="1" applyBorder="1"/>
    <xf numFmtId="0" fontId="10" fillId="0" borderId="44" xfId="0" applyFont="1" applyBorder="1" applyAlignment="1">
      <alignment horizontal="center" wrapText="1"/>
    </xf>
    <xf numFmtId="0" fontId="13" fillId="0" borderId="44" xfId="0" applyFont="1" applyBorder="1"/>
    <xf numFmtId="2" fontId="13" fillId="0" borderId="43" xfId="0" applyNumberFormat="1" applyFont="1" applyBorder="1" applyAlignment="1">
      <alignment horizontal="center" vertical="center"/>
    </xf>
    <xf numFmtId="0" fontId="51" fillId="0" borderId="63" xfId="0" applyFont="1" applyBorder="1" applyAlignment="1">
      <alignment horizontal="center" vertical="center"/>
    </xf>
    <xf numFmtId="0" fontId="10" fillId="0" borderId="64" xfId="0" applyFont="1" applyBorder="1"/>
    <xf numFmtId="0" fontId="13" fillId="0" borderId="65" xfId="0" applyFont="1" applyBorder="1"/>
    <xf numFmtId="0" fontId="10" fillId="0" borderId="66" xfId="0" applyFont="1" applyBorder="1" applyAlignment="1">
      <alignment vertical="center"/>
    </xf>
    <xf numFmtId="0" fontId="10" fillId="0" borderId="66" xfId="0" applyFont="1" applyBorder="1"/>
    <xf numFmtId="0" fontId="10" fillId="0" borderId="66" xfId="0" applyFont="1" applyBorder="1" applyAlignment="1"/>
    <xf numFmtId="0" fontId="0" fillId="0" borderId="66" xfId="0" applyBorder="1"/>
    <xf numFmtId="0" fontId="0" fillId="0" borderId="67" xfId="0" applyBorder="1"/>
    <xf numFmtId="0" fontId="9" fillId="0" borderId="68" xfId="0" applyFont="1" applyBorder="1" applyAlignment="1">
      <alignment horizontal="center" vertical="center"/>
    </xf>
    <xf numFmtId="0" fontId="21" fillId="0" borderId="18" xfId="1" applyFont="1" applyBorder="1" applyAlignment="1" applyProtection="1"/>
    <xf numFmtId="0" fontId="2" fillId="0" borderId="0" xfId="0" applyFont="1" applyAlignment="1">
      <alignment vertical="top" wrapText="1"/>
    </xf>
    <xf numFmtId="0" fontId="2" fillId="0" borderId="29" xfId="0" applyFont="1" applyBorder="1" applyAlignment="1">
      <alignment vertical="top" wrapText="1"/>
    </xf>
    <xf numFmtId="0" fontId="63" fillId="0" borderId="50" xfId="0" applyFont="1" applyBorder="1" applyAlignment="1">
      <alignment horizontal="center"/>
    </xf>
    <xf numFmtId="0" fontId="2" fillId="0" borderId="18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1" fillId="0" borderId="63" xfId="1" applyFont="1" applyBorder="1" applyAlignment="1" applyProtection="1"/>
    <xf numFmtId="0" fontId="21" fillId="0" borderId="49" xfId="1" applyFont="1" applyBorder="1" applyAlignment="1" applyProtection="1"/>
    <xf numFmtId="0" fontId="53" fillId="0" borderId="49" xfId="0" applyFont="1" applyBorder="1" applyAlignment="1">
      <alignment horizontal="center" vertical="center"/>
    </xf>
    <xf numFmtId="0" fontId="52" fillId="0" borderId="49" xfId="0" applyFont="1" applyBorder="1"/>
    <xf numFmtId="0" fontId="0" fillId="0" borderId="49" xfId="0" applyBorder="1"/>
    <xf numFmtId="0" fontId="0" fillId="0" borderId="65" xfId="0" applyBorder="1"/>
    <xf numFmtId="0" fontId="24" fillId="0" borderId="7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2" fillId="0" borderId="3" xfId="0" applyFont="1" applyBorder="1" applyAlignment="1">
      <alignment horizontal="right" vertical="center"/>
    </xf>
    <xf numFmtId="2" fontId="17" fillId="0" borderId="0" xfId="0" applyNumberFormat="1" applyFont="1" applyBorder="1" applyAlignment="1">
      <alignment horizontal="left" vertical="center"/>
    </xf>
    <xf numFmtId="1" fontId="34" fillId="0" borderId="0" xfId="0" applyNumberFormat="1" applyFont="1" applyBorder="1" applyAlignment="1">
      <alignment horizontal="right" vertical="center"/>
    </xf>
    <xf numFmtId="0" fontId="34" fillId="0" borderId="0" xfId="0" applyNumberFormat="1" applyFont="1" applyBorder="1" applyAlignment="1" applyProtection="1">
      <alignment horizontal="center" vertical="center"/>
      <protection locked="0"/>
    </xf>
    <xf numFmtId="0" fontId="34" fillId="0" borderId="0" xfId="0" applyFont="1" applyBorder="1" applyAlignment="1">
      <alignment horizontal="right" vertical="center"/>
    </xf>
    <xf numFmtId="0" fontId="34" fillId="0" borderId="1" xfId="0" applyFont="1" applyBorder="1" applyAlignment="1">
      <alignment horizontal="left"/>
    </xf>
    <xf numFmtId="14" fontId="13" fillId="0" borderId="0" xfId="0" applyNumberFormat="1" applyFont="1" applyBorder="1" applyAlignment="1">
      <alignment horizontal="center"/>
    </xf>
    <xf numFmtId="0" fontId="25" fillId="0" borderId="5" xfId="0" applyFont="1" applyBorder="1"/>
    <xf numFmtId="0" fontId="20" fillId="0" borderId="37" xfId="0" applyFont="1" applyBorder="1"/>
    <xf numFmtId="0" fontId="20" fillId="0" borderId="37" xfId="0" applyFont="1" applyBorder="1" applyAlignment="1">
      <alignment horizontal="center" vertical="center"/>
    </xf>
    <xf numFmtId="14" fontId="45" fillId="0" borderId="54" xfId="0" applyNumberFormat="1" applyFont="1" applyBorder="1" applyAlignment="1">
      <alignment horizontal="center" vertical="center"/>
    </xf>
    <xf numFmtId="20" fontId="45" fillId="0" borderId="54" xfId="0" applyNumberFormat="1" applyFont="1" applyBorder="1" applyAlignment="1">
      <alignment horizontal="center" vertical="center"/>
    </xf>
    <xf numFmtId="0" fontId="10" fillId="0" borderId="54" xfId="0" applyFont="1" applyBorder="1"/>
    <xf numFmtId="0" fontId="10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45" fillId="0" borderId="53" xfId="0" applyFont="1" applyBorder="1"/>
    <xf numFmtId="0" fontId="45" fillId="0" borderId="53" xfId="0" applyFont="1" applyBorder="1" applyAlignment="1">
      <alignment horizontal="center" vertical="center"/>
    </xf>
    <xf numFmtId="0" fontId="10" fillId="0" borderId="8" xfId="0" applyFont="1" applyBorder="1"/>
    <xf numFmtId="0" fontId="25" fillId="0" borderId="7" xfId="0" applyFont="1" applyBorder="1"/>
    <xf numFmtId="0" fontId="45" fillId="0" borderId="53" xfId="0" applyFont="1" applyBorder="1" applyAlignment="1" applyProtection="1">
      <protection locked="0"/>
    </xf>
    <xf numFmtId="0" fontId="10" fillId="0" borderId="53" xfId="0" applyFont="1" applyBorder="1"/>
    <xf numFmtId="0" fontId="17" fillId="0" borderId="53" xfId="0" applyFont="1" applyBorder="1" applyAlignment="1">
      <alignment vertical="center"/>
    </xf>
    <xf numFmtId="0" fontId="26" fillId="0" borderId="53" xfId="0" applyFont="1" applyBorder="1" applyAlignment="1">
      <alignment vertical="center"/>
    </xf>
    <xf numFmtId="0" fontId="42" fillId="0" borderId="5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20" fontId="15" fillId="0" borderId="3" xfId="0" applyNumberFormat="1" applyFont="1" applyBorder="1" applyAlignment="1" applyProtection="1">
      <alignment horizontal="center"/>
      <protection locked="0"/>
    </xf>
    <xf numFmtId="0" fontId="20" fillId="0" borderId="3" xfId="0" applyFont="1" applyBorder="1" applyAlignment="1"/>
    <xf numFmtId="0" fontId="15" fillId="0" borderId="3" xfId="0" applyFont="1" applyBorder="1" applyAlignment="1">
      <alignment horizontal="center" vertical="center"/>
    </xf>
    <xf numFmtId="166" fontId="15" fillId="0" borderId="3" xfId="0" applyNumberFormat="1" applyFont="1" applyBorder="1" applyAlignment="1" applyProtection="1">
      <alignment vertical="center"/>
      <protection locked="0"/>
    </xf>
    <xf numFmtId="0" fontId="28" fillId="0" borderId="3" xfId="0" applyFont="1" applyBorder="1" applyAlignment="1">
      <alignment horizontal="center" vertical="center"/>
    </xf>
    <xf numFmtId="0" fontId="25" fillId="0" borderId="39" xfId="0" applyFont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45" fillId="0" borderId="50" xfId="0" applyFont="1" applyBorder="1"/>
    <xf numFmtId="0" fontId="9" fillId="0" borderId="50" xfId="0" applyFont="1" applyBorder="1" applyAlignment="1" applyProtection="1">
      <protection locked="0"/>
    </xf>
    <xf numFmtId="0" fontId="10" fillId="0" borderId="50" xfId="0" applyFont="1" applyBorder="1"/>
    <xf numFmtId="0" fontId="20" fillId="0" borderId="1" xfId="0" applyFont="1" applyBorder="1" applyAlignment="1"/>
    <xf numFmtId="0" fontId="20" fillId="0" borderId="1" xfId="0" applyFont="1" applyBorder="1"/>
    <xf numFmtId="0" fontId="10" fillId="0" borderId="41" xfId="0" applyFont="1" applyBorder="1"/>
    <xf numFmtId="0" fontId="15" fillId="0" borderId="39" xfId="0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horizontal="center"/>
    </xf>
    <xf numFmtId="0" fontId="9" fillId="0" borderId="50" xfId="0" applyFont="1" applyBorder="1" applyAlignment="1">
      <alignment horizontal="left" vertical="center"/>
    </xf>
    <xf numFmtId="0" fontId="10" fillId="0" borderId="50" xfId="0" applyFont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/>
    </xf>
    <xf numFmtId="0" fontId="10" fillId="0" borderId="53" xfId="0" applyFont="1" applyBorder="1" applyAlignment="1"/>
    <xf numFmtId="0" fontId="15" fillId="0" borderId="3" xfId="0" applyFont="1" applyBorder="1" applyAlignment="1">
      <alignment horizontal="center"/>
    </xf>
    <xf numFmtId="0" fontId="10" fillId="0" borderId="8" xfId="0" applyFont="1" applyBorder="1" applyAlignment="1"/>
    <xf numFmtId="0" fontId="20" fillId="0" borderId="1" xfId="0" applyFont="1" applyBorder="1" applyAlignment="1" applyProtection="1">
      <protection locked="0"/>
    </xf>
    <xf numFmtId="0" fontId="20" fillId="0" borderId="3" xfId="0" applyFont="1" applyBorder="1" applyAlignment="1" applyProtection="1"/>
    <xf numFmtId="0" fontId="45" fillId="0" borderId="1" xfId="0" applyFont="1" applyBorder="1"/>
    <xf numFmtId="0" fontId="10" fillId="0" borderId="51" xfId="0" applyFont="1" applyBorder="1"/>
    <xf numFmtId="0" fontId="0" fillId="0" borderId="41" xfId="0" applyBorder="1"/>
    <xf numFmtId="0" fontId="9" fillId="0" borderId="51" xfId="0" applyFont="1" applyBorder="1" applyAlignment="1" applyProtection="1">
      <alignment horizontal="center" vertical="center"/>
      <protection locked="0"/>
    </xf>
    <xf numFmtId="0" fontId="9" fillId="0" borderId="51" xfId="0" applyFont="1" applyBorder="1" applyAlignment="1">
      <alignment horizontal="left" vertical="center"/>
    </xf>
    <xf numFmtId="0" fontId="45" fillId="0" borderId="3" xfId="0" applyFont="1" applyBorder="1"/>
    <xf numFmtId="0" fontId="9" fillId="0" borderId="48" xfId="0" applyFont="1" applyBorder="1" applyAlignment="1" applyProtection="1">
      <protection locked="0"/>
    </xf>
    <xf numFmtId="0" fontId="0" fillId="0" borderId="3" xfId="0" applyBorder="1"/>
    <xf numFmtId="0" fontId="0" fillId="0" borderId="8" xfId="0" applyBorder="1"/>
    <xf numFmtId="0" fontId="10" fillId="0" borderId="3" xfId="0" applyFont="1" applyBorder="1" applyAlignment="1" applyProtection="1">
      <protection locked="0"/>
    </xf>
    <xf numFmtId="165" fontId="9" fillId="0" borderId="1" xfId="0" applyNumberFormat="1" applyFont="1" applyBorder="1" applyAlignment="1"/>
    <xf numFmtId="0" fontId="13" fillId="0" borderId="1" xfId="0" applyFont="1" applyBorder="1" applyAlignment="1"/>
    <xf numFmtId="0" fontId="26" fillId="0" borderId="51" xfId="0" applyFont="1" applyBorder="1" applyAlignment="1">
      <alignment vertical="center"/>
    </xf>
    <xf numFmtId="0" fontId="42" fillId="0" borderId="44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7" fillId="0" borderId="51" xfId="0" applyFont="1" applyBorder="1" applyAlignment="1">
      <alignment vertical="center"/>
    </xf>
    <xf numFmtId="0" fontId="9" fillId="0" borderId="44" xfId="0" applyFont="1" applyBorder="1" applyAlignment="1">
      <alignment horizontal="center" vertical="center"/>
    </xf>
    <xf numFmtId="0" fontId="45" fillId="0" borderId="51" xfId="0" applyFont="1" applyBorder="1" applyAlignment="1">
      <alignment horizontal="center" vertical="center"/>
    </xf>
    <xf numFmtId="0" fontId="45" fillId="0" borderId="51" xfId="0" applyFont="1" applyBorder="1" applyAlignment="1" applyProtection="1">
      <protection locked="0"/>
    </xf>
    <xf numFmtId="0" fontId="45" fillId="0" borderId="37" xfId="0" applyFont="1" applyBorder="1"/>
    <xf numFmtId="0" fontId="45" fillId="0" borderId="57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0" fillId="0" borderId="37" xfId="0" applyBorder="1"/>
    <xf numFmtId="0" fontId="0" fillId="0" borderId="6" xfId="0" applyBorder="1"/>
    <xf numFmtId="0" fontId="33" fillId="0" borderId="23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63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8" fillId="0" borderId="0" xfId="0" applyFont="1"/>
    <xf numFmtId="0" fontId="68" fillId="0" borderId="0" xfId="0" applyFont="1" applyAlignment="1">
      <alignment horizontal="center"/>
    </xf>
    <xf numFmtId="14" fontId="70" fillId="0" borderId="0" xfId="0" applyNumberFormat="1" applyFont="1" applyAlignment="1">
      <alignment horizontal="left"/>
    </xf>
    <xf numFmtId="0" fontId="70" fillId="0" borderId="0" xfId="0" applyFont="1"/>
    <xf numFmtId="2" fontId="70" fillId="0" borderId="0" xfId="0" applyNumberFormat="1" applyFont="1"/>
    <xf numFmtId="0" fontId="70" fillId="0" borderId="0" xfId="0" applyFont="1" applyAlignment="1">
      <alignment horizontal="left"/>
    </xf>
    <xf numFmtId="0" fontId="69" fillId="0" borderId="0" xfId="0" applyFont="1" applyAlignment="1">
      <alignment horizontal="center"/>
    </xf>
    <xf numFmtId="2" fontId="70" fillId="0" borderId="43" xfId="0" applyNumberFormat="1" applyFont="1" applyBorder="1" applyAlignment="1">
      <alignment horizontal="center"/>
    </xf>
    <xf numFmtId="0" fontId="71" fillId="0" borderId="0" xfId="0" applyFont="1"/>
    <xf numFmtId="14" fontId="70" fillId="0" borderId="0" xfId="0" applyNumberFormat="1" applyFont="1" applyAlignment="1">
      <alignment horizontal="right"/>
    </xf>
    <xf numFmtId="2" fontId="73" fillId="0" borderId="0" xfId="0" applyNumberFormat="1" applyFont="1" applyAlignment="1">
      <alignment horizontal="center"/>
    </xf>
    <xf numFmtId="0" fontId="74" fillId="0" borderId="0" xfId="0" applyFont="1"/>
    <xf numFmtId="49" fontId="73" fillId="0" borderId="0" xfId="0" applyNumberFormat="1" applyFont="1" applyAlignment="1">
      <alignment horizontal="center"/>
    </xf>
    <xf numFmtId="49" fontId="73" fillId="0" borderId="43" xfId="0" applyNumberFormat="1" applyFont="1" applyBorder="1" applyAlignment="1">
      <alignment horizontal="center"/>
    </xf>
    <xf numFmtId="14" fontId="73" fillId="0" borderId="43" xfId="0" applyNumberFormat="1" applyFont="1" applyBorder="1" applyAlignment="1">
      <alignment horizontal="center"/>
    </xf>
    <xf numFmtId="14" fontId="73" fillId="0" borderId="43" xfId="0" applyNumberFormat="1" applyFont="1" applyBorder="1" applyAlignment="1">
      <alignment horizontal="center" wrapText="1" shrinkToFit="1"/>
    </xf>
    <xf numFmtId="49" fontId="75" fillId="0" borderId="43" xfId="0" applyNumberFormat="1" applyFont="1" applyBorder="1" applyAlignment="1">
      <alignment horizontal="center"/>
    </xf>
    <xf numFmtId="14" fontId="74" fillId="0" borderId="43" xfId="0" applyNumberFormat="1" applyFont="1" applyBorder="1" applyAlignment="1">
      <alignment horizontal="center"/>
    </xf>
    <xf numFmtId="49" fontId="76" fillId="0" borderId="43" xfId="0" applyNumberFormat="1" applyFont="1" applyBorder="1" applyAlignment="1">
      <alignment horizontal="center"/>
    </xf>
    <xf numFmtId="2" fontId="75" fillId="0" borderId="43" xfId="0" applyNumberFormat="1" applyFont="1" applyBorder="1" applyAlignment="1">
      <alignment horizontal="center"/>
    </xf>
    <xf numFmtId="14" fontId="77" fillId="0" borderId="0" xfId="0" applyNumberFormat="1" applyFont="1" applyAlignment="1">
      <alignment horizontal="center"/>
    </xf>
    <xf numFmtId="0" fontId="78" fillId="0" borderId="0" xfId="0" applyFont="1"/>
    <xf numFmtId="14" fontId="69" fillId="0" borderId="0" xfId="0" applyNumberFormat="1" applyFont="1" applyAlignment="1">
      <alignment horizontal="center" vertical="center"/>
    </xf>
    <xf numFmtId="0" fontId="70" fillId="0" borderId="48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20" fontId="9" fillId="0" borderId="1" xfId="0" applyNumberFormat="1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0" xfId="0" applyFont="1"/>
    <xf numFmtId="0" fontId="74" fillId="0" borderId="43" xfId="0" applyFont="1" applyBorder="1" applyAlignment="1">
      <alignment horizontal="center"/>
    </xf>
    <xf numFmtId="49" fontId="72" fillId="0" borderId="43" xfId="0" applyNumberFormat="1" applyFont="1" applyBorder="1" applyAlignment="1">
      <alignment horizontal="center"/>
    </xf>
    <xf numFmtId="0" fontId="70" fillId="0" borderId="48" xfId="0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0" fontId="42" fillId="0" borderId="23" xfId="0" applyFont="1" applyBorder="1" applyAlignment="1">
      <alignment horizontal="center" vertical="center"/>
    </xf>
    <xf numFmtId="0" fontId="10" fillId="0" borderId="50" xfId="0" applyFont="1" applyBorder="1" applyAlignment="1"/>
    <xf numFmtId="14" fontId="10" fillId="0" borderId="50" xfId="0" applyNumberFormat="1" applyFont="1" applyBorder="1" applyAlignment="1">
      <alignment horizontal="center" vertical="center"/>
    </xf>
    <xf numFmtId="0" fontId="13" fillId="0" borderId="50" xfId="0" applyFont="1" applyBorder="1" applyAlignment="1"/>
    <xf numFmtId="0" fontId="42" fillId="0" borderId="11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/>
    </xf>
    <xf numFmtId="0" fontId="10" fillId="0" borderId="50" xfId="0" applyFont="1" applyBorder="1" applyAlignment="1" applyProtection="1"/>
    <xf numFmtId="0" fontId="10" fillId="0" borderId="50" xfId="0" applyFont="1" applyBorder="1" applyAlignment="1" applyProtection="1">
      <protection locked="0"/>
    </xf>
    <xf numFmtId="165" fontId="9" fillId="0" borderId="50" xfId="0" applyNumberFormat="1" applyFont="1" applyBorder="1" applyAlignment="1"/>
    <xf numFmtId="0" fontId="9" fillId="0" borderId="53" xfId="0" applyFont="1" applyBorder="1" applyAlignment="1" applyProtection="1">
      <protection locked="0"/>
    </xf>
    <xf numFmtId="0" fontId="18" fillId="0" borderId="50" xfId="0" applyFont="1" applyBorder="1" applyAlignment="1">
      <alignment horizontal="center"/>
    </xf>
    <xf numFmtId="0" fontId="13" fillId="0" borderId="54" xfId="0" applyFont="1" applyBorder="1" applyAlignment="1"/>
    <xf numFmtId="0" fontId="10" fillId="0" borderId="57" xfId="0" applyFont="1" applyBorder="1"/>
    <xf numFmtId="0" fontId="68" fillId="0" borderId="0" xfId="0" applyFont="1" applyBorder="1"/>
    <xf numFmtId="0" fontId="69" fillId="0" borderId="0" xfId="0" applyFont="1" applyBorder="1" applyAlignment="1">
      <alignment horizontal="center"/>
    </xf>
    <xf numFmtId="14" fontId="70" fillId="0" borderId="0" xfId="0" applyNumberFormat="1" applyFont="1" applyBorder="1" applyAlignment="1">
      <alignment horizontal="left"/>
    </xf>
    <xf numFmtId="0" fontId="70" fillId="0" borderId="0" xfId="0" applyFont="1" applyBorder="1"/>
    <xf numFmtId="2" fontId="70" fillId="0" borderId="0" xfId="0" applyNumberFormat="1" applyFont="1" applyBorder="1"/>
    <xf numFmtId="0" fontId="70" fillId="0" borderId="0" xfId="0" applyFont="1" applyBorder="1" applyAlignment="1">
      <alignment horizontal="left"/>
    </xf>
    <xf numFmtId="0" fontId="67" fillId="0" borderId="0" xfId="0" applyFont="1" applyBorder="1" applyAlignment="1"/>
    <xf numFmtId="0" fontId="79" fillId="0" borderId="0" xfId="0" applyFont="1" applyBorder="1" applyAlignment="1">
      <alignment vertical="center"/>
    </xf>
    <xf numFmtId="0" fontId="43" fillId="0" borderId="0" xfId="0" applyFont="1" applyBorder="1" applyAlignment="1"/>
    <xf numFmtId="0" fontId="70" fillId="0" borderId="0" xfId="0" applyFont="1" applyBorder="1" applyAlignment="1"/>
    <xf numFmtId="49" fontId="74" fillId="0" borderId="0" xfId="0" applyNumberFormat="1" applyFont="1" applyBorder="1" applyAlignment="1"/>
    <xf numFmtId="14" fontId="70" fillId="0" borderId="0" xfId="0" applyNumberFormat="1" applyFont="1" applyBorder="1" applyAlignment="1"/>
    <xf numFmtId="0" fontId="68" fillId="0" borderId="32" xfId="0" applyFont="1" applyBorder="1"/>
    <xf numFmtId="0" fontId="68" fillId="0" borderId="33" xfId="0" applyFont="1" applyBorder="1" applyAlignment="1">
      <alignment horizontal="center"/>
    </xf>
    <xf numFmtId="0" fontId="17" fillId="0" borderId="33" xfId="0" applyFont="1" applyBorder="1" applyAlignment="1"/>
    <xf numFmtId="0" fontId="70" fillId="0" borderId="33" xfId="0" applyFont="1" applyBorder="1" applyAlignment="1"/>
    <xf numFmtId="14" fontId="70" fillId="0" borderId="33" xfId="0" applyNumberFormat="1" applyFont="1" applyBorder="1" applyAlignment="1"/>
    <xf numFmtId="0" fontId="10" fillId="0" borderId="34" xfId="0" applyFont="1" applyBorder="1"/>
    <xf numFmtId="0" fontId="71" fillId="0" borderId="23" xfId="0" applyFont="1" applyBorder="1" applyAlignment="1"/>
    <xf numFmtId="14" fontId="72" fillId="0" borderId="23" xfId="0" applyNumberFormat="1" applyFont="1" applyBorder="1" applyAlignment="1"/>
    <xf numFmtId="49" fontId="72" fillId="0" borderId="23" xfId="0" applyNumberFormat="1" applyFont="1" applyBorder="1" applyAlignment="1"/>
    <xf numFmtId="0" fontId="70" fillId="0" borderId="23" xfId="0" applyFont="1" applyBorder="1" applyAlignment="1"/>
    <xf numFmtId="0" fontId="70" fillId="0" borderId="13" xfId="0" applyFont="1" applyBorder="1" applyAlignment="1"/>
    <xf numFmtId="0" fontId="17" fillId="0" borderId="23" xfId="0" applyFont="1" applyBorder="1" applyAlignment="1"/>
    <xf numFmtId="0" fontId="17" fillId="0" borderId="69" xfId="0" applyFont="1" applyBorder="1" applyAlignment="1"/>
    <xf numFmtId="0" fontId="71" fillId="0" borderId="51" xfId="0" applyFont="1" applyBorder="1" applyAlignment="1"/>
    <xf numFmtId="0" fontId="71" fillId="0" borderId="44" xfId="0" applyFont="1" applyBorder="1" applyAlignment="1"/>
    <xf numFmtId="0" fontId="71" fillId="0" borderId="1" xfId="0" applyFont="1" applyBorder="1" applyAlignment="1"/>
    <xf numFmtId="14" fontId="72" fillId="0" borderId="1" xfId="0" applyNumberFormat="1" applyFont="1" applyBorder="1" applyAlignment="1"/>
    <xf numFmtId="49" fontId="72" fillId="0" borderId="1" xfId="0" applyNumberFormat="1" applyFont="1" applyBorder="1" applyAlignment="1"/>
    <xf numFmtId="0" fontId="70" fillId="0" borderId="1" xfId="0" applyFont="1" applyBorder="1" applyAlignment="1"/>
    <xf numFmtId="0" fontId="70" fillId="0" borderId="51" xfId="0" applyFont="1" applyBorder="1" applyAlignment="1"/>
    <xf numFmtId="2" fontId="70" fillId="0" borderId="51" xfId="0" applyNumberFormat="1" applyFont="1" applyBorder="1" applyAlignment="1">
      <alignment horizontal="center"/>
    </xf>
    <xf numFmtId="0" fontId="71" fillId="0" borderId="57" xfId="0" applyFont="1" applyBorder="1" applyAlignment="1"/>
    <xf numFmtId="0" fontId="71" fillId="0" borderId="42" xfId="0" applyFont="1" applyBorder="1" applyAlignment="1"/>
    <xf numFmtId="0" fontId="71" fillId="0" borderId="37" xfId="0" applyFont="1" applyBorder="1" applyAlignment="1"/>
    <xf numFmtId="14" fontId="72" fillId="0" borderId="37" xfId="0" applyNumberFormat="1" applyFont="1" applyBorder="1" applyAlignment="1"/>
    <xf numFmtId="49" fontId="72" fillId="0" borderId="37" xfId="0" applyNumberFormat="1" applyFont="1" applyBorder="1" applyAlignment="1"/>
    <xf numFmtId="0" fontId="70" fillId="0" borderId="37" xfId="0" applyFont="1" applyBorder="1" applyAlignment="1">
      <alignment horizontal="center"/>
    </xf>
    <xf numFmtId="2" fontId="70" fillId="0" borderId="57" xfId="0" applyNumberFormat="1" applyFont="1" applyBorder="1" applyAlignment="1">
      <alignment horizontal="center"/>
    </xf>
    <xf numFmtId="0" fontId="17" fillId="0" borderId="17" xfId="0" applyFont="1" applyBorder="1" applyAlignment="1"/>
    <xf numFmtId="0" fontId="71" fillId="0" borderId="54" xfId="0" applyFont="1" applyBorder="1" applyAlignment="1"/>
    <xf numFmtId="0" fontId="71" fillId="0" borderId="50" xfId="0" applyFont="1" applyBorder="1" applyAlignment="1"/>
    <xf numFmtId="0" fontId="69" fillId="0" borderId="23" xfId="0" applyFont="1" applyBorder="1" applyAlignment="1">
      <alignment horizontal="center"/>
    </xf>
    <xf numFmtId="0" fontId="71" fillId="0" borderId="3" xfId="0" applyFont="1" applyBorder="1" applyAlignment="1"/>
    <xf numFmtId="0" fontId="34" fillId="0" borderId="51" xfId="0" applyFont="1" applyBorder="1"/>
    <xf numFmtId="0" fontId="34" fillId="0" borderId="44" xfId="0" applyFont="1" applyBorder="1"/>
    <xf numFmtId="0" fontId="71" fillId="0" borderId="51" xfId="0" applyFont="1" applyBorder="1"/>
    <xf numFmtId="0" fontId="71" fillId="0" borderId="44" xfId="0" applyFont="1" applyBorder="1"/>
    <xf numFmtId="0" fontId="71" fillId="0" borderId="1" xfId="0" applyFont="1" applyBorder="1"/>
    <xf numFmtId="2" fontId="73" fillId="0" borderId="1" xfId="0" applyNumberFormat="1" applyFont="1" applyBorder="1" applyAlignment="1">
      <alignment horizontal="center"/>
    </xf>
    <xf numFmtId="0" fontId="71" fillId="0" borderId="48" xfId="0" applyFont="1" applyBorder="1" applyAlignment="1"/>
    <xf numFmtId="0" fontId="71" fillId="0" borderId="43" xfId="0" applyFont="1" applyBorder="1" applyAlignment="1"/>
    <xf numFmtId="0" fontId="71" fillId="0" borderId="53" xfId="0" applyFont="1" applyBorder="1" applyAlignment="1"/>
    <xf numFmtId="14" fontId="72" fillId="0" borderId="3" xfId="0" applyNumberFormat="1" applyFont="1" applyBorder="1" applyAlignment="1"/>
    <xf numFmtId="49" fontId="72" fillId="0" borderId="3" xfId="0" applyNumberFormat="1" applyFont="1" applyBorder="1" applyAlignment="1"/>
    <xf numFmtId="0" fontId="70" fillId="0" borderId="1" xfId="0" applyFont="1" applyBorder="1" applyAlignment="1">
      <alignment horizontal="center" vertical="center"/>
    </xf>
    <xf numFmtId="0" fontId="70" fillId="0" borderId="3" xfId="0" applyFont="1" applyBorder="1" applyAlignment="1"/>
    <xf numFmtId="0" fontId="70" fillId="0" borderId="48" xfId="0" applyFont="1" applyBorder="1" applyAlignment="1"/>
    <xf numFmtId="0" fontId="74" fillId="0" borderId="51" xfId="0" applyFont="1" applyBorder="1" applyAlignment="1"/>
    <xf numFmtId="0" fontId="74" fillId="0" borderId="44" xfId="0" applyFont="1" applyBorder="1" applyAlignment="1"/>
    <xf numFmtId="14" fontId="73" fillId="0" borderId="50" xfId="0" applyNumberFormat="1" applyFont="1" applyBorder="1" applyAlignment="1">
      <alignment horizontal="center" wrapText="1" shrinkToFit="1"/>
    </xf>
    <xf numFmtId="49" fontId="72" fillId="0" borderId="1" xfId="0" applyNumberFormat="1" applyFont="1" applyBorder="1" applyAlignment="1">
      <alignment horizontal="center"/>
    </xf>
    <xf numFmtId="14" fontId="73" fillId="0" borderId="1" xfId="0" applyNumberFormat="1" applyFont="1" applyBorder="1" applyAlignment="1">
      <alignment horizontal="center" wrapText="1" shrinkToFit="1"/>
    </xf>
    <xf numFmtId="49" fontId="75" fillId="0" borderId="51" xfId="0" applyNumberFormat="1" applyFont="1" applyBorder="1" applyAlignment="1">
      <alignment horizontal="center"/>
    </xf>
    <xf numFmtId="0" fontId="74" fillId="0" borderId="48" xfId="0" applyFont="1" applyBorder="1"/>
    <xf numFmtId="14" fontId="73" fillId="0" borderId="3" xfId="0" applyNumberFormat="1" applyFont="1" applyBorder="1" applyAlignment="1">
      <alignment horizontal="center"/>
    </xf>
    <xf numFmtId="49" fontId="73" fillId="0" borderId="3" xfId="0" applyNumberFormat="1" applyFont="1" applyBorder="1" applyAlignment="1">
      <alignment horizontal="center"/>
    </xf>
    <xf numFmtId="14" fontId="73" fillId="0" borderId="48" xfId="0" applyNumberFormat="1" applyFont="1" applyBorder="1" applyAlignment="1">
      <alignment horizontal="center"/>
    </xf>
    <xf numFmtId="0" fontId="74" fillId="0" borderId="48" xfId="0" applyFont="1" applyBorder="1" applyAlignment="1"/>
    <xf numFmtId="0" fontId="74" fillId="0" borderId="43" xfId="0" applyFont="1" applyBorder="1" applyAlignment="1"/>
    <xf numFmtId="49" fontId="72" fillId="0" borderId="3" xfId="0" applyNumberFormat="1" applyFont="1" applyBorder="1" applyAlignment="1">
      <alignment horizontal="center"/>
    </xf>
    <xf numFmtId="14" fontId="73" fillId="0" borderId="3" xfId="0" applyNumberFormat="1" applyFont="1" applyBorder="1" applyAlignment="1">
      <alignment horizontal="center" wrapText="1" shrinkToFit="1"/>
    </xf>
    <xf numFmtId="49" fontId="75" fillId="0" borderId="48" xfId="0" applyNumberFormat="1" applyFont="1" applyBorder="1" applyAlignment="1">
      <alignment horizontal="center"/>
    </xf>
    <xf numFmtId="0" fontId="68" fillId="0" borderId="26" xfId="0" applyFont="1" applyBorder="1"/>
    <xf numFmtId="0" fontId="68" fillId="0" borderId="27" xfId="0" applyFont="1" applyBorder="1"/>
    <xf numFmtId="0" fontId="23" fillId="0" borderId="59" xfId="0" applyFont="1" applyBorder="1" applyAlignment="1">
      <alignment horizontal="left" vertical="center"/>
    </xf>
    <xf numFmtId="0" fontId="9" fillId="0" borderId="56" xfId="0" applyFont="1" applyBorder="1" applyAlignment="1">
      <alignment horizontal="left" vertical="center"/>
    </xf>
    <xf numFmtId="0" fontId="68" fillId="0" borderId="37" xfId="0" applyFont="1" applyBorder="1"/>
    <xf numFmtId="0" fontId="68" fillId="0" borderId="6" xfId="0" applyFont="1" applyBorder="1"/>
    <xf numFmtId="0" fontId="9" fillId="0" borderId="46" xfId="0" applyFont="1" applyBorder="1" applyAlignment="1">
      <alignment horizontal="left" vertical="center"/>
    </xf>
    <xf numFmtId="14" fontId="69" fillId="0" borderId="3" xfId="0" applyNumberFormat="1" applyFont="1" applyBorder="1" applyAlignment="1">
      <alignment horizontal="center" vertical="center"/>
    </xf>
    <xf numFmtId="0" fontId="68" fillId="0" borderId="3" xfId="0" applyFont="1" applyBorder="1"/>
    <xf numFmtId="0" fontId="68" fillId="0" borderId="8" xfId="0" applyFont="1" applyBorder="1"/>
    <xf numFmtId="0" fontId="23" fillId="0" borderId="46" xfId="0" applyFont="1" applyBorder="1" applyAlignment="1">
      <alignment horizontal="left" vertical="center"/>
    </xf>
    <xf numFmtId="2" fontId="70" fillId="0" borderId="3" xfId="0" applyNumberFormat="1" applyFont="1" applyBorder="1"/>
    <xf numFmtId="0" fontId="68" fillId="0" borderId="1" xfId="0" applyFont="1" applyBorder="1"/>
    <xf numFmtId="0" fontId="70" fillId="0" borderId="0" xfId="0" applyFont="1" applyAlignment="1"/>
    <xf numFmtId="0" fontId="70" fillId="0" borderId="26" xfId="0" applyFont="1" applyBorder="1"/>
    <xf numFmtId="0" fontId="48" fillId="0" borderId="0" xfId="0" applyFont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43" fillId="0" borderId="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165" fontId="15" fillId="0" borderId="9" xfId="0" applyNumberFormat="1" applyFont="1" applyBorder="1" applyAlignment="1" applyProtection="1">
      <alignment horizontal="center" vertical="center"/>
    </xf>
    <xf numFmtId="165" fontId="15" fillId="0" borderId="4" xfId="0" applyNumberFormat="1" applyFont="1" applyBorder="1" applyAlignment="1" applyProtection="1">
      <alignment horizontal="center" vertical="center"/>
    </xf>
    <xf numFmtId="165" fontId="15" fillId="0" borderId="10" xfId="0" applyNumberFormat="1" applyFont="1" applyBorder="1" applyAlignment="1" applyProtection="1">
      <alignment horizontal="center" vertical="center"/>
    </xf>
    <xf numFmtId="0" fontId="43" fillId="0" borderId="49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4" fontId="15" fillId="0" borderId="7" xfId="0" applyNumberFormat="1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14" fontId="15" fillId="0" borderId="7" xfId="0" applyNumberFormat="1" applyFont="1" applyBorder="1" applyAlignment="1" applyProtection="1">
      <alignment horizontal="center" vertical="center"/>
      <protection locked="0"/>
    </xf>
    <xf numFmtId="14" fontId="15" fillId="0" borderId="48" xfId="0" applyNumberFormat="1" applyFont="1" applyBorder="1" applyAlignment="1" applyProtection="1">
      <alignment horizontal="center" vertical="center"/>
      <protection locked="0"/>
    </xf>
    <xf numFmtId="0" fontId="54" fillId="0" borderId="0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9" fillId="0" borderId="2" xfId="1" applyFont="1" applyBorder="1" applyAlignment="1" applyProtection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44" fillId="0" borderId="0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9" fillId="0" borderId="54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1" fontId="9" fillId="0" borderId="52" xfId="0" applyNumberFormat="1" applyFont="1" applyBorder="1" applyAlignment="1" applyProtection="1">
      <alignment horizontal="center" vertical="center"/>
      <protection locked="0"/>
    </xf>
    <xf numFmtId="1" fontId="9" fillId="0" borderId="44" xfId="0" applyNumberFormat="1" applyFont="1" applyBorder="1" applyAlignment="1" applyProtection="1">
      <alignment horizontal="center" vertical="center"/>
      <protection locked="0"/>
    </xf>
    <xf numFmtId="0" fontId="9" fillId="0" borderId="5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66" fillId="0" borderId="18" xfId="0" applyFont="1" applyBorder="1" applyAlignment="1">
      <alignment horizontal="left" wrapText="1"/>
    </xf>
    <xf numFmtId="0" fontId="66" fillId="0" borderId="0" xfId="0" applyFont="1" applyAlignment="1">
      <alignment horizontal="left" wrapText="1"/>
    </xf>
    <xf numFmtId="0" fontId="63" fillId="0" borderId="1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10" fillId="0" borderId="5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2" fillId="3" borderId="39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5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8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26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9" fillId="0" borderId="5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3" fillId="3" borderId="39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51" xfId="0" applyFont="1" applyFill="1" applyBorder="1" applyAlignment="1">
      <alignment horizontal="left" vertical="center"/>
    </xf>
    <xf numFmtId="0" fontId="48" fillId="0" borderId="0" xfId="0" applyFont="1" applyAlignment="1">
      <alignment horizontal="center" vertical="center"/>
    </xf>
    <xf numFmtId="14" fontId="33" fillId="0" borderId="17" xfId="0" applyNumberFormat="1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" fillId="3" borderId="56" xfId="0" applyFont="1" applyFill="1" applyBorder="1" applyAlignment="1">
      <alignment horizontal="left" vertical="center"/>
    </xf>
    <xf numFmtId="0" fontId="3" fillId="3" borderId="42" xfId="0" applyFont="1" applyFill="1" applyBorder="1" applyAlignment="1">
      <alignment horizontal="left" vertical="center"/>
    </xf>
    <xf numFmtId="0" fontId="67" fillId="0" borderId="0" xfId="0" applyFont="1" applyAlignment="1">
      <alignment horizontal="center"/>
    </xf>
    <xf numFmtId="0" fontId="79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70" fillId="0" borderId="43" xfId="0" applyFont="1" applyBorder="1" applyAlignment="1">
      <alignment horizontal="center"/>
    </xf>
    <xf numFmtId="14" fontId="70" fillId="0" borderId="43" xfId="0" applyNumberFormat="1" applyFont="1" applyBorder="1" applyAlignment="1">
      <alignment horizontal="center"/>
    </xf>
    <xf numFmtId="0" fontId="71" fillId="0" borderId="43" xfId="0" applyFont="1" applyBorder="1" applyAlignment="1">
      <alignment horizontal="left"/>
    </xf>
    <xf numFmtId="14" fontId="72" fillId="0" borderId="53" xfId="0" applyNumberFormat="1" applyFont="1" applyBorder="1" applyAlignment="1">
      <alignment horizontal="center"/>
    </xf>
    <xf numFmtId="14" fontId="72" fillId="0" borderId="48" xfId="0" applyNumberFormat="1" applyFont="1" applyBorder="1" applyAlignment="1">
      <alignment horizontal="center"/>
    </xf>
    <xf numFmtId="49" fontId="72" fillId="0" borderId="43" xfId="0" applyNumberFormat="1" applyFont="1" applyBorder="1" applyAlignment="1">
      <alignment horizontal="center"/>
    </xf>
    <xf numFmtId="0" fontId="70" fillId="0" borderId="48" xfId="0" applyFont="1" applyBorder="1" applyAlignment="1">
      <alignment horizontal="center"/>
    </xf>
    <xf numFmtId="49" fontId="72" fillId="0" borderId="52" xfId="0" applyNumberFormat="1" applyFont="1" applyBorder="1" applyAlignment="1">
      <alignment horizontal="center"/>
    </xf>
    <xf numFmtId="49" fontId="72" fillId="0" borderId="53" xfId="0" applyNumberFormat="1" applyFont="1" applyBorder="1" applyAlignment="1">
      <alignment horizontal="center"/>
    </xf>
    <xf numFmtId="49" fontId="72" fillId="0" borderId="48" xfId="0" applyNumberFormat="1" applyFont="1" applyBorder="1" applyAlignment="1">
      <alignment horizontal="center"/>
    </xf>
    <xf numFmtId="49" fontId="72" fillId="0" borderId="44" xfId="0" applyNumberFormat="1" applyFont="1" applyBorder="1" applyAlignment="1">
      <alignment horizontal="center"/>
    </xf>
    <xf numFmtId="0" fontId="71" fillId="0" borderId="53" xfId="0" applyFont="1" applyBorder="1" applyAlignment="1">
      <alignment horizontal="left"/>
    </xf>
    <xf numFmtId="0" fontId="71" fillId="0" borderId="3" xfId="0" applyFont="1" applyBorder="1" applyAlignment="1">
      <alignment horizontal="left"/>
    </xf>
    <xf numFmtId="0" fontId="71" fillId="0" borderId="48" xfId="0" applyFont="1" applyBorder="1" applyAlignment="1">
      <alignment horizontal="left"/>
    </xf>
    <xf numFmtId="0" fontId="71" fillId="0" borderId="48" xfId="0" applyFont="1" applyBorder="1" applyAlignment="1">
      <alignment horizontal="center"/>
    </xf>
    <xf numFmtId="0" fontId="71" fillId="0" borderId="43" xfId="0" applyFont="1" applyBorder="1" applyAlignment="1">
      <alignment horizontal="center"/>
    </xf>
    <xf numFmtId="49" fontId="74" fillId="0" borderId="1" xfId="0" applyNumberFormat="1" applyFont="1" applyBorder="1" applyAlignment="1">
      <alignment horizontal="left"/>
    </xf>
    <xf numFmtId="0" fontId="74" fillId="0" borderId="53" xfId="0" applyFont="1" applyBorder="1" applyAlignment="1">
      <alignment horizontal="center"/>
    </xf>
    <xf numFmtId="0" fontId="74" fillId="0" borderId="48" xfId="0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0" fontId="74" fillId="0" borderId="43" xfId="0" applyFont="1" applyBorder="1" applyAlignment="1">
      <alignment horizontal="left"/>
    </xf>
    <xf numFmtId="0" fontId="74" fillId="0" borderId="43" xfId="0" applyFont="1" applyBorder="1" applyAlignment="1">
      <alignment horizontal="center"/>
    </xf>
    <xf numFmtId="14" fontId="80" fillId="0" borderId="0" xfId="0" applyNumberFormat="1" applyFont="1" applyAlignment="1">
      <alignment horizontal="center"/>
    </xf>
    <xf numFmtId="0" fontId="74" fillId="0" borderId="53" xfId="0" applyFont="1" applyBorder="1" applyAlignment="1">
      <alignment horizontal="left"/>
    </xf>
    <xf numFmtId="0" fontId="74" fillId="0" borderId="48" xfId="0" applyFont="1" applyBorder="1" applyAlignment="1">
      <alignment horizontal="left"/>
    </xf>
    <xf numFmtId="14" fontId="70" fillId="0" borderId="1" xfId="0" applyNumberFormat="1" applyFont="1" applyBorder="1" applyAlignment="1">
      <alignment horizontal="center"/>
    </xf>
    <xf numFmtId="0" fontId="74" fillId="0" borderId="3" xfId="0" applyFont="1" applyBorder="1" applyAlignment="1">
      <alignment horizontal="left"/>
    </xf>
    <xf numFmtId="0" fontId="10" fillId="0" borderId="3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33" fillId="0" borderId="1" xfId="0" applyFont="1" applyBorder="1" applyAlignment="1" applyProtection="1">
      <alignment horizontal="center"/>
      <protection locked="0"/>
    </xf>
    <xf numFmtId="0" fontId="33" fillId="0" borderId="0" xfId="0" applyFont="1" applyBorder="1" applyAlignment="1" applyProtection="1">
      <alignment horizont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64" fillId="0" borderId="0" xfId="0" applyFont="1" applyAlignment="1">
      <alignment horizontal="left"/>
    </xf>
    <xf numFmtId="0" fontId="0" fillId="0" borderId="0" xfId="0" applyFont="1"/>
    <xf numFmtId="0" fontId="9" fillId="0" borderId="1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14" fontId="14" fillId="0" borderId="0" xfId="0" applyNumberFormat="1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0" fillId="0" borderId="0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left"/>
    </xf>
    <xf numFmtId="0" fontId="0" fillId="0" borderId="0" xfId="0" applyAlignment="1"/>
    <xf numFmtId="0" fontId="9" fillId="0" borderId="0" xfId="0" applyFont="1" applyBorder="1" applyAlignment="1">
      <alignment horizontal="left"/>
    </xf>
    <xf numFmtId="14" fontId="3" fillId="0" borderId="1" xfId="0" applyNumberFormat="1" applyFont="1" applyBorder="1" applyAlignment="1" applyProtection="1">
      <alignment horizontal="left" vertical="center"/>
      <protection locked="0"/>
    </xf>
    <xf numFmtId="14" fontId="12" fillId="0" borderId="1" xfId="0" applyNumberFormat="1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0" fontId="9" fillId="0" borderId="1" xfId="0" applyNumberFormat="1" applyFont="1" applyBorder="1" applyAlignment="1" applyProtection="1">
      <alignment horizontal="center"/>
      <protection locked="0"/>
    </xf>
    <xf numFmtId="0" fontId="2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64" fontId="9" fillId="0" borderId="0" xfId="0" applyNumberFormat="1" applyFont="1" applyBorder="1" applyAlignment="1" applyProtection="1">
      <alignment horizontal="left"/>
      <protection locked="0"/>
    </xf>
    <xf numFmtId="0" fontId="10" fillId="0" borderId="0" xfId="0" applyFont="1" applyBorder="1" applyAlignment="1">
      <alignment horizontal="left" vertic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3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9" fillId="0" borderId="2" xfId="0" applyFont="1" applyBorder="1" applyAlignment="1">
      <alignment horizontal="center" vertical="center"/>
    </xf>
    <xf numFmtId="164" fontId="10" fillId="0" borderId="1" xfId="0" applyNumberFormat="1" applyFont="1" applyBorder="1" applyAlignment="1" applyProtection="1">
      <alignment horizontal="right"/>
      <protection locked="0"/>
    </xf>
    <xf numFmtId="0" fontId="21" fillId="0" borderId="0" xfId="1" applyFont="1" applyAlignment="1" applyProtection="1">
      <alignment horizontal="center"/>
    </xf>
    <xf numFmtId="0" fontId="9" fillId="0" borderId="0" xfId="0" applyFont="1" applyBorder="1" applyAlignment="1">
      <alignment horizontal="center"/>
    </xf>
    <xf numFmtId="14" fontId="9" fillId="0" borderId="1" xfId="0" applyNumberFormat="1" applyFont="1" applyBorder="1" applyAlignment="1" applyProtection="1">
      <alignment horizontal="center"/>
      <protection locked="0"/>
    </xf>
    <xf numFmtId="0" fontId="15" fillId="0" borderId="0" xfId="0" applyFont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2" fillId="0" borderId="1" xfId="0" applyFont="1" applyBorder="1" applyAlignment="1" applyProtection="1">
      <alignment horizontal="left" vertical="center"/>
      <protection locked="0"/>
    </xf>
    <xf numFmtId="164" fontId="10" fillId="0" borderId="1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164" fontId="9" fillId="0" borderId="1" xfId="0" applyNumberFormat="1" applyFont="1" applyBorder="1" applyAlignment="1" applyProtection="1">
      <alignment horizontal="center"/>
      <protection locked="0"/>
    </xf>
    <xf numFmtId="14" fontId="10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vertical="center"/>
      <protection locked="0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right"/>
    </xf>
    <xf numFmtId="0" fontId="33" fillId="0" borderId="3" xfId="0" applyFont="1" applyBorder="1" applyAlignment="1" applyProtection="1">
      <alignment horizontal="center"/>
      <protection locked="0"/>
    </xf>
    <xf numFmtId="0" fontId="34" fillId="0" borderId="1" xfId="0" applyFont="1" applyBorder="1" applyAlignment="1" applyProtection="1">
      <alignment horizontal="center"/>
      <protection locked="0"/>
    </xf>
    <xf numFmtId="0" fontId="42" fillId="0" borderId="0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4" fontId="47" fillId="0" borderId="0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34" fillId="0" borderId="1" xfId="0" applyFont="1" applyBorder="1" applyAlignment="1" applyProtection="1">
      <alignment horizontal="center"/>
    </xf>
    <xf numFmtId="14" fontId="44" fillId="0" borderId="0" xfId="0" applyNumberFormat="1" applyFont="1" applyBorder="1" applyAlignment="1" applyProtection="1">
      <alignment horizontal="center" vertical="center"/>
      <protection locked="0"/>
    </xf>
    <xf numFmtId="14" fontId="15" fillId="0" borderId="0" xfId="0" applyNumberFormat="1" applyFont="1" applyBorder="1" applyAlignment="1" applyProtection="1">
      <alignment horizontal="center" vertical="center"/>
      <protection locked="0"/>
    </xf>
    <xf numFmtId="0" fontId="34" fillId="0" borderId="0" xfId="0" applyFont="1" applyBorder="1" applyAlignment="1" applyProtection="1">
      <alignment horizontal="center" vertical="center"/>
    </xf>
    <xf numFmtId="0" fontId="34" fillId="0" borderId="0" xfId="0" applyFont="1" applyBorder="1" applyAlignment="1" applyProtection="1">
      <alignment horizontal="center" vertical="center"/>
      <protection locked="0"/>
    </xf>
    <xf numFmtId="0" fontId="33" fillId="0" borderId="0" xfId="0" applyFont="1" applyBorder="1" applyAlignment="1">
      <alignment horizontal="right" vertical="center"/>
    </xf>
    <xf numFmtId="14" fontId="43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 applyProtection="1">
      <alignment horizontal="center" vertical="center"/>
      <protection locked="0"/>
    </xf>
    <xf numFmtId="0" fontId="33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3" fillId="0" borderId="0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7" fontId="10" fillId="0" borderId="9" xfId="0" applyNumberFormat="1" applyFont="1" applyBorder="1" applyAlignment="1" applyProtection="1">
      <alignment horizontal="center" vertical="center"/>
      <protection locked="0"/>
    </xf>
    <xf numFmtId="167" fontId="10" fillId="0" borderId="10" xfId="0" applyNumberFormat="1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64" fontId="9" fillId="0" borderId="5" xfId="0" applyNumberFormat="1" applyFont="1" applyBorder="1" applyAlignment="1" applyProtection="1">
      <alignment horizontal="center" vertical="center"/>
      <protection locked="0"/>
    </xf>
    <xf numFmtId="164" fontId="9" fillId="0" borderId="6" xfId="0" applyNumberFormat="1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left" vertical="center" wrapText="1"/>
    </xf>
    <xf numFmtId="0" fontId="17" fillId="0" borderId="0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50" fillId="0" borderId="0" xfId="0" applyFont="1" applyAlignment="1">
      <alignment horizontal="center"/>
    </xf>
    <xf numFmtId="0" fontId="9" fillId="2" borderId="12" xfId="0" applyFont="1" applyFill="1" applyBorder="1" applyAlignment="1" applyProtection="1">
      <alignment horizontal="center" vertical="center"/>
      <protection locked="0"/>
    </xf>
    <xf numFmtId="0" fontId="9" fillId="2" borderId="24" xfId="0" applyFont="1" applyFill="1" applyBorder="1" applyAlignment="1" applyProtection="1">
      <alignment horizontal="center" vertical="center"/>
      <protection locked="0"/>
    </xf>
    <xf numFmtId="0" fontId="9" fillId="2" borderId="17" xfId="0" applyFont="1" applyFill="1" applyBorder="1" applyAlignment="1" applyProtection="1">
      <alignment horizontal="center" vertical="center"/>
      <protection locked="0"/>
    </xf>
    <xf numFmtId="0" fontId="9" fillId="2" borderId="23" xfId="0" applyFont="1" applyFill="1" applyBorder="1" applyAlignment="1" applyProtection="1">
      <alignment horizontal="center" vertical="center"/>
      <protection locked="0"/>
    </xf>
    <xf numFmtId="2" fontId="23" fillId="2" borderId="17" xfId="0" applyNumberFormat="1" applyFont="1" applyFill="1" applyBorder="1" applyAlignment="1">
      <alignment horizontal="center" vertical="center"/>
    </xf>
    <xf numFmtId="2" fontId="23" fillId="2" borderId="23" xfId="0" applyNumberFormat="1" applyFont="1" applyFill="1" applyBorder="1" applyAlignment="1">
      <alignment horizontal="center" vertical="center"/>
    </xf>
    <xf numFmtId="2" fontId="23" fillId="2" borderId="13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24" fillId="0" borderId="0" xfId="0" applyFont="1" applyBorder="1" applyAlignment="1">
      <alignment horizontal="center" vertical="center"/>
    </xf>
    <xf numFmtId="0" fontId="20" fillId="0" borderId="50" xfId="0" applyFont="1" applyBorder="1" applyAlignment="1" applyProtection="1">
      <alignment horizontal="left" vertical="center"/>
      <protection locked="0"/>
    </xf>
    <xf numFmtId="0" fontId="20" fillId="0" borderId="1" xfId="0" applyFont="1" applyBorder="1" applyAlignment="1" applyProtection="1">
      <alignment horizontal="left" vertical="center"/>
      <protection locked="0"/>
    </xf>
    <xf numFmtId="0" fontId="20" fillId="0" borderId="51" xfId="0" applyFont="1" applyBorder="1" applyAlignment="1" applyProtection="1">
      <alignment horizontal="left" vertical="center"/>
      <protection locked="0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1</xdr:row>
      <xdr:rowOff>121920</xdr:rowOff>
    </xdr:from>
    <xdr:to>
      <xdr:col>2</xdr:col>
      <xdr:colOff>312420</xdr:colOff>
      <xdr:row>5</xdr:row>
      <xdr:rowOff>106680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12420"/>
          <a:ext cx="80772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823913</xdr:colOff>
          <xdr:row>22</xdr:row>
          <xdr:rowOff>176213</xdr:rowOff>
        </xdr:from>
        <xdr:to>
          <xdr:col>2</xdr:col>
          <xdr:colOff>366713</xdr:colOff>
          <xdr:row>24</xdr:row>
          <xdr:rowOff>9525</xdr:rowOff>
        </xdr:to>
        <xdr:sp macro="" textlink="">
          <xdr:nvSpPr>
            <xdr:cNvPr id="48129" name="Check Box 8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33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823913</xdr:colOff>
          <xdr:row>23</xdr:row>
          <xdr:rowOff>176213</xdr:rowOff>
        </xdr:from>
        <xdr:to>
          <xdr:col>2</xdr:col>
          <xdr:colOff>366713</xdr:colOff>
          <xdr:row>25</xdr:row>
          <xdr:rowOff>9525</xdr:rowOff>
        </xdr:to>
        <xdr:sp macro="" textlink="">
          <xdr:nvSpPr>
            <xdr:cNvPr id="48130" name="Check Box 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33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823913</xdr:colOff>
          <xdr:row>24</xdr:row>
          <xdr:rowOff>176213</xdr:rowOff>
        </xdr:from>
        <xdr:to>
          <xdr:col>2</xdr:col>
          <xdr:colOff>366713</xdr:colOff>
          <xdr:row>26</xdr:row>
          <xdr:rowOff>9525</xdr:rowOff>
        </xdr:to>
        <xdr:sp macro="" textlink="">
          <xdr:nvSpPr>
            <xdr:cNvPr id="48131" name="Check Box 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33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823913</xdr:colOff>
          <xdr:row>25</xdr:row>
          <xdr:rowOff>176213</xdr:rowOff>
        </xdr:from>
        <xdr:to>
          <xdr:col>2</xdr:col>
          <xdr:colOff>366713</xdr:colOff>
          <xdr:row>27</xdr:row>
          <xdr:rowOff>9525</xdr:rowOff>
        </xdr:to>
        <xdr:sp macro="" textlink="">
          <xdr:nvSpPr>
            <xdr:cNvPr id="48132" name="Check Box 4" hidden="1">
              <a:extLst>
                <a:ext uri="{63B3BB69-23CF-44E3-9099-C40C66FF867C}">
                  <a14:compatExt spid="_x0000_s48132"/>
                </a:ext>
                <a:ext uri="{FF2B5EF4-FFF2-40B4-BE49-F238E27FC236}">
                  <a16:creationId xmlns:a16="http://schemas.microsoft.com/office/drawing/2014/main" id="{00000000-0008-0000-3300-000004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823913</xdr:colOff>
          <xdr:row>26</xdr:row>
          <xdr:rowOff>176213</xdr:rowOff>
        </xdr:from>
        <xdr:to>
          <xdr:col>2</xdr:col>
          <xdr:colOff>366713</xdr:colOff>
          <xdr:row>28</xdr:row>
          <xdr:rowOff>9525</xdr:rowOff>
        </xdr:to>
        <xdr:sp macro="" textlink="">
          <xdr:nvSpPr>
            <xdr:cNvPr id="48133" name="Check Box 5" hidden="1">
              <a:extLst>
                <a:ext uri="{63B3BB69-23CF-44E3-9099-C40C66FF867C}">
                  <a14:compatExt spid="_x0000_s48133"/>
                </a:ext>
                <a:ext uri="{FF2B5EF4-FFF2-40B4-BE49-F238E27FC236}">
                  <a16:creationId xmlns:a16="http://schemas.microsoft.com/office/drawing/2014/main" id="{00000000-0008-0000-3300-000005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823913</xdr:colOff>
          <xdr:row>27</xdr:row>
          <xdr:rowOff>176213</xdr:rowOff>
        </xdr:from>
        <xdr:to>
          <xdr:col>2</xdr:col>
          <xdr:colOff>366713</xdr:colOff>
          <xdr:row>29</xdr:row>
          <xdr:rowOff>9525</xdr:rowOff>
        </xdr:to>
        <xdr:sp macro="" textlink="">
          <xdr:nvSpPr>
            <xdr:cNvPr id="48134" name="Check Box 6" hidden="1">
              <a:extLst>
                <a:ext uri="{63B3BB69-23CF-44E3-9099-C40C66FF867C}">
                  <a14:compatExt spid="_x0000_s48134"/>
                </a:ext>
                <a:ext uri="{FF2B5EF4-FFF2-40B4-BE49-F238E27FC236}">
                  <a16:creationId xmlns:a16="http://schemas.microsoft.com/office/drawing/2014/main" id="{00000000-0008-0000-3300-000006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823913</xdr:colOff>
          <xdr:row>28</xdr:row>
          <xdr:rowOff>176213</xdr:rowOff>
        </xdr:from>
        <xdr:to>
          <xdr:col>2</xdr:col>
          <xdr:colOff>366713</xdr:colOff>
          <xdr:row>30</xdr:row>
          <xdr:rowOff>9525</xdr:rowOff>
        </xdr:to>
        <xdr:sp macro="" textlink="">
          <xdr:nvSpPr>
            <xdr:cNvPr id="48135" name="Check Box 7" hidden="1">
              <a:extLst>
                <a:ext uri="{63B3BB69-23CF-44E3-9099-C40C66FF867C}">
                  <a14:compatExt spid="_x0000_s48135"/>
                </a:ext>
                <a:ext uri="{FF2B5EF4-FFF2-40B4-BE49-F238E27FC236}">
                  <a16:creationId xmlns:a16="http://schemas.microsoft.com/office/drawing/2014/main" id="{00000000-0008-0000-3300-000007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823913</xdr:colOff>
          <xdr:row>24</xdr:row>
          <xdr:rowOff>176213</xdr:rowOff>
        </xdr:from>
        <xdr:to>
          <xdr:col>2</xdr:col>
          <xdr:colOff>366713</xdr:colOff>
          <xdr:row>26</xdr:row>
          <xdr:rowOff>9525</xdr:rowOff>
        </xdr:to>
        <xdr:sp macro="" textlink="">
          <xdr:nvSpPr>
            <xdr:cNvPr id="48136" name="Check Box 8" hidden="1">
              <a:extLst>
                <a:ext uri="{63B3BB69-23CF-44E3-9099-C40C66FF867C}">
                  <a14:compatExt spid="_x0000_s48136"/>
                </a:ext>
                <a:ext uri="{FF2B5EF4-FFF2-40B4-BE49-F238E27FC236}">
                  <a16:creationId xmlns:a16="http://schemas.microsoft.com/office/drawing/2014/main" id="{00000000-0008-0000-3300-000008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823913</xdr:colOff>
          <xdr:row>26</xdr:row>
          <xdr:rowOff>176213</xdr:rowOff>
        </xdr:from>
        <xdr:to>
          <xdr:col>2</xdr:col>
          <xdr:colOff>366713</xdr:colOff>
          <xdr:row>28</xdr:row>
          <xdr:rowOff>9525</xdr:rowOff>
        </xdr:to>
        <xdr:sp macro="" textlink="">
          <xdr:nvSpPr>
            <xdr:cNvPr id="48137" name="Check Box 9" hidden="1">
              <a:extLst>
                <a:ext uri="{63B3BB69-23CF-44E3-9099-C40C66FF867C}">
                  <a14:compatExt spid="_x0000_s48137"/>
                </a:ext>
                <a:ext uri="{FF2B5EF4-FFF2-40B4-BE49-F238E27FC236}">
                  <a16:creationId xmlns:a16="http://schemas.microsoft.com/office/drawing/2014/main" id="{00000000-0008-0000-3300-000009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DOC.%2012.02.2020\DOC'S%20FOR%20CARGO%20CALCULATION%202020\Carg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Ull"/>
      <sheetName val="Preliminary"/>
      <sheetName val="CGO Callculation"/>
      <sheetName val="Loaded CGO"/>
      <sheetName val="Time Sh"/>
      <sheetName val=" Disch.CheckList"/>
      <sheetName val="Agreement"/>
      <sheetName val="3 Last Car"/>
      <sheetName val="Load-Disch Plan"/>
      <sheetName val="Ship-Shore"/>
      <sheetName val="Entry perm"/>
      <sheetName val="Clean. Proc."/>
      <sheetName val="Letter of discrepancy"/>
      <sheetName val="Protest"/>
      <sheetName val="Dead Freight"/>
      <sheetName val="AUR Hoses"/>
    </sheetNames>
    <sheetDataSet>
      <sheetData sheetId="0">
        <row r="3">
          <cell r="C3" t="str">
            <v>T. Alendal Rederi AS</v>
          </cell>
        </row>
        <row r="5">
          <cell r="B5">
            <v>166</v>
          </cell>
        </row>
        <row r="6">
          <cell r="B6" t="str">
            <v xml:space="preserve">Hovic </v>
          </cell>
        </row>
        <row r="9">
          <cell r="B9" t="str">
            <v>LCO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93B0-6F2F-4C43-87A4-E43619800F2F}">
  <sheetPr codeName="Лист1">
    <tabColor theme="3" tint="0.39997558519241921"/>
  </sheetPr>
  <dimension ref="B1:J49"/>
  <sheetViews>
    <sheetView view="pageLayout" topLeftCell="A13" zoomScaleNormal="100" zoomScaleSheetLayoutView="110" workbookViewId="0">
      <selection activeCell="D11" sqref="D11"/>
    </sheetView>
  </sheetViews>
  <sheetFormatPr defaultColWidth="8.86328125" defaultRowHeight="14.25"/>
  <cols>
    <col min="2" max="2" width="10.6640625" customWidth="1"/>
    <col min="10" max="10" width="8.796875" customWidth="1"/>
  </cols>
  <sheetData>
    <row r="1" spans="2:10" ht="14.65" thickBot="1"/>
    <row r="2" spans="2:10" ht="14.45" customHeight="1">
      <c r="B2" s="415"/>
      <c r="C2" s="416"/>
      <c r="D2" s="416"/>
      <c r="E2" s="416"/>
      <c r="F2" s="416"/>
      <c r="G2" s="416"/>
      <c r="H2" s="416"/>
      <c r="I2" s="417"/>
      <c r="J2" s="411"/>
    </row>
    <row r="3" spans="2:10" ht="14.45" customHeight="1">
      <c r="B3" s="418"/>
      <c r="C3" s="8"/>
      <c r="D3" s="1106" t="s">
        <v>432</v>
      </c>
      <c r="E3" s="1106"/>
      <c r="F3" s="1106"/>
      <c r="G3" s="1106"/>
      <c r="H3" s="1106"/>
      <c r="I3" s="1107"/>
      <c r="J3" s="1"/>
    </row>
    <row r="4" spans="2:10">
      <c r="B4" s="419"/>
      <c r="C4" s="8"/>
      <c r="D4" s="420" t="s">
        <v>433</v>
      </c>
      <c r="E4" s="8"/>
      <c r="F4" s="8"/>
      <c r="G4" s="8"/>
      <c r="H4" s="8"/>
      <c r="I4" s="421"/>
      <c r="J4" s="1"/>
    </row>
    <row r="5" spans="2:10">
      <c r="B5" s="418"/>
      <c r="C5" s="42"/>
      <c r="D5" s="422" t="s">
        <v>434</v>
      </c>
      <c r="E5" s="42"/>
      <c r="F5" s="42"/>
      <c r="G5" s="42"/>
      <c r="H5" s="42"/>
      <c r="I5" s="423"/>
      <c r="J5" s="1"/>
    </row>
    <row r="6" spans="2:10" ht="14.65" thickBot="1">
      <c r="B6" s="424"/>
      <c r="C6" s="425"/>
      <c r="D6" s="425"/>
      <c r="E6" s="425"/>
      <c r="F6" s="425"/>
      <c r="G6" s="425"/>
      <c r="H6" s="425"/>
      <c r="I6" s="426"/>
      <c r="J6" s="1"/>
    </row>
    <row r="7" spans="2:10">
      <c r="B7" s="6"/>
      <c r="C7" s="43"/>
      <c r="D7" s="43"/>
      <c r="E7" s="43"/>
      <c r="F7" s="43"/>
      <c r="G7" s="412"/>
      <c r="H7" s="5"/>
      <c r="I7" s="5"/>
      <c r="J7" s="1"/>
    </row>
    <row r="8" spans="2:10" ht="17.25">
      <c r="B8" s="7"/>
      <c r="C8" s="7"/>
      <c r="D8" s="1108" t="s">
        <v>435</v>
      </c>
      <c r="E8" s="1108"/>
      <c r="F8" s="1108"/>
      <c r="G8" s="7"/>
      <c r="H8" s="8"/>
      <c r="I8" s="8"/>
      <c r="J8" s="1"/>
    </row>
    <row r="9" spans="2:10">
      <c r="B9" s="8"/>
      <c r="C9" s="44"/>
      <c r="D9" s="44"/>
      <c r="E9" s="44"/>
      <c r="F9" s="44"/>
      <c r="G9" s="9"/>
      <c r="H9" s="8"/>
      <c r="I9" s="8"/>
      <c r="J9" s="1"/>
    </row>
    <row r="10" spans="2:10">
      <c r="B10" s="325" t="s">
        <v>436</v>
      </c>
      <c r="C10" s="8"/>
      <c r="D10" s="8"/>
      <c r="E10" s="8"/>
      <c r="F10" s="231" t="s">
        <v>438</v>
      </c>
      <c r="G10" s="8"/>
      <c r="H10" s="8"/>
      <c r="I10" s="8"/>
      <c r="J10" s="1"/>
    </row>
    <row r="11" spans="2:10">
      <c r="B11" s="325" t="s">
        <v>437</v>
      </c>
      <c r="C11" s="413"/>
      <c r="D11" s="413"/>
      <c r="E11" s="413"/>
      <c r="F11" s="231" t="s">
        <v>439</v>
      </c>
      <c r="G11" s="413"/>
      <c r="H11" s="8"/>
      <c r="I11" s="8"/>
      <c r="J11" s="1"/>
    </row>
    <row r="12" spans="2:10" ht="14.65" thickBot="1">
      <c r="B12" s="8"/>
      <c r="C12" s="8"/>
      <c r="D12" s="8"/>
      <c r="E12" s="8"/>
      <c r="F12" s="8"/>
      <c r="G12" s="8"/>
      <c r="H12" s="8"/>
      <c r="I12" s="8"/>
      <c r="J12" s="1"/>
    </row>
    <row r="13" spans="2:10" ht="14.65" thickBot="1">
      <c r="B13" s="427"/>
      <c r="C13" s="428"/>
      <c r="D13" s="528" t="s">
        <v>492</v>
      </c>
      <c r="E13" s="428"/>
      <c r="F13" s="428"/>
      <c r="G13" s="428"/>
      <c r="H13" s="603" t="s">
        <v>440</v>
      </c>
      <c r="I13" s="604" t="s">
        <v>295</v>
      </c>
      <c r="J13" s="1"/>
    </row>
    <row r="14" spans="2:10">
      <c r="B14" s="435" t="s">
        <v>441</v>
      </c>
      <c r="C14" s="436"/>
      <c r="D14" s="436"/>
      <c r="E14" s="436"/>
      <c r="F14" s="436"/>
      <c r="G14" s="436"/>
      <c r="H14" s="437"/>
      <c r="I14" s="438"/>
      <c r="J14" s="1"/>
    </row>
    <row r="15" spans="2:10">
      <c r="B15" s="450" t="s">
        <v>442</v>
      </c>
      <c r="C15" s="451"/>
      <c r="D15" s="451"/>
      <c r="E15" s="451"/>
      <c r="F15" s="451"/>
      <c r="G15" s="451"/>
      <c r="H15" s="452"/>
      <c r="I15" s="453"/>
      <c r="J15" s="8"/>
    </row>
    <row r="16" spans="2:10">
      <c r="B16" s="439" t="s">
        <v>443</v>
      </c>
      <c r="C16" s="440"/>
      <c r="D16" s="441"/>
      <c r="E16" s="441"/>
      <c r="F16" s="441"/>
      <c r="G16" s="441"/>
      <c r="H16" s="442"/>
      <c r="I16" s="443"/>
      <c r="J16" s="8"/>
    </row>
    <row r="17" spans="2:10">
      <c r="B17" s="450" t="s">
        <v>444</v>
      </c>
      <c r="C17" s="451"/>
      <c r="D17" s="451"/>
      <c r="E17" s="451"/>
      <c r="F17" s="451"/>
      <c r="G17" s="451"/>
      <c r="H17" s="452"/>
      <c r="I17" s="453"/>
      <c r="J17" s="8"/>
    </row>
    <row r="18" spans="2:10">
      <c r="B18" s="439" t="s">
        <v>445</v>
      </c>
      <c r="C18" s="440"/>
      <c r="D18" s="440"/>
      <c r="E18" s="440"/>
      <c r="F18" s="441"/>
      <c r="G18" s="441"/>
      <c r="H18" s="454"/>
      <c r="I18" s="445"/>
      <c r="J18" s="11"/>
    </row>
    <row r="19" spans="2:10">
      <c r="B19" s="439" t="s">
        <v>446</v>
      </c>
      <c r="C19" s="440"/>
      <c r="D19" s="440"/>
      <c r="E19" s="440"/>
      <c r="F19" s="444"/>
      <c r="G19" s="444"/>
      <c r="H19" s="442"/>
      <c r="I19" s="445"/>
      <c r="J19" s="11"/>
    </row>
    <row r="20" spans="2:10">
      <c r="B20" s="450" t="s">
        <v>447</v>
      </c>
      <c r="C20" s="457"/>
      <c r="D20" s="458"/>
      <c r="E20" s="459"/>
      <c r="F20" s="459"/>
      <c r="G20" s="459"/>
      <c r="H20" s="460"/>
      <c r="I20" s="461"/>
      <c r="J20" s="11"/>
    </row>
    <row r="21" spans="2:10">
      <c r="B21" s="439" t="s">
        <v>448</v>
      </c>
      <c r="C21" s="440"/>
      <c r="D21" s="455"/>
      <c r="E21" s="440"/>
      <c r="F21" s="440"/>
      <c r="G21" s="440"/>
      <c r="H21" s="456"/>
      <c r="I21" s="443"/>
      <c r="J21" s="8"/>
    </row>
    <row r="22" spans="2:10">
      <c r="B22" s="439" t="s">
        <v>449</v>
      </c>
      <c r="C22" s="446"/>
      <c r="D22" s="446"/>
      <c r="E22" s="444"/>
      <c r="F22" s="447"/>
      <c r="G22" s="447"/>
      <c r="H22" s="448"/>
      <c r="I22" s="449"/>
      <c r="J22" s="37"/>
    </row>
    <row r="23" spans="2:10">
      <c r="B23" s="450" t="s">
        <v>446</v>
      </c>
      <c r="C23" s="468"/>
      <c r="D23" s="469"/>
      <c r="E23" s="469"/>
      <c r="F23" s="470"/>
      <c r="G23" s="470"/>
      <c r="H23" s="471"/>
      <c r="I23" s="472"/>
      <c r="J23" s="37"/>
    </row>
    <row r="24" spans="2:10">
      <c r="B24" s="450" t="s">
        <v>450</v>
      </c>
      <c r="C24" s="459"/>
      <c r="D24" s="459"/>
      <c r="E24" s="480"/>
      <c r="F24" s="480"/>
      <c r="G24" s="480"/>
      <c r="H24" s="481"/>
      <c r="I24" s="482"/>
      <c r="J24" s="19"/>
    </row>
    <row r="25" spans="2:10">
      <c r="B25" s="439" t="s">
        <v>451</v>
      </c>
      <c r="C25" s="477"/>
      <c r="D25" s="477"/>
      <c r="E25" s="477"/>
      <c r="F25" s="477"/>
      <c r="G25" s="477"/>
      <c r="H25" s="478"/>
      <c r="I25" s="479"/>
      <c r="J25" s="20"/>
    </row>
    <row r="26" spans="2:10">
      <c r="B26" s="439" t="s">
        <v>452</v>
      </c>
      <c r="C26" s="441"/>
      <c r="D26" s="441"/>
      <c r="E26" s="441"/>
      <c r="F26" s="441"/>
      <c r="G26" s="441"/>
      <c r="H26" s="454"/>
      <c r="I26" s="476"/>
      <c r="J26" s="7"/>
    </row>
    <row r="27" spans="2:10">
      <c r="B27" s="439" t="s">
        <v>453</v>
      </c>
      <c r="C27" s="473"/>
      <c r="D27" s="473"/>
      <c r="E27" s="473"/>
      <c r="F27" s="473"/>
      <c r="G27" s="473"/>
      <c r="H27" s="474"/>
      <c r="I27" s="475"/>
      <c r="J27" s="21"/>
    </row>
    <row r="28" spans="2:10">
      <c r="B28" s="439" t="s">
        <v>454</v>
      </c>
      <c r="C28" s="444"/>
      <c r="D28" s="444"/>
      <c r="E28" s="444"/>
      <c r="F28" s="336"/>
      <c r="G28" s="336"/>
      <c r="H28" s="467"/>
      <c r="I28" s="445"/>
      <c r="J28" s="11"/>
    </row>
    <row r="29" spans="2:10">
      <c r="B29" s="439" t="s">
        <v>455</v>
      </c>
      <c r="C29" s="444"/>
      <c r="D29" s="444"/>
      <c r="E29" s="444"/>
      <c r="F29" s="444"/>
      <c r="G29" s="444"/>
      <c r="H29" s="442"/>
      <c r="I29" s="445"/>
      <c r="J29" s="11"/>
    </row>
    <row r="30" spans="2:10">
      <c r="B30" s="439" t="s">
        <v>456</v>
      </c>
      <c r="C30" s="444"/>
      <c r="D30" s="444"/>
      <c r="E30" s="444"/>
      <c r="F30" s="444"/>
      <c r="G30" s="444"/>
      <c r="H30" s="442"/>
      <c r="I30" s="445"/>
      <c r="J30" s="11"/>
    </row>
    <row r="31" spans="2:10">
      <c r="B31" s="439" t="s">
        <v>457</v>
      </c>
      <c r="C31" s="444"/>
      <c r="D31" s="444"/>
      <c r="E31" s="444"/>
      <c r="F31" s="441"/>
      <c r="G31" s="441"/>
      <c r="H31" s="454"/>
      <c r="I31" s="445"/>
      <c r="J31" s="11"/>
    </row>
    <row r="32" spans="2:10">
      <c r="B32" s="439" t="s">
        <v>458</v>
      </c>
      <c r="C32" s="444"/>
      <c r="D32" s="466"/>
      <c r="E32" s="444"/>
      <c r="F32" s="336"/>
      <c r="G32" s="336"/>
      <c r="H32" s="467"/>
      <c r="I32" s="445"/>
      <c r="J32" s="11"/>
    </row>
    <row r="33" spans="2:10">
      <c r="B33" s="439" t="s">
        <v>459</v>
      </c>
      <c r="C33" s="444"/>
      <c r="D33" s="466"/>
      <c r="E33" s="444"/>
      <c r="F33" s="444"/>
      <c r="G33" s="444"/>
      <c r="H33" s="442"/>
      <c r="I33" s="445"/>
      <c r="J33" s="11"/>
    </row>
    <row r="34" spans="2:10">
      <c r="B34" s="439" t="s">
        <v>460</v>
      </c>
      <c r="C34" s="444"/>
      <c r="D34" s="444"/>
      <c r="E34" s="444"/>
      <c r="F34" s="444"/>
      <c r="G34" s="444"/>
      <c r="H34" s="442"/>
      <c r="I34" s="445"/>
      <c r="J34" s="11"/>
    </row>
    <row r="35" spans="2:10">
      <c r="B35" s="439" t="s">
        <v>461</v>
      </c>
      <c r="C35" s="464"/>
      <c r="D35" s="465"/>
      <c r="E35" s="441"/>
      <c r="F35" s="441"/>
      <c r="G35" s="441"/>
      <c r="H35" s="454"/>
      <c r="I35" s="445"/>
      <c r="J35" s="11"/>
    </row>
    <row r="36" spans="2:10">
      <c r="B36" s="439" t="s">
        <v>462</v>
      </c>
      <c r="C36" s="444"/>
      <c r="D36" s="444"/>
      <c r="E36" s="463"/>
      <c r="F36" s="444"/>
      <c r="G36" s="444"/>
      <c r="H36" s="442"/>
      <c r="I36" s="445"/>
      <c r="J36" s="11"/>
    </row>
    <row r="37" spans="2:10">
      <c r="B37" s="439" t="s">
        <v>463</v>
      </c>
      <c r="C37" s="444"/>
      <c r="D37" s="444"/>
      <c r="E37" s="441"/>
      <c r="F37" s="441"/>
      <c r="G37" s="441"/>
      <c r="H37" s="454"/>
      <c r="I37" s="462"/>
      <c r="J37" s="24"/>
    </row>
    <row r="38" spans="2:10" ht="14.65" thickBot="1">
      <c r="B38" s="431" t="s">
        <v>464</v>
      </c>
      <c r="C38" s="432"/>
      <c r="D38" s="432"/>
      <c r="E38" s="432"/>
      <c r="F38" s="432"/>
      <c r="G38" s="432"/>
      <c r="H38" s="434"/>
      <c r="I38" s="433"/>
      <c r="J38" s="37"/>
    </row>
    <row r="39" spans="2:10" ht="14.65" thickBot="1">
      <c r="B39" s="28"/>
      <c r="C39" s="11"/>
      <c r="D39" s="11"/>
      <c r="E39" s="7"/>
      <c r="F39" s="7"/>
      <c r="G39" s="7"/>
      <c r="H39" s="7"/>
      <c r="I39" s="24"/>
      <c r="J39" s="24"/>
    </row>
    <row r="40" spans="2:10">
      <c r="B40" s="488" t="s">
        <v>467</v>
      </c>
      <c r="C40" s="483"/>
      <c r="D40" s="483"/>
      <c r="E40" s="483"/>
      <c r="F40" s="483"/>
      <c r="G40" s="483"/>
      <c r="H40" s="483"/>
      <c r="I40" s="484"/>
      <c r="J40" s="11"/>
    </row>
    <row r="41" spans="2:10">
      <c r="B41" s="489" t="s">
        <v>468</v>
      </c>
      <c r="C41" s="414"/>
      <c r="D41" s="414"/>
      <c r="E41" s="414"/>
      <c r="F41" s="414"/>
      <c r="G41" s="414"/>
      <c r="H41" s="414"/>
      <c r="I41" s="485"/>
      <c r="J41" s="22"/>
    </row>
    <row r="42" spans="2:10">
      <c r="B42" s="489" t="s">
        <v>469</v>
      </c>
      <c r="C42" s="24"/>
      <c r="D42" s="24"/>
      <c r="E42" s="24"/>
      <c r="F42" s="24"/>
      <c r="G42" s="24"/>
      <c r="H42" s="24"/>
      <c r="I42" s="430"/>
      <c r="J42" s="25"/>
    </row>
    <row r="43" spans="2:10">
      <c r="B43" s="490" t="s">
        <v>470</v>
      </c>
      <c r="C43" s="11"/>
      <c r="D43" s="11"/>
      <c r="E43" s="11"/>
      <c r="F43" s="11"/>
      <c r="G43" s="11"/>
      <c r="H43" s="11"/>
      <c r="I43" s="429"/>
      <c r="J43" s="26"/>
    </row>
    <row r="44" spans="2:10" ht="14.65" thickBot="1">
      <c r="B44" s="491" t="s">
        <v>471</v>
      </c>
      <c r="C44" s="486"/>
      <c r="D44" s="486"/>
      <c r="E44" s="486"/>
      <c r="F44" s="486"/>
      <c r="G44" s="486"/>
      <c r="H44" s="486"/>
      <c r="I44" s="487"/>
      <c r="J44" s="1"/>
    </row>
    <row r="45" spans="2:10">
      <c r="B45" s="26"/>
      <c r="C45" s="26"/>
      <c r="D45" s="26"/>
      <c r="E45" s="26"/>
      <c r="F45" s="26"/>
      <c r="G45" s="26"/>
      <c r="H45" s="26"/>
      <c r="I45" s="26"/>
      <c r="J45" s="26"/>
    </row>
    <row r="46" spans="2:10">
      <c r="B46" s="410" t="s">
        <v>266</v>
      </c>
      <c r="C46" s="26"/>
      <c r="D46" s="26"/>
      <c r="E46" s="410" t="s">
        <v>465</v>
      </c>
      <c r="F46" s="26"/>
      <c r="G46" s="26"/>
      <c r="H46" s="147" t="s">
        <v>466</v>
      </c>
      <c r="I46" s="26"/>
      <c r="J46" s="26"/>
    </row>
    <row r="47" spans="2:10">
      <c r="B47" s="303"/>
      <c r="C47" s="303"/>
      <c r="D47" s="303"/>
      <c r="E47" s="303"/>
      <c r="F47" s="303"/>
      <c r="G47" s="303"/>
      <c r="H47" s="303"/>
      <c r="I47" s="303"/>
      <c r="J47" s="303"/>
    </row>
    <row r="48" spans="2:10">
      <c r="B48" s="1"/>
      <c r="C48" s="1"/>
      <c r="D48" s="1"/>
      <c r="E48" s="1"/>
      <c r="F48" s="1"/>
      <c r="G48" s="1"/>
      <c r="H48" s="1"/>
      <c r="I48" s="1"/>
      <c r="J48" s="1"/>
    </row>
    <row r="49" spans="2:10">
      <c r="B49" s="27"/>
      <c r="C49" s="1"/>
      <c r="D49" s="1"/>
      <c r="E49" s="1"/>
      <c r="F49" s="1"/>
      <c r="G49" s="1"/>
      <c r="H49" s="1"/>
      <c r="I49" s="1"/>
      <c r="J49" s="1"/>
    </row>
  </sheetData>
  <mergeCells count="2">
    <mergeCell ref="D3:I3"/>
    <mergeCell ref="D8:F8"/>
  </mergeCells>
  <pageMargins left="0.7" right="0.46666666666666667" top="0.75" bottom="0.75" header="0.3" footer="0.3"/>
  <pageSetup paperSize="9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13FB-5C73-42BA-95C6-841D5F437324}">
  <sheetPr codeName="Лист2">
    <tabColor theme="3" tint="0.39997558519241921"/>
  </sheetPr>
  <dimension ref="A2:J50"/>
  <sheetViews>
    <sheetView view="pageLayout" topLeftCell="A25" zoomScaleNormal="100" zoomScaleSheetLayoutView="110" workbookViewId="0">
      <selection activeCell="B37" sqref="B37"/>
    </sheetView>
  </sheetViews>
  <sheetFormatPr defaultColWidth="8.86328125" defaultRowHeight="14.25"/>
  <cols>
    <col min="2" max="2" width="10.6640625" customWidth="1"/>
    <col min="6" max="6" width="9.33203125" customWidth="1"/>
    <col min="10" max="10" width="8.796875" customWidth="1"/>
  </cols>
  <sheetData>
    <row r="2" spans="2:10" ht="14.45" customHeight="1">
      <c r="B2" s="496"/>
      <c r="C2" s="496"/>
      <c r="D2" s="496"/>
      <c r="E2" s="496"/>
      <c r="F2" s="496"/>
      <c r="G2" s="496"/>
      <c r="H2" s="496"/>
      <c r="I2" s="496"/>
      <c r="J2" s="411"/>
    </row>
    <row r="3" spans="2:10" ht="14.45" customHeight="1" thickBot="1">
      <c r="B3" s="8"/>
      <c r="C3" s="8"/>
      <c r="D3" s="495"/>
      <c r="E3" s="495"/>
      <c r="F3" s="495"/>
      <c r="G3" s="495"/>
      <c r="H3" s="495"/>
      <c r="I3" s="495"/>
      <c r="J3" s="1"/>
    </row>
    <row r="4" spans="2:10">
      <c r="B4" s="511" t="s">
        <v>333</v>
      </c>
      <c r="C4" s="505"/>
      <c r="D4" s="506"/>
      <c r="E4" s="507"/>
      <c r="F4" s="509" t="s">
        <v>489</v>
      </c>
      <c r="G4" s="505"/>
      <c r="H4" s="508"/>
      <c r="I4" s="507"/>
      <c r="J4" s="1"/>
    </row>
    <row r="5" spans="2:10">
      <c r="B5" s="512" t="s">
        <v>14</v>
      </c>
      <c r="C5" s="502"/>
      <c r="D5" s="503"/>
      <c r="E5" s="504"/>
      <c r="F5" s="510" t="s">
        <v>1</v>
      </c>
      <c r="G5" s="502"/>
      <c r="H5" s="50"/>
      <c r="I5" s="504"/>
      <c r="J5" s="1"/>
    </row>
    <row r="6" spans="2:10" ht="14.65" thickBot="1">
      <c r="B6" s="500" t="s">
        <v>488</v>
      </c>
      <c r="C6" s="498"/>
      <c r="D6" s="498"/>
      <c r="E6" s="498"/>
      <c r="F6" s="501" t="s">
        <v>490</v>
      </c>
      <c r="G6" s="498"/>
      <c r="H6" s="498"/>
      <c r="I6" s="499"/>
      <c r="J6" s="1"/>
    </row>
    <row r="7" spans="2:10">
      <c r="B7" s="6"/>
      <c r="C7" s="43"/>
      <c r="D7" s="43"/>
      <c r="E7" s="43"/>
      <c r="F7" s="43"/>
      <c r="G7" s="412"/>
      <c r="H7" s="5"/>
      <c r="I7" s="5"/>
      <c r="J7" s="1"/>
    </row>
    <row r="8" spans="2:10">
      <c r="B8" s="8"/>
      <c r="C8" s="44"/>
      <c r="D8" s="44"/>
      <c r="E8" s="44"/>
      <c r="F8" s="44"/>
      <c r="G8" s="9"/>
      <c r="H8" s="8"/>
      <c r="I8" s="8"/>
      <c r="J8" s="1"/>
    </row>
    <row r="9" spans="2:10" ht="17.25">
      <c r="B9" s="325"/>
      <c r="C9" s="8"/>
      <c r="D9" s="1109" t="s">
        <v>491</v>
      </c>
      <c r="E9" s="1109"/>
      <c r="F9" s="1109"/>
      <c r="G9" s="1109"/>
      <c r="H9" s="8"/>
      <c r="I9" s="8"/>
      <c r="J9" s="1"/>
    </row>
    <row r="10" spans="2:10">
      <c r="B10" s="325" t="s">
        <v>437</v>
      </c>
      <c r="C10" s="413"/>
      <c r="D10" s="413"/>
      <c r="E10" s="413"/>
      <c r="F10" s="231"/>
      <c r="G10" s="413"/>
      <c r="H10" s="8"/>
      <c r="I10" s="8"/>
      <c r="J10" s="1"/>
    </row>
    <row r="11" spans="2:10" ht="14.65" thickBot="1">
      <c r="B11" s="8"/>
      <c r="C11" s="8"/>
      <c r="D11" s="8"/>
      <c r="E11" s="8"/>
      <c r="F11" s="8"/>
      <c r="G11" s="8"/>
      <c r="H11" s="8"/>
      <c r="I11" s="8"/>
      <c r="J11" s="1"/>
    </row>
    <row r="12" spans="2:10" ht="14.65" thickBot="1">
      <c r="B12" s="1110" t="s">
        <v>492</v>
      </c>
      <c r="C12" s="1111"/>
      <c r="D12" s="1112"/>
      <c r="E12" s="529" t="s">
        <v>440</v>
      </c>
      <c r="F12" s="529" t="s">
        <v>295</v>
      </c>
      <c r="G12" s="1113" t="s">
        <v>493</v>
      </c>
      <c r="H12" s="1114"/>
      <c r="I12" s="1115"/>
      <c r="J12" s="1"/>
    </row>
    <row r="13" spans="2:10">
      <c r="B13" s="435" t="s">
        <v>494</v>
      </c>
      <c r="C13" s="436"/>
      <c r="D13" s="436"/>
      <c r="E13" s="513"/>
      <c r="F13" s="513"/>
      <c r="G13" s="440"/>
      <c r="H13" s="436"/>
      <c r="I13" s="443"/>
      <c r="J13" s="1"/>
    </row>
    <row r="14" spans="2:10">
      <c r="B14" s="450" t="s">
        <v>495</v>
      </c>
      <c r="C14" s="451"/>
      <c r="D14" s="451"/>
      <c r="E14" s="514"/>
      <c r="F14" s="514"/>
      <c r="G14" s="451"/>
      <c r="H14" s="451"/>
      <c r="I14" s="453"/>
      <c r="J14" s="8"/>
    </row>
    <row r="15" spans="2:10">
      <c r="B15" s="439" t="s">
        <v>496</v>
      </c>
      <c r="C15" s="440"/>
      <c r="D15" s="441"/>
      <c r="E15" s="515"/>
      <c r="F15" s="515"/>
      <c r="G15" s="441"/>
      <c r="H15" s="451"/>
      <c r="I15" s="443"/>
      <c r="J15" s="8"/>
    </row>
    <row r="16" spans="2:10">
      <c r="B16" s="450" t="s">
        <v>497</v>
      </c>
      <c r="C16" s="451"/>
      <c r="D16" s="451"/>
      <c r="E16" s="514"/>
      <c r="F16" s="514"/>
      <c r="G16" s="451"/>
      <c r="H16" s="451"/>
      <c r="I16" s="453"/>
      <c r="J16" s="8"/>
    </row>
    <row r="17" spans="2:10">
      <c r="B17" s="439" t="s">
        <v>498</v>
      </c>
      <c r="C17" s="440"/>
      <c r="D17" s="440"/>
      <c r="E17" s="516"/>
      <c r="F17" s="515"/>
      <c r="G17" s="441"/>
      <c r="H17" s="451"/>
      <c r="I17" s="445"/>
      <c r="J17" s="11"/>
    </row>
    <row r="18" spans="2:10">
      <c r="B18" s="439" t="s">
        <v>499</v>
      </c>
      <c r="C18" s="440"/>
      <c r="D18" s="440"/>
      <c r="E18" s="516"/>
      <c r="F18" s="518"/>
      <c r="G18" s="444"/>
      <c r="H18" s="451"/>
      <c r="I18" s="445"/>
      <c r="J18" s="11"/>
    </row>
    <row r="19" spans="2:10">
      <c r="B19" s="450" t="s">
        <v>500</v>
      </c>
      <c r="C19" s="457"/>
      <c r="D19" s="458"/>
      <c r="E19" s="517"/>
      <c r="F19" s="517"/>
      <c r="G19" s="459"/>
      <c r="H19" s="451"/>
      <c r="I19" s="461"/>
      <c r="J19" s="11"/>
    </row>
    <row r="20" spans="2:10">
      <c r="B20" s="439" t="s">
        <v>501</v>
      </c>
      <c r="C20" s="440"/>
      <c r="D20" s="455"/>
      <c r="E20" s="516"/>
      <c r="F20" s="516"/>
      <c r="G20" s="440"/>
      <c r="H20" s="451"/>
      <c r="I20" s="443"/>
      <c r="J20" s="8"/>
    </row>
    <row r="21" spans="2:10">
      <c r="B21" s="439" t="s">
        <v>502</v>
      </c>
      <c r="C21" s="446"/>
      <c r="D21" s="446"/>
      <c r="E21" s="518"/>
      <c r="F21" s="525"/>
      <c r="G21" s="447"/>
      <c r="H21" s="451"/>
      <c r="I21" s="449"/>
      <c r="J21" s="37"/>
    </row>
    <row r="22" spans="2:10">
      <c r="B22" s="450" t="s">
        <v>503</v>
      </c>
      <c r="C22" s="468"/>
      <c r="D22" s="469"/>
      <c r="E22" s="519"/>
      <c r="F22" s="526"/>
      <c r="G22" s="470"/>
      <c r="H22" s="451"/>
      <c r="I22" s="472"/>
      <c r="J22" s="37"/>
    </row>
    <row r="23" spans="2:10">
      <c r="B23" s="450" t="s">
        <v>504</v>
      </c>
      <c r="C23" s="459"/>
      <c r="D23" s="459"/>
      <c r="E23" s="520"/>
      <c r="F23" s="520"/>
      <c r="G23" s="480"/>
      <c r="H23" s="451"/>
      <c r="I23" s="482"/>
      <c r="J23" s="19"/>
    </row>
    <row r="24" spans="2:10">
      <c r="B24" s="439" t="s">
        <v>505</v>
      </c>
      <c r="C24" s="477"/>
      <c r="D24" s="477"/>
      <c r="E24" s="521"/>
      <c r="F24" s="521"/>
      <c r="G24" s="477"/>
      <c r="H24" s="451"/>
      <c r="I24" s="479"/>
      <c r="J24" s="20"/>
    </row>
    <row r="25" spans="2:10">
      <c r="B25" s="439" t="s">
        <v>506</v>
      </c>
      <c r="C25" s="441"/>
      <c r="D25" s="441"/>
      <c r="E25" s="515"/>
      <c r="F25" s="515"/>
      <c r="G25" s="441"/>
      <c r="H25" s="451"/>
      <c r="I25" s="476"/>
      <c r="J25" s="7"/>
    </row>
    <row r="26" spans="2:10">
      <c r="B26" s="439" t="s">
        <v>507</v>
      </c>
      <c r="C26" s="473"/>
      <c r="D26" s="473"/>
      <c r="E26" s="522"/>
      <c r="F26" s="522"/>
      <c r="G26" s="473"/>
      <c r="H26" s="451"/>
      <c r="I26" s="475"/>
      <c r="J26" s="21"/>
    </row>
    <row r="27" spans="2:10">
      <c r="B27" s="439" t="s">
        <v>508</v>
      </c>
      <c r="C27" s="444"/>
      <c r="D27" s="444"/>
      <c r="E27" s="518"/>
      <c r="F27" s="527"/>
      <c r="G27" s="336"/>
      <c r="H27" s="451"/>
      <c r="I27" s="445"/>
      <c r="J27" s="11"/>
    </row>
    <row r="28" spans="2:10">
      <c r="B28" s="439" t="s">
        <v>509</v>
      </c>
      <c r="C28" s="444"/>
      <c r="D28" s="444"/>
      <c r="E28" s="518"/>
      <c r="F28" s="518"/>
      <c r="G28" s="444"/>
      <c r="H28" s="451"/>
      <c r="I28" s="445"/>
      <c r="J28" s="11"/>
    </row>
    <row r="29" spans="2:10">
      <c r="B29" s="439" t="s">
        <v>510</v>
      </c>
      <c r="C29" s="444"/>
      <c r="D29" s="444"/>
      <c r="E29" s="518"/>
      <c r="F29" s="518"/>
      <c r="G29" s="444"/>
      <c r="H29" s="451"/>
      <c r="I29" s="445"/>
      <c r="J29" s="11"/>
    </row>
    <row r="30" spans="2:10">
      <c r="B30" s="439" t="s">
        <v>511</v>
      </c>
      <c r="C30" s="444"/>
      <c r="D30" s="444"/>
      <c r="E30" s="518"/>
      <c r="F30" s="515"/>
      <c r="G30" s="441"/>
      <c r="H30" s="451"/>
      <c r="I30" s="445"/>
      <c r="J30" s="11"/>
    </row>
    <row r="31" spans="2:10">
      <c r="B31" s="439" t="s">
        <v>512</v>
      </c>
      <c r="C31" s="444"/>
      <c r="D31" s="466"/>
      <c r="E31" s="518"/>
      <c r="F31" s="527"/>
      <c r="G31" s="336"/>
      <c r="H31" s="451"/>
      <c r="I31" s="445"/>
      <c r="J31" s="11"/>
    </row>
    <row r="32" spans="2:10">
      <c r="B32" s="439" t="s">
        <v>513</v>
      </c>
      <c r="C32" s="444"/>
      <c r="D32" s="466"/>
      <c r="E32" s="518"/>
      <c r="F32" s="518"/>
      <c r="G32" s="444"/>
      <c r="H32" s="451"/>
      <c r="I32" s="445"/>
      <c r="J32" s="11"/>
    </row>
    <row r="33" spans="1:10">
      <c r="B33" s="439" t="s">
        <v>514</v>
      </c>
      <c r="C33" s="444"/>
      <c r="D33" s="444"/>
      <c r="E33" s="518"/>
      <c r="F33" s="518"/>
      <c r="G33" s="444"/>
      <c r="H33" s="451"/>
      <c r="I33" s="445"/>
      <c r="J33" s="11"/>
    </row>
    <row r="34" spans="1:10">
      <c r="B34" s="439" t="s">
        <v>515</v>
      </c>
      <c r="C34" s="464"/>
      <c r="D34" s="465"/>
      <c r="E34" s="515"/>
      <c r="F34" s="515"/>
      <c r="G34" s="441"/>
      <c r="H34" s="451"/>
      <c r="I34" s="445"/>
      <c r="J34" s="11"/>
    </row>
    <row r="35" spans="1:10">
      <c r="B35" s="439" t="s">
        <v>516</v>
      </c>
      <c r="C35" s="444"/>
      <c r="D35" s="444"/>
      <c r="E35" s="523"/>
      <c r="F35" s="518"/>
      <c r="G35" s="444"/>
      <c r="H35" s="451"/>
      <c r="I35" s="445"/>
      <c r="J35" s="11"/>
    </row>
    <row r="36" spans="1:10">
      <c r="B36" s="439" t="s">
        <v>495</v>
      </c>
      <c r="C36" s="444"/>
      <c r="D36" s="444"/>
      <c r="E36" s="515"/>
      <c r="F36" s="515"/>
      <c r="G36" s="441"/>
      <c r="H36" s="451"/>
      <c r="I36" s="462"/>
      <c r="J36" s="24"/>
    </row>
    <row r="37" spans="1:10">
      <c r="B37" s="450" t="s">
        <v>517</v>
      </c>
      <c r="C37" s="459"/>
      <c r="D37" s="459"/>
      <c r="E37" s="530"/>
      <c r="F37" s="530"/>
      <c r="G37" s="531"/>
      <c r="H37" s="451"/>
      <c r="I37" s="532"/>
      <c r="J37" s="37"/>
    </row>
    <row r="38" spans="1:10" ht="14.65" thickBot="1">
      <c r="B38" s="431"/>
      <c r="C38" s="432"/>
      <c r="D38" s="432"/>
      <c r="E38" s="524"/>
      <c r="F38" s="524"/>
      <c r="G38" s="432"/>
      <c r="H38" s="432"/>
      <c r="I38" s="433"/>
      <c r="J38" s="37"/>
    </row>
    <row r="39" spans="1:10" ht="14.65" thickBot="1">
      <c r="A39" s="48"/>
      <c r="B39" s="28"/>
      <c r="C39" s="41"/>
      <c r="D39" s="41"/>
      <c r="E39" s="59"/>
      <c r="F39" s="59"/>
      <c r="G39" s="59"/>
      <c r="H39" s="59"/>
      <c r="I39" s="41"/>
      <c r="J39" s="41"/>
    </row>
    <row r="40" spans="1:10">
      <c r="A40" s="48"/>
      <c r="B40" s="488" t="s">
        <v>467</v>
      </c>
      <c r="C40" s="533"/>
      <c r="D40" s="533"/>
      <c r="E40" s="533"/>
      <c r="F40" s="533"/>
      <c r="G40" s="533"/>
      <c r="H40" s="533"/>
      <c r="I40" s="534"/>
      <c r="J40" s="49"/>
    </row>
    <row r="41" spans="1:10">
      <c r="A41" s="48"/>
      <c r="B41" s="497" t="s">
        <v>468</v>
      </c>
      <c r="C41" s="60"/>
      <c r="D41" s="60"/>
      <c r="E41" s="60"/>
      <c r="F41" s="60"/>
      <c r="G41" s="60"/>
      <c r="H41" s="60"/>
      <c r="I41" s="535"/>
      <c r="J41" s="84"/>
    </row>
    <row r="42" spans="1:10">
      <c r="A42" s="48"/>
      <c r="B42" s="497" t="s">
        <v>469</v>
      </c>
      <c r="C42" s="41"/>
      <c r="D42" s="41"/>
      <c r="E42" s="41"/>
      <c r="F42" s="41"/>
      <c r="G42" s="41"/>
      <c r="H42" s="41"/>
      <c r="I42" s="536"/>
      <c r="J42" s="84"/>
    </row>
    <row r="43" spans="1:10">
      <c r="A43" s="48"/>
      <c r="B43" s="497" t="s">
        <v>470</v>
      </c>
      <c r="C43" s="41"/>
      <c r="D43" s="41"/>
      <c r="E43" s="41"/>
      <c r="F43" s="41"/>
      <c r="G43" s="41"/>
      <c r="H43" s="41"/>
      <c r="I43" s="536"/>
      <c r="J43" s="49"/>
    </row>
    <row r="44" spans="1:10" ht="14.65" thickBot="1">
      <c r="A44" s="48"/>
      <c r="B44" s="540" t="s">
        <v>471</v>
      </c>
      <c r="C44" s="537"/>
      <c r="D44" s="537"/>
      <c r="E44" s="537"/>
      <c r="F44" s="537"/>
      <c r="G44" s="537"/>
      <c r="H44" s="537"/>
      <c r="I44" s="538"/>
      <c r="J44" s="84"/>
    </row>
    <row r="45" spans="1:10">
      <c r="A45" s="48"/>
      <c r="B45" s="494"/>
      <c r="C45" s="60"/>
      <c r="D45" s="60"/>
      <c r="E45" s="60"/>
      <c r="F45" s="60"/>
      <c r="G45" s="60"/>
      <c r="H45" s="60"/>
      <c r="I45" s="60"/>
      <c r="J45" s="84"/>
    </row>
    <row r="46" spans="1:10">
      <c r="A46" s="48"/>
      <c r="B46" s="233"/>
      <c r="C46" s="233"/>
      <c r="D46" s="84"/>
      <c r="E46" s="233"/>
      <c r="F46" s="233"/>
      <c r="G46" s="84"/>
      <c r="H46" s="233"/>
      <c r="I46" s="233"/>
      <c r="J46" s="84"/>
    </row>
    <row r="47" spans="1:10">
      <c r="A47" s="48"/>
      <c r="B47" s="1116" t="s">
        <v>266</v>
      </c>
      <c r="C47" s="1116"/>
      <c r="D47" s="84"/>
      <c r="E47" s="1116" t="s">
        <v>518</v>
      </c>
      <c r="F47" s="1116"/>
      <c r="G47" s="84"/>
      <c r="H47" s="1116" t="s">
        <v>519</v>
      </c>
      <c r="I47" s="1116"/>
      <c r="J47" s="539"/>
    </row>
    <row r="48" spans="1:10">
      <c r="A48" s="48"/>
      <c r="B48" s="539"/>
      <c r="C48" s="539"/>
      <c r="D48" s="539"/>
      <c r="E48" s="539"/>
      <c r="F48" s="539"/>
      <c r="G48" s="539"/>
      <c r="H48" s="539"/>
      <c r="I48" s="539"/>
      <c r="J48" s="49"/>
    </row>
    <row r="49" spans="2:10">
      <c r="B49" s="1"/>
      <c r="C49" s="1"/>
      <c r="D49" s="1"/>
      <c r="E49" s="1"/>
      <c r="F49" s="1"/>
      <c r="G49" s="1"/>
      <c r="H49" s="1"/>
      <c r="I49" s="1"/>
      <c r="J49" s="1"/>
    </row>
    <row r="50" spans="2:10">
      <c r="B50" s="27"/>
      <c r="C50" s="1"/>
      <c r="D50" s="1"/>
      <c r="E50" s="1"/>
      <c r="F50" s="1"/>
      <c r="G50" s="1"/>
      <c r="H50" s="1"/>
      <c r="I50" s="1"/>
    </row>
  </sheetData>
  <mergeCells count="6">
    <mergeCell ref="D9:G9"/>
    <mergeCell ref="B12:D12"/>
    <mergeCell ref="G12:I12"/>
    <mergeCell ref="B47:C47"/>
    <mergeCell ref="E47:F47"/>
    <mergeCell ref="H47:I47"/>
  </mergeCells>
  <pageMargins left="0.47499999999999998" right="0.46666666666666667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3A74-81C7-407B-9564-C5EBDFE5BFA3}">
  <sheetPr codeName="Лист3">
    <tabColor theme="3" tint="0.39997558519241921"/>
  </sheetPr>
  <dimension ref="A1:J52"/>
  <sheetViews>
    <sheetView tabSelected="1" view="pageLayout" topLeftCell="A4" zoomScaleNormal="100" zoomScaleSheetLayoutView="110" workbookViewId="0">
      <selection activeCell="D10" sqref="D10"/>
    </sheetView>
  </sheetViews>
  <sheetFormatPr defaultColWidth="8.86328125" defaultRowHeight="14.25"/>
  <cols>
    <col min="2" max="2" width="10.6640625" customWidth="1"/>
    <col min="6" max="6" width="9.33203125" customWidth="1"/>
    <col min="7" max="7" width="9.86328125" bestFit="1" customWidth="1"/>
    <col min="9" max="9" width="7.1328125" customWidth="1"/>
    <col min="10" max="10" width="10.4648437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 ht="14.45" customHeight="1" thickBot="1">
      <c r="A2" s="48"/>
      <c r="B2" s="60"/>
      <c r="C2" s="60"/>
      <c r="D2" s="495"/>
      <c r="E2" s="495"/>
      <c r="F2" s="495"/>
      <c r="G2" s="495"/>
      <c r="H2" s="495"/>
      <c r="I2" s="495"/>
      <c r="J2" s="49"/>
    </row>
    <row r="3" spans="1:10" ht="14.45" customHeight="1">
      <c r="A3" s="1133" t="s">
        <v>522</v>
      </c>
      <c r="B3" s="1134"/>
      <c r="C3" s="558"/>
      <c r="D3" s="559"/>
      <c r="E3" s="560"/>
      <c r="F3" s="1135" t="s">
        <v>524</v>
      </c>
      <c r="G3" s="1136"/>
      <c r="H3" s="1135" t="s">
        <v>531</v>
      </c>
      <c r="I3" s="1137"/>
      <c r="J3" s="1136"/>
    </row>
    <row r="4" spans="1:10">
      <c r="A4" s="1128" t="s">
        <v>523</v>
      </c>
      <c r="B4" s="1129"/>
      <c r="C4" s="561"/>
      <c r="D4" s="562"/>
      <c r="E4" s="563"/>
      <c r="F4" s="564" t="s">
        <v>525</v>
      </c>
      <c r="G4" s="565">
        <v>64</v>
      </c>
      <c r="H4" s="1138" t="s">
        <v>528</v>
      </c>
      <c r="I4" s="1139"/>
      <c r="J4" s="570"/>
    </row>
    <row r="5" spans="1:10">
      <c r="A5" s="1128" t="s">
        <v>520</v>
      </c>
      <c r="B5" s="1129"/>
      <c r="C5" s="568"/>
      <c r="D5" s="566"/>
      <c r="E5" s="567"/>
      <c r="F5" s="1130" t="s">
        <v>526</v>
      </c>
      <c r="G5" s="1131"/>
      <c r="H5" s="1130" t="s">
        <v>529</v>
      </c>
      <c r="I5" s="1132"/>
      <c r="J5" s="1131"/>
    </row>
    <row r="6" spans="1:10" ht="14.65" thickBot="1">
      <c r="A6" s="1118" t="s">
        <v>521</v>
      </c>
      <c r="B6" s="1119"/>
      <c r="C6" s="555"/>
      <c r="D6" s="556"/>
      <c r="E6" s="557"/>
      <c r="F6" s="555" t="s">
        <v>527</v>
      </c>
      <c r="G6" s="569"/>
      <c r="H6" s="1120" t="s">
        <v>530</v>
      </c>
      <c r="I6" s="1121"/>
      <c r="J6" s="1122"/>
    </row>
    <row r="7" spans="1:10">
      <c r="A7" s="48"/>
      <c r="B7" s="60"/>
      <c r="C7" s="62"/>
      <c r="D7" s="62"/>
      <c r="E7" s="62"/>
      <c r="F7" s="62"/>
      <c r="G7" s="28"/>
      <c r="H7" s="60"/>
      <c r="I7" s="60"/>
      <c r="J7" s="49"/>
    </row>
    <row r="8" spans="1:10" ht="17.649999999999999" thickBot="1">
      <c r="A8" s="572"/>
      <c r="B8" s="573"/>
      <c r="C8" s="574"/>
      <c r="D8" s="1123" t="s">
        <v>435</v>
      </c>
      <c r="E8" s="1123"/>
      <c r="F8" s="1123"/>
      <c r="G8" s="1123"/>
      <c r="H8" s="574"/>
      <c r="I8" s="574"/>
      <c r="J8" s="574"/>
    </row>
    <row r="9" spans="1:10" ht="14.65" thickTop="1">
      <c r="A9" s="48"/>
      <c r="B9" s="325"/>
      <c r="C9" s="544"/>
      <c r="D9" s="544"/>
      <c r="E9" s="544"/>
      <c r="F9" s="231"/>
      <c r="G9" s="544"/>
      <c r="H9" s="60"/>
      <c r="I9" s="60"/>
      <c r="J9" s="49"/>
    </row>
    <row r="10" spans="1:10">
      <c r="A10" s="48"/>
      <c r="B10" s="492"/>
      <c r="C10" s="492"/>
      <c r="D10" s="492"/>
      <c r="E10" s="571"/>
      <c r="F10" s="571"/>
      <c r="G10" s="28"/>
      <c r="H10" s="28"/>
      <c r="I10" s="28"/>
      <c r="J10" s="49"/>
    </row>
    <row r="11" spans="1:10">
      <c r="A11" s="48"/>
      <c r="B11" s="177"/>
      <c r="C11" s="60"/>
      <c r="D11" s="579" t="s">
        <v>552</v>
      </c>
      <c r="E11" s="60"/>
      <c r="F11" s="60"/>
      <c r="G11" s="545" t="s">
        <v>554</v>
      </c>
      <c r="H11" s="60"/>
      <c r="I11" s="60"/>
      <c r="J11" s="579" t="s">
        <v>555</v>
      </c>
    </row>
    <row r="12" spans="1:10">
      <c r="A12" s="1124" t="s">
        <v>553</v>
      </c>
      <c r="B12" s="1125"/>
      <c r="C12" s="1126"/>
      <c r="D12" s="580" t="s">
        <v>550</v>
      </c>
      <c r="E12" s="580" t="s">
        <v>551</v>
      </c>
      <c r="F12" s="60"/>
      <c r="G12" s="580" t="s">
        <v>550</v>
      </c>
      <c r="H12" s="580" t="s">
        <v>551</v>
      </c>
      <c r="I12" s="60"/>
      <c r="J12" s="545" t="s">
        <v>556</v>
      </c>
    </row>
    <row r="13" spans="1:10">
      <c r="A13" s="48"/>
      <c r="B13" s="177"/>
      <c r="C13" s="60"/>
      <c r="D13" s="59"/>
      <c r="E13" s="59"/>
      <c r="F13" s="59"/>
      <c r="G13" s="59"/>
      <c r="H13" s="60"/>
      <c r="I13" s="60"/>
      <c r="J13" s="60"/>
    </row>
    <row r="14" spans="1:10">
      <c r="A14" s="581" t="s">
        <v>532</v>
      </c>
      <c r="B14" s="170"/>
      <c r="C14" s="83"/>
      <c r="D14" s="545"/>
      <c r="E14" s="582"/>
      <c r="F14" s="60"/>
      <c r="G14" s="545"/>
      <c r="H14" s="545"/>
      <c r="I14" s="60"/>
      <c r="J14" s="545"/>
    </row>
    <row r="15" spans="1:10">
      <c r="A15" s="581" t="s">
        <v>533</v>
      </c>
      <c r="B15" s="170"/>
      <c r="C15" s="83"/>
      <c r="D15" s="545"/>
      <c r="E15" s="582"/>
      <c r="F15" s="59"/>
      <c r="G15" s="545"/>
      <c r="H15" s="545"/>
      <c r="I15" s="41"/>
      <c r="J15" s="545"/>
    </row>
    <row r="16" spans="1:10">
      <c r="A16" s="581" t="s">
        <v>534</v>
      </c>
      <c r="B16" s="170"/>
      <c r="C16" s="83"/>
      <c r="D16" s="545"/>
      <c r="E16" s="582"/>
      <c r="F16" s="41"/>
      <c r="G16" s="545"/>
      <c r="H16" s="545"/>
      <c r="I16" s="41"/>
      <c r="J16" s="545"/>
    </row>
    <row r="17" spans="1:10">
      <c r="A17" s="581" t="s">
        <v>535</v>
      </c>
      <c r="B17" s="170"/>
      <c r="C17" s="168"/>
      <c r="D17" s="583"/>
      <c r="E17" s="584"/>
      <c r="F17" s="41"/>
      <c r="G17" s="545"/>
      <c r="H17" s="545"/>
      <c r="I17" s="66"/>
      <c r="J17" s="545"/>
    </row>
    <row r="18" spans="1:10">
      <c r="A18" s="581" t="s">
        <v>536</v>
      </c>
      <c r="B18" s="170"/>
      <c r="C18" s="83"/>
      <c r="D18" s="580"/>
      <c r="E18" s="582"/>
      <c r="F18" s="60"/>
      <c r="G18" s="545"/>
      <c r="H18" s="545"/>
      <c r="I18" s="60"/>
      <c r="J18" s="545"/>
    </row>
    <row r="19" spans="1:10">
      <c r="A19" s="581" t="s">
        <v>537</v>
      </c>
      <c r="B19" s="170"/>
      <c r="C19" s="164"/>
      <c r="D19" s="591"/>
      <c r="E19" s="584"/>
      <c r="F19" s="66"/>
      <c r="G19" s="545"/>
      <c r="H19" s="545"/>
      <c r="I19" s="66"/>
      <c r="J19" s="545"/>
    </row>
    <row r="20" spans="1:10">
      <c r="A20" s="575" t="s">
        <v>538</v>
      </c>
      <c r="B20" s="576"/>
      <c r="C20" s="543"/>
      <c r="D20" s="589"/>
      <c r="E20" s="590"/>
      <c r="F20" s="69"/>
      <c r="G20" s="545"/>
      <c r="H20" s="545"/>
      <c r="I20" s="69"/>
      <c r="J20" s="545"/>
    </row>
    <row r="21" spans="1:10">
      <c r="A21" s="575" t="s">
        <v>539</v>
      </c>
      <c r="B21" s="576"/>
      <c r="C21" s="233"/>
      <c r="D21" s="548"/>
      <c r="E21" s="588"/>
      <c r="F21" s="70"/>
      <c r="G21" s="545"/>
      <c r="H21" s="545"/>
      <c r="I21" s="71"/>
      <c r="J21" s="545"/>
    </row>
    <row r="22" spans="1:10">
      <c r="A22" s="575" t="s">
        <v>540</v>
      </c>
      <c r="B22" s="576"/>
      <c r="C22" s="550"/>
      <c r="D22" s="551"/>
      <c r="E22" s="587"/>
      <c r="F22" s="72"/>
      <c r="G22" s="545"/>
      <c r="H22" s="545"/>
      <c r="I22" s="72"/>
      <c r="J22" s="545"/>
    </row>
    <row r="23" spans="1:10">
      <c r="A23" s="575" t="s">
        <v>541</v>
      </c>
      <c r="B23" s="576"/>
      <c r="C23" s="123"/>
      <c r="D23" s="546"/>
      <c r="E23" s="586"/>
      <c r="F23" s="59"/>
      <c r="G23" s="545"/>
      <c r="H23" s="545"/>
      <c r="I23" s="59"/>
      <c r="J23" s="545"/>
    </row>
    <row r="24" spans="1:10">
      <c r="A24" s="575" t="s">
        <v>542</v>
      </c>
      <c r="B24" s="576"/>
      <c r="C24" s="552"/>
      <c r="D24" s="553"/>
      <c r="E24" s="585"/>
      <c r="F24" s="35"/>
      <c r="G24" s="545"/>
      <c r="H24" s="545"/>
      <c r="I24" s="35"/>
      <c r="J24" s="545"/>
    </row>
    <row r="25" spans="1:10">
      <c r="A25" s="575" t="s">
        <v>543</v>
      </c>
      <c r="B25" s="576"/>
      <c r="C25" s="233"/>
      <c r="D25" s="548"/>
      <c r="E25" s="577"/>
      <c r="F25" s="28"/>
      <c r="G25" s="545"/>
      <c r="H25" s="545"/>
      <c r="I25" s="41"/>
      <c r="J25" s="545"/>
    </row>
    <row r="26" spans="1:10">
      <c r="A26" s="575" t="s">
        <v>544</v>
      </c>
      <c r="B26" s="576"/>
      <c r="C26" s="233"/>
      <c r="D26" s="548"/>
      <c r="E26" s="577"/>
      <c r="F26" s="41"/>
      <c r="G26" s="545"/>
      <c r="H26" s="545"/>
      <c r="I26" s="41"/>
      <c r="J26" s="545"/>
    </row>
    <row r="27" spans="1:10">
      <c r="A27" s="575" t="s">
        <v>545</v>
      </c>
      <c r="B27" s="576"/>
      <c r="C27" s="233"/>
      <c r="D27" s="548"/>
      <c r="E27" s="577"/>
      <c r="F27" s="41"/>
      <c r="G27" s="545"/>
      <c r="H27" s="545"/>
      <c r="I27" s="41"/>
      <c r="J27" s="545"/>
    </row>
    <row r="28" spans="1:10">
      <c r="A28" s="575" t="s">
        <v>546</v>
      </c>
      <c r="B28" s="576"/>
      <c r="C28" s="233"/>
      <c r="D28" s="548"/>
      <c r="E28" s="577"/>
      <c r="F28" s="59"/>
      <c r="G28" s="545"/>
      <c r="H28" s="545"/>
      <c r="I28" s="41"/>
      <c r="J28" s="545"/>
    </row>
    <row r="29" spans="1:10">
      <c r="A29" s="575" t="s">
        <v>547</v>
      </c>
      <c r="B29" s="576"/>
      <c r="C29" s="233"/>
      <c r="D29" s="547"/>
      <c r="E29" s="577"/>
      <c r="F29" s="28"/>
      <c r="G29" s="545"/>
      <c r="H29" s="545"/>
      <c r="I29" s="41"/>
      <c r="J29" s="545"/>
    </row>
    <row r="30" spans="1:10">
      <c r="A30" s="575" t="s">
        <v>548</v>
      </c>
      <c r="B30" s="576"/>
      <c r="C30" s="233"/>
      <c r="D30" s="547"/>
      <c r="E30" s="577"/>
      <c r="F30" s="41"/>
      <c r="G30" s="545"/>
      <c r="H30" s="545"/>
      <c r="I30" s="41"/>
      <c r="J30" s="545"/>
    </row>
    <row r="31" spans="1:10">
      <c r="A31" s="575" t="s">
        <v>549</v>
      </c>
      <c r="B31" s="576"/>
      <c r="C31" s="233"/>
      <c r="D31" s="548"/>
      <c r="E31" s="577"/>
      <c r="F31" s="41"/>
      <c r="G31" s="41"/>
      <c r="H31" s="60"/>
      <c r="I31" s="41"/>
      <c r="J31" s="41"/>
    </row>
    <row r="32" spans="1:10">
      <c r="A32" s="48"/>
      <c r="B32" s="177"/>
      <c r="C32" s="74"/>
      <c r="D32" s="542"/>
      <c r="E32" s="59"/>
      <c r="F32" s="59"/>
      <c r="G32" s="59"/>
      <c r="H32" s="60"/>
      <c r="I32" s="41"/>
      <c r="J32" s="41"/>
    </row>
    <row r="33" spans="1:10" ht="14.65" thickBot="1">
      <c r="A33" s="592" t="s">
        <v>557</v>
      </c>
      <c r="B33" s="593"/>
      <c r="C33" s="594"/>
      <c r="D33" s="41"/>
      <c r="E33" s="541"/>
      <c r="F33" s="41"/>
      <c r="G33" s="41"/>
      <c r="H33" s="60"/>
      <c r="I33" s="41"/>
      <c r="J33" s="41"/>
    </row>
    <row r="34" spans="1:10" ht="14.65" thickTop="1">
      <c r="A34" s="103" t="s">
        <v>558</v>
      </c>
      <c r="B34" s="177"/>
      <c r="C34" s="41"/>
      <c r="D34" s="41"/>
      <c r="E34" s="59"/>
      <c r="F34" s="59"/>
      <c r="G34" s="59"/>
      <c r="H34" s="60"/>
      <c r="I34" s="41"/>
      <c r="J34" s="41"/>
    </row>
    <row r="35" spans="1:10">
      <c r="A35" s="48"/>
      <c r="B35" s="177"/>
      <c r="C35" s="41"/>
      <c r="D35" s="41"/>
      <c r="E35" s="59"/>
      <c r="F35" s="59"/>
      <c r="G35" s="59"/>
      <c r="H35" s="60"/>
      <c r="I35" s="41"/>
      <c r="J35" s="542"/>
    </row>
    <row r="36" spans="1:10">
      <c r="A36" s="48"/>
      <c r="B36" s="177"/>
      <c r="C36" s="542"/>
      <c r="D36" s="597" t="s">
        <v>552</v>
      </c>
      <c r="E36" s="542"/>
      <c r="F36" s="542"/>
      <c r="G36" s="598" t="s">
        <v>554</v>
      </c>
      <c r="H36" s="542"/>
      <c r="I36" s="542"/>
      <c r="J36" s="579" t="s">
        <v>555</v>
      </c>
    </row>
    <row r="37" spans="1:10">
      <c r="A37" s="581"/>
      <c r="B37" s="596" t="s">
        <v>553</v>
      </c>
      <c r="C37" s="584"/>
      <c r="D37" s="595" t="s">
        <v>550</v>
      </c>
      <c r="E37" s="595" t="s">
        <v>551</v>
      </c>
      <c r="F37" s="334"/>
      <c r="G37" s="595" t="s">
        <v>550</v>
      </c>
      <c r="H37" s="595" t="s">
        <v>551</v>
      </c>
      <c r="I37" s="41"/>
      <c r="J37" s="545" t="s">
        <v>556</v>
      </c>
    </row>
    <row r="38" spans="1:10">
      <c r="A38" s="48"/>
      <c r="B38" s="571"/>
      <c r="C38" s="41"/>
      <c r="D38" s="41"/>
      <c r="E38" s="41"/>
      <c r="F38" s="41"/>
      <c r="G38" s="41"/>
      <c r="H38" s="41"/>
      <c r="I38" s="41"/>
      <c r="J38" s="49"/>
    </row>
    <row r="39" spans="1:10">
      <c r="A39" s="581"/>
      <c r="B39" s="596"/>
      <c r="C39" s="582"/>
      <c r="D39" s="582"/>
      <c r="E39" s="545"/>
      <c r="F39" s="578"/>
      <c r="G39" s="545"/>
      <c r="H39" s="545"/>
      <c r="I39" s="60"/>
      <c r="J39" s="599"/>
    </row>
    <row r="40" spans="1:10">
      <c r="A40" s="581"/>
      <c r="B40" s="596"/>
      <c r="C40" s="582"/>
      <c r="D40" s="582"/>
      <c r="E40" s="545"/>
      <c r="F40" s="578"/>
      <c r="G40" s="545"/>
      <c r="H40" s="545"/>
      <c r="I40" s="41"/>
      <c r="J40" s="599"/>
    </row>
    <row r="41" spans="1:10">
      <c r="A41" s="581"/>
      <c r="B41" s="596"/>
      <c r="C41" s="582"/>
      <c r="D41" s="582"/>
      <c r="E41" s="545"/>
      <c r="F41" s="578"/>
      <c r="G41" s="545"/>
      <c r="H41" s="545"/>
      <c r="I41" s="41"/>
      <c r="J41" s="599"/>
    </row>
    <row r="42" spans="1:10">
      <c r="A42" s="581"/>
      <c r="B42" s="596"/>
      <c r="C42" s="582"/>
      <c r="D42" s="582"/>
      <c r="E42" s="545"/>
      <c r="F42" s="578"/>
      <c r="G42" s="545"/>
      <c r="H42" s="545"/>
      <c r="I42" s="60"/>
      <c r="J42" s="599"/>
    </row>
    <row r="43" spans="1:10">
      <c r="A43" s="581"/>
      <c r="B43" s="596"/>
      <c r="C43" s="582"/>
      <c r="D43" s="582"/>
      <c r="E43" s="545"/>
      <c r="F43" s="578"/>
      <c r="G43" s="545"/>
      <c r="H43" s="545"/>
      <c r="I43" s="60"/>
      <c r="J43" s="599"/>
    </row>
    <row r="44" spans="1:10">
      <c r="A44" s="581"/>
      <c r="B44" s="596"/>
      <c r="C44" s="582"/>
      <c r="D44" s="582"/>
      <c r="E44" s="545"/>
      <c r="F44" s="578"/>
      <c r="G44" s="545"/>
      <c r="H44" s="545"/>
      <c r="I44" s="41"/>
      <c r="J44" s="549"/>
    </row>
    <row r="45" spans="1:10">
      <c r="A45" s="581"/>
      <c r="B45" s="596"/>
      <c r="C45" s="582"/>
      <c r="D45" s="582"/>
      <c r="E45" s="545"/>
      <c r="F45" s="578"/>
      <c r="G45" s="545"/>
      <c r="H45" s="545"/>
      <c r="I45" s="205"/>
      <c r="J45" s="600"/>
    </row>
    <row r="46" spans="1:10">
      <c r="A46" s="48"/>
      <c r="B46" s="539"/>
      <c r="C46" s="539"/>
      <c r="D46" s="539"/>
      <c r="E46" s="539"/>
      <c r="F46" s="539"/>
      <c r="G46" s="539"/>
      <c r="H46" s="539"/>
      <c r="I46" s="539"/>
      <c r="J46" s="49"/>
    </row>
    <row r="47" spans="1:10">
      <c r="A47" s="48"/>
      <c r="B47" s="539"/>
      <c r="C47" s="539"/>
      <c r="D47" s="539"/>
      <c r="E47" s="539"/>
      <c r="F47" s="539"/>
      <c r="G47" s="602" t="s">
        <v>559</v>
      </c>
      <c r="H47" s="601"/>
      <c r="I47" s="539"/>
      <c r="J47" s="545"/>
    </row>
    <row r="48" spans="1:10">
      <c r="A48" s="48"/>
      <c r="B48" s="539"/>
      <c r="C48" s="539"/>
      <c r="D48" s="539"/>
      <c r="E48" s="539"/>
      <c r="F48" s="539"/>
      <c r="G48" s="539"/>
      <c r="H48" s="539"/>
      <c r="I48" s="539"/>
      <c r="J48" s="49"/>
    </row>
    <row r="49" spans="1:10">
      <c r="A49" s="48"/>
      <c r="B49" s="539"/>
      <c r="C49" s="539"/>
      <c r="D49" s="539"/>
      <c r="E49" s="539"/>
      <c r="F49" s="539"/>
      <c r="G49" s="539"/>
      <c r="H49" s="539"/>
      <c r="I49" s="539"/>
      <c r="J49" s="49"/>
    </row>
    <row r="50" spans="1:10">
      <c r="A50" s="48"/>
      <c r="B50" s="1127"/>
      <c r="C50" s="1127"/>
      <c r="D50" s="84"/>
      <c r="E50" s="1127"/>
      <c r="F50" s="1127"/>
      <c r="G50" s="84"/>
      <c r="H50" s="1127"/>
      <c r="I50" s="1127"/>
      <c r="J50" s="49"/>
    </row>
    <row r="51" spans="1:10">
      <c r="A51" s="48"/>
      <c r="B51" s="1117" t="s">
        <v>266</v>
      </c>
      <c r="C51" s="1117"/>
      <c r="D51" s="49"/>
      <c r="E51" s="1117" t="s">
        <v>518</v>
      </c>
      <c r="F51" s="1117"/>
      <c r="G51" s="49"/>
      <c r="H51" s="1117" t="s">
        <v>519</v>
      </c>
      <c r="I51" s="1117"/>
      <c r="J51" s="49"/>
    </row>
    <row r="52" spans="1:10">
      <c r="A52" s="48"/>
      <c r="B52" s="554"/>
      <c r="C52" s="49"/>
      <c r="D52" s="49"/>
      <c r="E52" s="49"/>
      <c r="F52" s="49"/>
      <c r="G52" s="49"/>
      <c r="H52" s="49"/>
      <c r="I52" s="49"/>
      <c r="J52" s="48"/>
    </row>
  </sheetData>
  <mergeCells count="18">
    <mergeCell ref="A5:B5"/>
    <mergeCell ref="F5:G5"/>
    <mergeCell ref="H5:J5"/>
    <mergeCell ref="A3:B3"/>
    <mergeCell ref="F3:G3"/>
    <mergeCell ref="H3:J3"/>
    <mergeCell ref="A4:B4"/>
    <mergeCell ref="H4:I4"/>
    <mergeCell ref="B51:C51"/>
    <mergeCell ref="E51:F51"/>
    <mergeCell ref="H51:I51"/>
    <mergeCell ref="A6:B6"/>
    <mergeCell ref="H6:J6"/>
    <mergeCell ref="D8:G8"/>
    <mergeCell ref="A12:C12"/>
    <mergeCell ref="B50:C50"/>
    <mergeCell ref="E50:F50"/>
    <mergeCell ref="H50:I50"/>
  </mergeCells>
  <pageMargins left="0.45833333333333331" right="0.20833333333333334" top="0.29166666666666669" bottom="0.22500000000000001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E404-20DB-4EC5-B5AE-F6306621C78D}">
  <sheetPr codeName="Лист4">
    <tabColor theme="3" tint="0.39997558519241921"/>
  </sheetPr>
  <dimension ref="A1:J54"/>
  <sheetViews>
    <sheetView view="pageLayout" zoomScaleNormal="100" zoomScaleSheetLayoutView="110" workbookViewId="0">
      <selection activeCell="E36" sqref="E36"/>
    </sheetView>
  </sheetViews>
  <sheetFormatPr defaultColWidth="8.86328125" defaultRowHeight="14.25"/>
  <cols>
    <col min="2" max="2" width="11.46484375" customWidth="1"/>
    <col min="6" max="6" width="9.33203125" customWidth="1"/>
    <col min="7" max="7" width="9.86328125" bestFit="1" customWidth="1"/>
    <col min="8" max="9" width="11" customWidth="1"/>
    <col min="10" max="10" width="3.79687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 ht="14.45" customHeight="1">
      <c r="A2" s="48"/>
      <c r="B2" s="60"/>
      <c r="C2" s="60"/>
      <c r="D2" s="495"/>
      <c r="E2" s="495"/>
      <c r="F2" s="495"/>
      <c r="G2" s="495"/>
      <c r="H2" s="495"/>
      <c r="I2" s="495"/>
      <c r="J2" s="49"/>
    </row>
    <row r="3" spans="1:10" ht="14.45" customHeight="1">
      <c r="A3" s="314"/>
      <c r="B3" s="314"/>
      <c r="C3" s="106"/>
      <c r="D3" s="246"/>
      <c r="E3" s="106"/>
      <c r="F3" s="108"/>
      <c r="G3" s="108"/>
      <c r="H3" s="108"/>
      <c r="I3" s="108"/>
      <c r="J3" s="108"/>
    </row>
    <row r="4" spans="1:10">
      <c r="A4" s="314"/>
      <c r="B4" s="314"/>
      <c r="C4" s="126"/>
      <c r="D4" s="610"/>
      <c r="E4" s="58"/>
      <c r="F4" s="713"/>
      <c r="G4" s="611"/>
      <c r="H4" s="58"/>
      <c r="I4" s="58"/>
      <c r="J4" s="106"/>
    </row>
    <row r="5" spans="1:10">
      <c r="A5" s="314"/>
      <c r="B5" s="314"/>
      <c r="C5" s="612"/>
      <c r="D5" s="111"/>
      <c r="E5" s="111"/>
      <c r="F5" s="613"/>
      <c r="G5" s="613"/>
      <c r="H5" s="613"/>
      <c r="I5" s="613"/>
      <c r="J5" s="613"/>
    </row>
    <row r="6" spans="1:10" ht="14.45" customHeight="1">
      <c r="A6" s="314"/>
      <c r="B6" s="314"/>
      <c r="C6" s="58"/>
      <c r="D6" s="58"/>
      <c r="E6" s="58"/>
      <c r="F6" s="58"/>
      <c r="G6" s="244"/>
      <c r="H6" s="614"/>
      <c r="I6" s="614"/>
      <c r="J6" s="614"/>
    </row>
    <row r="7" spans="1:10" ht="22.5">
      <c r="A7" s="48"/>
      <c r="B7" s="60"/>
      <c r="C7" s="1140" t="s">
        <v>560</v>
      </c>
      <c r="D7" s="1140"/>
      <c r="E7" s="1140"/>
      <c r="F7" s="1140"/>
      <c r="G7" s="1140"/>
      <c r="H7" s="1140"/>
      <c r="I7" s="60"/>
      <c r="J7" s="49"/>
    </row>
    <row r="8" spans="1:10" ht="14.45" customHeight="1">
      <c r="A8" s="634" t="s">
        <v>561</v>
      </c>
      <c r="B8" s="634"/>
      <c r="C8" s="620"/>
      <c r="D8" s="620"/>
      <c r="E8" s="620"/>
      <c r="F8" s="621"/>
      <c r="G8" s="544"/>
      <c r="H8" s="60"/>
      <c r="I8" s="60"/>
      <c r="J8" s="60"/>
    </row>
    <row r="9" spans="1:10" ht="15.4">
      <c r="A9" s="634" t="s">
        <v>562</v>
      </c>
      <c r="B9" s="380"/>
      <c r="C9" s="250"/>
      <c r="D9" s="250"/>
      <c r="E9" s="715"/>
      <c r="F9" s="715"/>
      <c r="G9" s="41"/>
      <c r="H9" s="41"/>
      <c r="I9" s="41"/>
      <c r="J9" s="60"/>
    </row>
    <row r="10" spans="1:10" ht="15.4">
      <c r="A10" s="634" t="s">
        <v>53</v>
      </c>
      <c r="B10" s="634"/>
      <c r="C10" s="122"/>
      <c r="D10" s="712"/>
      <c r="E10" s="122"/>
      <c r="F10" s="122"/>
      <c r="G10" s="379" t="s">
        <v>489</v>
      </c>
      <c r="H10" s="122"/>
      <c r="I10" s="122"/>
      <c r="J10" s="616"/>
    </row>
    <row r="11" spans="1:10" ht="15.4">
      <c r="A11" s="635" t="s">
        <v>563</v>
      </c>
      <c r="B11" s="635"/>
      <c r="C11" s="232"/>
      <c r="D11" s="712"/>
      <c r="E11" s="712"/>
      <c r="F11" s="122"/>
      <c r="G11" s="379" t="s">
        <v>365</v>
      </c>
      <c r="H11" s="712"/>
      <c r="I11" s="122"/>
      <c r="J11" s="60"/>
    </row>
    <row r="12" spans="1:10" ht="15.4">
      <c r="A12" s="634" t="s">
        <v>564</v>
      </c>
      <c r="B12" s="634"/>
      <c r="C12" s="122"/>
      <c r="D12" s="552"/>
      <c r="E12" s="552"/>
      <c r="F12" s="552"/>
      <c r="G12" s="376"/>
      <c r="H12" s="60"/>
      <c r="I12" s="60"/>
      <c r="J12" s="60"/>
    </row>
    <row r="13" spans="1:10" ht="15.4">
      <c r="A13" s="634" t="s">
        <v>565</v>
      </c>
      <c r="B13" s="634"/>
      <c r="C13" s="122"/>
      <c r="D13" s="122"/>
      <c r="E13" s="122"/>
      <c r="F13" s="122"/>
      <c r="G13" s="379" t="s">
        <v>439</v>
      </c>
      <c r="H13" s="122"/>
      <c r="I13" s="122"/>
      <c r="J13" s="60"/>
    </row>
    <row r="14" spans="1:10" ht="14.65" thickBot="1">
      <c r="A14" s="189"/>
      <c r="B14" s="189"/>
      <c r="C14" s="189"/>
      <c r="D14" s="189"/>
      <c r="E14" s="189"/>
      <c r="F14" s="189"/>
      <c r="G14" s="189"/>
      <c r="H14" s="716"/>
      <c r="I14" s="716"/>
      <c r="J14" s="60"/>
    </row>
    <row r="15" spans="1:10" ht="15.4" thickBot="1">
      <c r="A15" s="1141" t="s">
        <v>566</v>
      </c>
      <c r="B15" s="1142"/>
      <c r="C15" s="1142"/>
      <c r="D15" s="1142"/>
      <c r="E15" s="1142"/>
      <c r="F15" s="1142"/>
      <c r="G15" s="1142"/>
      <c r="H15" s="1008" t="s">
        <v>440</v>
      </c>
      <c r="I15" s="1004" t="s">
        <v>295</v>
      </c>
      <c r="J15" s="760"/>
    </row>
    <row r="16" spans="1:10">
      <c r="A16" s="575" t="s">
        <v>494</v>
      </c>
      <c r="B16" s="576"/>
      <c r="C16" s="998"/>
      <c r="D16" s="997"/>
      <c r="E16" s="233"/>
      <c r="F16" s="233"/>
      <c r="G16" s="122"/>
      <c r="H16" s="921"/>
      <c r="I16" s="1015"/>
      <c r="J16" s="1016"/>
    </row>
    <row r="17" spans="1:10">
      <c r="A17" s="575" t="s">
        <v>495</v>
      </c>
      <c r="B17" s="576"/>
      <c r="C17" s="122"/>
      <c r="D17" s="455"/>
      <c r="E17" s="122"/>
      <c r="F17" s="122"/>
      <c r="G17" s="122"/>
      <c r="H17" s="1006">
        <v>44217</v>
      </c>
      <c r="I17" s="921"/>
      <c r="J17" s="939"/>
    </row>
    <row r="18" spans="1:10">
      <c r="A18" s="581" t="s">
        <v>496</v>
      </c>
      <c r="B18" s="170"/>
      <c r="C18" s="164"/>
      <c r="D18" s="164"/>
      <c r="E18" s="165"/>
      <c r="F18" s="397"/>
      <c r="G18" s="83"/>
      <c r="H18" s="905"/>
      <c r="I18" s="1007"/>
      <c r="J18" s="939"/>
    </row>
    <row r="19" spans="1:10">
      <c r="A19" s="581" t="s">
        <v>497</v>
      </c>
      <c r="B19" s="170"/>
      <c r="C19" s="630"/>
      <c r="D19" s="631"/>
      <c r="E19" s="631"/>
      <c r="F19" s="169"/>
      <c r="G19" s="83"/>
      <c r="H19" s="905"/>
      <c r="I19" s="1014"/>
      <c r="J19" s="939"/>
    </row>
    <row r="20" spans="1:10">
      <c r="A20" s="575" t="s">
        <v>498</v>
      </c>
      <c r="B20" s="576"/>
      <c r="C20" s="233"/>
      <c r="D20" s="233"/>
      <c r="E20" s="628"/>
      <c r="F20" s="628"/>
      <c r="G20" s="122"/>
      <c r="H20" s="921"/>
      <c r="I20" s="1012"/>
      <c r="J20" s="939"/>
    </row>
    <row r="21" spans="1:10">
      <c r="A21" s="581" t="s">
        <v>499</v>
      </c>
      <c r="B21" s="170"/>
      <c r="C21" s="173"/>
      <c r="D21" s="173"/>
      <c r="E21" s="173"/>
      <c r="F21" s="173"/>
      <c r="G21" s="83"/>
      <c r="H21" s="905"/>
      <c r="I21" s="1010"/>
      <c r="J21" s="939"/>
    </row>
    <row r="22" spans="1:10">
      <c r="A22" s="575" t="s">
        <v>500</v>
      </c>
      <c r="B22" s="576"/>
      <c r="C22" s="123"/>
      <c r="D22" s="123"/>
      <c r="E22" s="123"/>
      <c r="F22" s="123"/>
      <c r="G22" s="122"/>
      <c r="H22" s="921"/>
      <c r="I22" s="1013"/>
      <c r="J22" s="582"/>
    </row>
    <row r="23" spans="1:10">
      <c r="A23" s="575" t="s">
        <v>501</v>
      </c>
      <c r="B23" s="576"/>
      <c r="C23" s="552"/>
      <c r="D23" s="552"/>
      <c r="E23" s="552"/>
      <c r="F23" s="552"/>
      <c r="G23" s="122"/>
      <c r="H23" s="921"/>
      <c r="I23" s="1011"/>
      <c r="J23" s="939"/>
    </row>
    <row r="24" spans="1:10">
      <c r="A24" s="575" t="s">
        <v>502</v>
      </c>
      <c r="B24" s="576"/>
      <c r="C24" s="233"/>
      <c r="D24" s="233"/>
      <c r="E24" s="233"/>
      <c r="F24" s="336"/>
      <c r="G24" s="122"/>
      <c r="H24" s="921"/>
      <c r="I24" s="1005"/>
      <c r="J24" s="939"/>
    </row>
    <row r="25" spans="1:10">
      <c r="A25" s="575" t="s">
        <v>503</v>
      </c>
      <c r="B25" s="576"/>
      <c r="C25" s="233"/>
      <c r="D25" s="233"/>
      <c r="E25" s="233"/>
      <c r="F25" s="233"/>
      <c r="G25" s="122"/>
      <c r="H25" s="921"/>
      <c r="I25" s="933"/>
      <c r="J25" s="582"/>
    </row>
    <row r="26" spans="1:10">
      <c r="A26" s="575" t="s">
        <v>504</v>
      </c>
      <c r="B26" s="576"/>
      <c r="C26" s="233"/>
      <c r="D26" s="233"/>
      <c r="E26" s="233"/>
      <c r="F26" s="233"/>
      <c r="G26" s="122"/>
      <c r="H26" s="921"/>
      <c r="I26" s="1005"/>
      <c r="J26" s="939"/>
    </row>
    <row r="27" spans="1:10">
      <c r="A27" s="581" t="s">
        <v>505</v>
      </c>
      <c r="B27" s="170"/>
      <c r="C27" s="165"/>
      <c r="D27" s="165"/>
      <c r="E27" s="165"/>
      <c r="F27" s="174"/>
      <c r="G27" s="83"/>
      <c r="H27" s="905"/>
      <c r="I27" s="933"/>
      <c r="J27" s="582"/>
    </row>
    <row r="28" spans="1:10">
      <c r="A28" s="575" t="s">
        <v>506</v>
      </c>
      <c r="B28" s="576"/>
      <c r="C28" s="233"/>
      <c r="D28" s="122"/>
      <c r="E28" s="233"/>
      <c r="F28" s="336"/>
      <c r="G28" s="122"/>
      <c r="H28" s="921"/>
      <c r="I28" s="1005"/>
      <c r="J28" s="939"/>
    </row>
    <row r="29" spans="1:10">
      <c r="A29" s="575" t="s">
        <v>507</v>
      </c>
      <c r="B29" s="576"/>
      <c r="C29" s="233"/>
      <c r="D29" s="122"/>
      <c r="E29" s="233"/>
      <c r="F29" s="233"/>
      <c r="G29" s="122"/>
      <c r="H29" s="921"/>
      <c r="I29" s="1005"/>
      <c r="J29" s="939"/>
    </row>
    <row r="30" spans="1:10">
      <c r="A30" s="575" t="s">
        <v>508</v>
      </c>
      <c r="B30" s="576"/>
      <c r="C30" s="233"/>
      <c r="D30" s="233"/>
      <c r="E30" s="233"/>
      <c r="F30" s="233"/>
      <c r="G30" s="233"/>
      <c r="H30" s="921"/>
      <c r="I30" s="1005"/>
      <c r="J30" s="577"/>
    </row>
    <row r="31" spans="1:10">
      <c r="A31" s="575" t="s">
        <v>509</v>
      </c>
      <c r="B31" s="576"/>
      <c r="C31" s="627"/>
      <c r="D31" s="711"/>
      <c r="E31" s="123"/>
      <c r="F31" s="123"/>
      <c r="G31" s="123"/>
      <c r="H31" s="921"/>
      <c r="I31" s="1005"/>
      <c r="J31" s="577"/>
    </row>
    <row r="32" spans="1:10">
      <c r="A32" s="575" t="s">
        <v>510</v>
      </c>
      <c r="B32" s="576"/>
      <c r="C32" s="233"/>
      <c r="D32" s="233"/>
      <c r="E32" s="622"/>
      <c r="F32" s="233"/>
      <c r="G32" s="233"/>
      <c r="H32" s="921"/>
      <c r="I32" s="1005"/>
      <c r="J32" s="577"/>
    </row>
    <row r="33" spans="1:10">
      <c r="A33" s="626" t="s">
        <v>511</v>
      </c>
      <c r="B33" s="576"/>
      <c r="C33" s="233"/>
      <c r="D33" s="233"/>
      <c r="E33" s="123"/>
      <c r="F33" s="123"/>
      <c r="G33" s="123"/>
      <c r="H33" s="921"/>
      <c r="I33" s="933"/>
      <c r="J33" s="584"/>
    </row>
    <row r="34" spans="1:10">
      <c r="A34" s="575" t="s">
        <v>512</v>
      </c>
      <c r="B34" s="576"/>
      <c r="C34" s="233"/>
      <c r="D34" s="233"/>
      <c r="E34" s="123"/>
      <c r="F34" s="123"/>
      <c r="G34" s="123"/>
      <c r="H34" s="921"/>
      <c r="I34" s="1005"/>
      <c r="J34" s="1009"/>
    </row>
    <row r="35" spans="1:10">
      <c r="A35" s="575" t="s">
        <v>513</v>
      </c>
      <c r="B35" s="576"/>
      <c r="C35" s="711"/>
      <c r="D35" s="622"/>
      <c r="E35" s="711"/>
      <c r="F35" s="711"/>
      <c r="G35" s="623"/>
      <c r="H35" s="930"/>
      <c r="I35" s="930"/>
      <c r="J35" s="996"/>
    </row>
    <row r="36" spans="1:10">
      <c r="A36" s="575" t="s">
        <v>514</v>
      </c>
      <c r="B36" s="455"/>
      <c r="C36" s="233"/>
      <c r="D36" s="714"/>
      <c r="E36" s="714"/>
      <c r="F36" s="714"/>
      <c r="G36" s="714"/>
      <c r="H36" s="927"/>
      <c r="I36" s="1005"/>
      <c r="J36" s="939"/>
    </row>
    <row r="37" spans="1:10">
      <c r="A37" s="575" t="s">
        <v>515</v>
      </c>
      <c r="B37" s="710"/>
      <c r="C37" s="233"/>
      <c r="D37" s="233"/>
      <c r="E37" s="233"/>
      <c r="F37" s="233"/>
      <c r="G37" s="233"/>
      <c r="H37" s="1005"/>
      <c r="I37" s="1005"/>
      <c r="J37" s="939"/>
    </row>
    <row r="38" spans="1:10">
      <c r="A38" s="575" t="s">
        <v>516</v>
      </c>
      <c r="B38" s="455"/>
      <c r="C38" s="122"/>
      <c r="D38" s="122"/>
      <c r="E38" s="122"/>
      <c r="F38" s="122"/>
      <c r="G38" s="122"/>
      <c r="H38" s="921"/>
      <c r="I38" s="921"/>
      <c r="J38" s="577"/>
    </row>
    <row r="39" spans="1:10">
      <c r="A39" s="575" t="s">
        <v>495</v>
      </c>
      <c r="B39" s="455"/>
      <c r="C39" s="122"/>
      <c r="D39" s="122"/>
      <c r="E39" s="122"/>
      <c r="F39" s="122"/>
      <c r="G39" s="122"/>
      <c r="H39" s="921"/>
      <c r="I39" s="1005"/>
      <c r="J39" s="577"/>
    </row>
    <row r="40" spans="1:10">
      <c r="A40" s="575" t="s">
        <v>517</v>
      </c>
      <c r="B40" s="455"/>
      <c r="C40" s="122"/>
      <c r="D40" s="122"/>
      <c r="E40" s="122"/>
      <c r="F40" s="122"/>
      <c r="G40" s="122"/>
      <c r="H40" s="921"/>
      <c r="I40" s="1005"/>
      <c r="J40" s="577"/>
    </row>
    <row r="41" spans="1:10">
      <c r="A41" s="575"/>
      <c r="B41" s="455"/>
      <c r="C41" s="122"/>
      <c r="D41" s="122"/>
      <c r="E41" s="122"/>
      <c r="F41" s="122"/>
      <c r="G41" s="122"/>
      <c r="H41" s="921"/>
      <c r="I41" s="1007"/>
      <c r="J41" s="577"/>
    </row>
    <row r="42" spans="1:10">
      <c r="A42" s="615"/>
      <c r="B42" s="716"/>
      <c r="C42" s="60"/>
      <c r="D42" s="60"/>
      <c r="E42" s="60"/>
      <c r="F42" s="60"/>
      <c r="G42" s="60"/>
      <c r="H42" s="60"/>
      <c r="I42" s="60"/>
      <c r="J42" s="41"/>
    </row>
    <row r="43" spans="1:10">
      <c r="A43" s="615"/>
      <c r="B43" s="716"/>
      <c r="C43" s="60"/>
      <c r="D43" s="60"/>
      <c r="E43" s="60"/>
      <c r="F43" s="60"/>
      <c r="G43" s="60"/>
      <c r="H43" s="60"/>
      <c r="I43" s="41"/>
      <c r="J43" s="41"/>
    </row>
    <row r="44" spans="1:10">
      <c r="A44" s="615"/>
      <c r="B44" s="716"/>
      <c r="C44" s="60"/>
      <c r="D44" s="60"/>
      <c r="E44" s="60"/>
      <c r="F44" s="60"/>
      <c r="G44" s="60"/>
      <c r="H44" s="60"/>
      <c r="I44" s="205"/>
      <c r="J44" s="617"/>
    </row>
    <row r="45" spans="1:10">
      <c r="A45" s="615"/>
      <c r="B45" s="617"/>
      <c r="C45" s="617"/>
      <c r="D45" s="617"/>
      <c r="E45" s="617"/>
      <c r="F45" s="617"/>
      <c r="G45" s="617"/>
      <c r="H45" s="617"/>
      <c r="I45" s="617"/>
      <c r="J45" s="60"/>
    </row>
    <row r="46" spans="1:10">
      <c r="A46" s="235"/>
      <c r="B46" s="632"/>
      <c r="C46" s="632"/>
      <c r="D46" s="617"/>
      <c r="E46" s="632"/>
      <c r="F46" s="632"/>
      <c r="G46" s="618"/>
      <c r="H46" s="633"/>
      <c r="I46" s="632"/>
      <c r="J46" s="60"/>
    </row>
    <row r="47" spans="1:10">
      <c r="A47" s="1143" t="s">
        <v>567</v>
      </c>
      <c r="B47" s="1143"/>
      <c r="C47" s="1143"/>
      <c r="D47" s="617"/>
      <c r="E47" s="1144" t="s">
        <v>568</v>
      </c>
      <c r="F47" s="1144"/>
      <c r="G47" s="617"/>
      <c r="H47" s="1144" t="s">
        <v>10</v>
      </c>
      <c r="I47" s="1144"/>
      <c r="J47" s="60"/>
    </row>
    <row r="48" spans="1:10">
      <c r="A48" s="615"/>
      <c r="B48" s="617"/>
      <c r="C48" s="617"/>
      <c r="D48" s="617"/>
      <c r="E48" s="617"/>
      <c r="F48" s="617"/>
      <c r="G48" s="617"/>
      <c r="H48" s="617"/>
      <c r="I48" s="617"/>
      <c r="J48" s="60"/>
    </row>
    <row r="49" spans="1:10">
      <c r="A49" s="615"/>
      <c r="B49" s="205"/>
      <c r="C49" s="205"/>
      <c r="D49" s="41"/>
      <c r="E49" s="205"/>
      <c r="F49" s="205"/>
      <c r="G49" s="41"/>
      <c r="H49" s="205"/>
      <c r="I49" s="205"/>
      <c r="J49" s="60"/>
    </row>
    <row r="50" spans="1:10">
      <c r="A50" s="615"/>
      <c r="B50" s="205"/>
      <c r="C50" s="205"/>
      <c r="D50" s="60"/>
      <c r="E50" s="205"/>
      <c r="F50" s="205"/>
      <c r="G50" s="60"/>
      <c r="H50" s="205"/>
      <c r="I50" s="205"/>
      <c r="J50" s="60"/>
    </row>
    <row r="51" spans="1:10">
      <c r="A51" s="615"/>
      <c r="B51" s="619"/>
      <c r="C51" s="60"/>
      <c r="D51" s="60"/>
      <c r="E51" s="60"/>
      <c r="F51" s="60"/>
      <c r="G51" s="60"/>
      <c r="H51" s="60"/>
      <c r="I51" s="60"/>
      <c r="J51" s="615"/>
    </row>
    <row r="52" spans="1:10">
      <c r="A52" s="292"/>
      <c r="B52" s="292"/>
      <c r="C52" s="292"/>
      <c r="D52" s="292"/>
      <c r="E52" s="292"/>
      <c r="F52" s="292"/>
      <c r="G52" s="292"/>
      <c r="H52" s="292"/>
      <c r="I52" s="292"/>
      <c r="J52" s="292"/>
    </row>
    <row r="53" spans="1:10">
      <c r="A53" s="292"/>
      <c r="B53" s="292"/>
      <c r="C53" s="292"/>
      <c r="D53" s="292"/>
      <c r="E53" s="292"/>
      <c r="F53" s="292"/>
      <c r="G53" s="292"/>
      <c r="H53" s="292"/>
      <c r="I53" s="292"/>
      <c r="J53" s="292"/>
    </row>
    <row r="54" spans="1:10">
      <c r="A54" s="292"/>
      <c r="B54" s="292"/>
      <c r="C54" s="292"/>
      <c r="D54" s="292"/>
      <c r="E54" s="292"/>
      <c r="F54" s="292"/>
      <c r="G54" s="292"/>
      <c r="H54" s="292"/>
      <c r="I54" s="292"/>
      <c r="J54" s="292"/>
    </row>
  </sheetData>
  <mergeCells count="5">
    <mergeCell ref="C7:H7"/>
    <mergeCell ref="A15:G15"/>
    <mergeCell ref="A47:C47"/>
    <mergeCell ref="E47:F47"/>
    <mergeCell ref="H47:I47"/>
  </mergeCells>
  <pageMargins left="0.49166666666666664" right="0.32500000000000001" top="0.29166666666666669" bottom="0.22500000000000001" header="0.3" footer="0.3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AF25-1C76-4E70-B398-602DC02F10D3}">
  <sheetPr codeName="Лист5">
    <tabColor theme="3" tint="0.39997558519241921"/>
  </sheetPr>
  <dimension ref="A2:J57"/>
  <sheetViews>
    <sheetView view="pageLayout" topLeftCell="A31" zoomScaleNormal="100" zoomScaleSheetLayoutView="110" workbookViewId="0">
      <selection activeCell="I46" sqref="I46"/>
    </sheetView>
  </sheetViews>
  <sheetFormatPr defaultColWidth="8.86328125" defaultRowHeight="14.25"/>
  <cols>
    <col min="1" max="1" width="5.6640625" customWidth="1"/>
    <col min="2" max="2" width="12.796875" customWidth="1"/>
    <col min="6" max="6" width="11" customWidth="1"/>
    <col min="7" max="7" width="11.796875" customWidth="1"/>
    <col min="9" max="9" width="8.86328125" customWidth="1"/>
    <col min="10" max="10" width="10.19921875" customWidth="1"/>
  </cols>
  <sheetData>
    <row r="2" spans="1:10" ht="20.100000000000001" customHeight="1"/>
    <row r="3" spans="1:10" ht="14.45" customHeight="1"/>
    <row r="4" spans="1:10">
      <c r="A4" s="48"/>
      <c r="B4" s="48"/>
      <c r="C4" s="48"/>
      <c r="D4" s="48"/>
      <c r="E4" s="48"/>
      <c r="F4" s="48"/>
      <c r="G4" s="48"/>
      <c r="H4" s="48"/>
      <c r="I4" s="48"/>
      <c r="J4" s="48"/>
    </row>
    <row r="5" spans="1:10" ht="20.25" thickBot="1">
      <c r="A5" s="48"/>
      <c r="B5" s="1147" t="s">
        <v>560</v>
      </c>
      <c r="C5" s="1147"/>
      <c r="D5" s="1147"/>
      <c r="E5" s="1147"/>
      <c r="F5" s="1147"/>
      <c r="G5" s="1147"/>
      <c r="H5" s="1147"/>
      <c r="I5" s="1147"/>
      <c r="J5" s="49"/>
    </row>
    <row r="6" spans="1:10" ht="14.45" customHeight="1">
      <c r="A6" s="314"/>
      <c r="B6" s="740" t="s">
        <v>333</v>
      </c>
      <c r="C6" s="1148"/>
      <c r="D6" s="1149"/>
      <c r="E6" s="1149"/>
      <c r="F6" s="1150"/>
      <c r="G6" s="1151" t="s">
        <v>712</v>
      </c>
      <c r="H6" s="1152"/>
      <c r="I6" s="1152"/>
      <c r="J6" s="1153"/>
    </row>
    <row r="7" spans="1:10" ht="14.45" customHeight="1">
      <c r="A7" s="314"/>
      <c r="B7" s="741" t="s">
        <v>328</v>
      </c>
      <c r="C7" s="1154"/>
      <c r="D7" s="1155"/>
      <c r="E7" s="1155"/>
      <c r="F7" s="1156"/>
      <c r="G7" s="1157" t="s">
        <v>713</v>
      </c>
      <c r="H7" s="745" t="s">
        <v>715</v>
      </c>
      <c r="I7" s="752"/>
      <c r="J7" s="753" t="s">
        <v>717</v>
      </c>
    </row>
    <row r="8" spans="1:10" ht="14.45" customHeight="1">
      <c r="A8" s="314"/>
      <c r="B8" s="742" t="s">
        <v>14</v>
      </c>
      <c r="C8" s="1154"/>
      <c r="D8" s="1155"/>
      <c r="E8" s="1155"/>
      <c r="F8" s="1156"/>
      <c r="G8" s="1158"/>
      <c r="H8" s="748" t="s">
        <v>716</v>
      </c>
      <c r="I8" s="749"/>
      <c r="J8" s="750" t="s">
        <v>717</v>
      </c>
    </row>
    <row r="9" spans="1:10">
      <c r="A9" s="314"/>
      <c r="B9" s="741" t="s">
        <v>490</v>
      </c>
      <c r="C9" s="1154"/>
      <c r="D9" s="1155"/>
      <c r="E9" s="1155"/>
      <c r="F9" s="1156"/>
      <c r="G9" s="1159" t="s">
        <v>714</v>
      </c>
      <c r="H9" s="746" t="s">
        <v>715</v>
      </c>
      <c r="I9" s="754"/>
      <c r="J9" s="755" t="s">
        <v>717</v>
      </c>
    </row>
    <row r="10" spans="1:10" ht="14.65" thickBot="1">
      <c r="A10" s="615"/>
      <c r="B10" s="743" t="s">
        <v>489</v>
      </c>
      <c r="C10" s="1161"/>
      <c r="D10" s="1162"/>
      <c r="E10" s="1162"/>
      <c r="F10" s="1163"/>
      <c r="G10" s="1160"/>
      <c r="H10" s="747" t="s">
        <v>716</v>
      </c>
      <c r="I10" s="744"/>
      <c r="J10" s="751" t="s">
        <v>717</v>
      </c>
    </row>
    <row r="11" spans="1:10" ht="15.75" thickBot="1">
      <c r="A11" s="634"/>
      <c r="B11" s="756"/>
      <c r="C11" s="757"/>
      <c r="D11" s="757"/>
      <c r="E11" s="757"/>
      <c r="F11" s="758"/>
      <c r="G11" s="757"/>
      <c r="H11" s="759"/>
      <c r="I11" s="759"/>
      <c r="J11" s="760"/>
    </row>
    <row r="12" spans="1:10" ht="15.75" thickBot="1">
      <c r="A12" s="634"/>
      <c r="B12" s="1164" t="s">
        <v>718</v>
      </c>
      <c r="C12" s="1165"/>
      <c r="D12" s="1165"/>
      <c r="E12" s="1165"/>
      <c r="F12" s="761" t="s">
        <v>551</v>
      </c>
      <c r="G12" s="804" t="s">
        <v>550</v>
      </c>
      <c r="H12" s="1166" t="s">
        <v>719</v>
      </c>
      <c r="I12" s="1167"/>
      <c r="J12" s="1168"/>
    </row>
    <row r="13" spans="1:10" ht="15.4">
      <c r="A13" s="634"/>
      <c r="B13" s="891" t="s">
        <v>720</v>
      </c>
      <c r="C13" s="892"/>
      <c r="D13" s="893"/>
      <c r="E13" s="892"/>
      <c r="F13" s="894">
        <v>44220</v>
      </c>
      <c r="G13" s="895">
        <v>0.53125</v>
      </c>
      <c r="H13" s="896"/>
      <c r="I13" s="508"/>
      <c r="J13" s="897"/>
    </row>
    <row r="14" spans="1:10" ht="15.4">
      <c r="A14" s="635"/>
      <c r="B14" s="898" t="s">
        <v>721</v>
      </c>
      <c r="C14" s="251"/>
      <c r="D14" s="899"/>
      <c r="E14" s="899"/>
      <c r="F14" s="900"/>
      <c r="G14" s="901"/>
      <c r="H14" s="882"/>
      <c r="I14" s="83"/>
      <c r="J14" s="902"/>
    </row>
    <row r="15" spans="1:10" ht="15.4">
      <c r="A15" s="634"/>
      <c r="B15" s="903" t="s">
        <v>722</v>
      </c>
      <c r="C15" s="115"/>
      <c r="D15" s="153"/>
      <c r="E15" s="153"/>
      <c r="F15" s="900"/>
      <c r="G15" s="904"/>
      <c r="H15" s="905"/>
      <c r="I15" s="83"/>
      <c r="J15" s="902"/>
    </row>
    <row r="16" spans="1:10" ht="15.4">
      <c r="A16" s="634"/>
      <c r="B16" s="903" t="s">
        <v>723</v>
      </c>
      <c r="C16" s="115"/>
      <c r="D16" s="115"/>
      <c r="E16" s="115"/>
      <c r="F16" s="900"/>
      <c r="G16" s="901"/>
      <c r="H16" s="905"/>
      <c r="I16" s="83"/>
      <c r="J16" s="902"/>
    </row>
    <row r="17" spans="1:10" ht="15.4">
      <c r="A17" s="189"/>
      <c r="B17" s="898" t="s">
        <v>724</v>
      </c>
      <c r="C17" s="320"/>
      <c r="D17" s="320"/>
      <c r="E17" s="320"/>
      <c r="F17" s="900"/>
      <c r="G17" s="906"/>
      <c r="H17" s="880"/>
      <c r="I17" s="881"/>
      <c r="J17" s="902"/>
    </row>
    <row r="18" spans="1:10" ht="15.4">
      <c r="A18" s="739"/>
      <c r="B18" s="898" t="s">
        <v>725</v>
      </c>
      <c r="C18" s="320"/>
      <c r="D18" s="320"/>
      <c r="E18" s="320"/>
      <c r="F18" s="900"/>
      <c r="G18" s="907"/>
      <c r="H18" s="908"/>
      <c r="I18" s="909"/>
      <c r="J18" s="902"/>
    </row>
    <row r="19" spans="1:10" ht="15.4">
      <c r="A19" s="615"/>
      <c r="B19" s="903" t="s">
        <v>726</v>
      </c>
      <c r="C19" s="910"/>
      <c r="D19" s="911"/>
      <c r="E19" s="912"/>
      <c r="F19" s="900"/>
      <c r="G19" s="905"/>
      <c r="H19" s="905"/>
      <c r="I19" s="397"/>
      <c r="J19" s="902"/>
    </row>
    <row r="20" spans="1:10" ht="15.4">
      <c r="A20" s="615"/>
      <c r="B20" s="903" t="s">
        <v>727</v>
      </c>
      <c r="C20" s="115"/>
      <c r="D20" s="913"/>
      <c r="E20" s="115"/>
      <c r="F20" s="900"/>
      <c r="G20" s="905"/>
      <c r="H20" s="905"/>
      <c r="I20" s="83"/>
      <c r="J20" s="902"/>
    </row>
    <row r="21" spans="1:10" ht="15.4">
      <c r="A21" s="615"/>
      <c r="B21" s="903" t="s">
        <v>728</v>
      </c>
      <c r="C21" s="914"/>
      <c r="D21" s="914"/>
      <c r="E21" s="912"/>
      <c r="F21" s="900"/>
      <c r="G21" s="905"/>
      <c r="H21" s="905"/>
      <c r="I21" s="397"/>
      <c r="J21" s="902"/>
    </row>
    <row r="22" spans="1:10" ht="15.4">
      <c r="A22" s="615"/>
      <c r="B22" s="903" t="s">
        <v>729</v>
      </c>
      <c r="C22" s="899"/>
      <c r="D22" s="915"/>
      <c r="E22" s="915"/>
      <c r="F22" s="900"/>
      <c r="G22" s="905"/>
      <c r="H22" s="905"/>
      <c r="I22" s="169"/>
      <c r="J22" s="902"/>
    </row>
    <row r="23" spans="1:10" ht="15.4">
      <c r="A23" s="615"/>
      <c r="B23" s="903" t="s">
        <v>730</v>
      </c>
      <c r="C23" s="912"/>
      <c r="D23" s="912"/>
      <c r="E23" s="117"/>
      <c r="F23" s="900"/>
      <c r="G23" s="905"/>
      <c r="H23" s="905"/>
      <c r="I23" s="172"/>
      <c r="J23" s="902"/>
    </row>
    <row r="24" spans="1:10" ht="15.4">
      <c r="A24" s="615"/>
      <c r="B24" s="903" t="s">
        <v>731</v>
      </c>
      <c r="C24" s="937"/>
      <c r="D24" s="937"/>
      <c r="E24" s="937"/>
      <c r="F24" s="900"/>
      <c r="G24" s="905"/>
      <c r="H24" s="905"/>
      <c r="I24" s="173"/>
      <c r="J24" s="902"/>
    </row>
    <row r="25" spans="1:10" ht="15.4">
      <c r="A25" s="615"/>
      <c r="B25" s="916" t="s">
        <v>732</v>
      </c>
      <c r="C25" s="149"/>
      <c r="D25" s="149"/>
      <c r="E25" s="149"/>
      <c r="F25" s="919"/>
      <c r="G25" s="921"/>
      <c r="H25" s="921"/>
      <c r="I25" s="123"/>
      <c r="J25" s="924"/>
    </row>
    <row r="26" spans="1:10" ht="15.4">
      <c r="A26" s="615"/>
      <c r="B26" s="916" t="s">
        <v>733</v>
      </c>
      <c r="C26" s="936"/>
      <c r="D26" s="936"/>
      <c r="E26" s="936"/>
      <c r="F26" s="919"/>
      <c r="G26" s="921"/>
      <c r="H26" s="921"/>
      <c r="I26" s="552"/>
      <c r="J26" s="924"/>
    </row>
    <row r="27" spans="1:10" ht="15.4">
      <c r="A27" s="615"/>
      <c r="B27" s="916" t="s">
        <v>734</v>
      </c>
      <c r="C27" s="922"/>
      <c r="D27" s="922"/>
      <c r="E27" s="922"/>
      <c r="F27" s="919"/>
      <c r="G27" s="921"/>
      <c r="H27" s="921"/>
      <c r="I27" s="233"/>
      <c r="J27" s="924"/>
    </row>
    <row r="28" spans="1:10" ht="15.4">
      <c r="A28" s="615"/>
      <c r="B28" s="916" t="s">
        <v>735</v>
      </c>
      <c r="C28" s="922"/>
      <c r="D28" s="922"/>
      <c r="E28" s="922"/>
      <c r="F28" s="919"/>
      <c r="G28" s="921"/>
      <c r="H28" s="921"/>
      <c r="I28" s="233"/>
      <c r="J28" s="924"/>
    </row>
    <row r="29" spans="1:10" ht="15.4">
      <c r="A29" s="615"/>
      <c r="B29" s="916" t="s">
        <v>736</v>
      </c>
      <c r="C29" s="922"/>
      <c r="D29" s="922"/>
      <c r="E29" s="922"/>
      <c r="F29" s="919"/>
      <c r="G29" s="921"/>
      <c r="H29" s="921"/>
      <c r="I29" s="233"/>
      <c r="J29" s="924"/>
    </row>
    <row r="30" spans="1:10" ht="15.4">
      <c r="A30" s="615"/>
      <c r="B30" s="903" t="s">
        <v>737</v>
      </c>
      <c r="C30" s="912"/>
      <c r="D30" s="912"/>
      <c r="E30" s="912"/>
      <c r="F30" s="900"/>
      <c r="G30" s="905"/>
      <c r="H30" s="905"/>
      <c r="I30" s="165"/>
      <c r="J30" s="902"/>
    </row>
    <row r="31" spans="1:10" ht="15.4">
      <c r="A31" s="615"/>
      <c r="B31" s="916" t="s">
        <v>738</v>
      </c>
      <c r="C31" s="922"/>
      <c r="D31" s="923"/>
      <c r="E31" s="922"/>
      <c r="F31" s="919"/>
      <c r="G31" s="921"/>
      <c r="H31" s="921"/>
      <c r="I31" s="233"/>
      <c r="J31" s="924"/>
    </row>
    <row r="32" spans="1:10" ht="15.4">
      <c r="A32" s="615"/>
      <c r="B32" s="916" t="s">
        <v>739</v>
      </c>
      <c r="C32" s="922"/>
      <c r="D32" s="923"/>
      <c r="E32" s="922"/>
      <c r="F32" s="919"/>
      <c r="G32" s="921"/>
      <c r="H32" s="921"/>
      <c r="I32" s="233"/>
      <c r="J32" s="924"/>
    </row>
    <row r="33" spans="1:10" ht="15.4">
      <c r="A33" s="615"/>
      <c r="B33" s="903" t="s">
        <v>740</v>
      </c>
      <c r="C33" s="912"/>
      <c r="D33" s="912"/>
      <c r="E33" s="912"/>
      <c r="F33" s="900"/>
      <c r="G33" s="933"/>
      <c r="H33" s="905"/>
      <c r="I33" s="165"/>
      <c r="J33" s="935"/>
    </row>
    <row r="34" spans="1:10" ht="15.4">
      <c r="A34" s="615"/>
      <c r="B34" s="916"/>
      <c r="C34" s="917"/>
      <c r="D34" s="918"/>
      <c r="E34" s="149"/>
      <c r="F34" s="919"/>
      <c r="G34" s="920"/>
      <c r="H34" s="921"/>
      <c r="I34" s="233"/>
      <c r="J34" s="775"/>
    </row>
    <row r="35" spans="1:10" ht="15.4">
      <c r="A35" s="615"/>
      <c r="B35" s="903"/>
      <c r="C35" s="912"/>
      <c r="D35" s="912"/>
      <c r="E35" s="934"/>
      <c r="F35" s="900"/>
      <c r="G35" s="933"/>
      <c r="H35" s="905"/>
      <c r="I35" s="165"/>
      <c r="J35" s="935"/>
    </row>
    <row r="36" spans="1:10" ht="15.4">
      <c r="A36" s="107"/>
      <c r="B36" s="916"/>
      <c r="C36" s="922"/>
      <c r="D36" s="922"/>
      <c r="E36" s="149"/>
      <c r="F36" s="919"/>
      <c r="G36" s="920"/>
      <c r="H36" s="921"/>
      <c r="I36" s="233"/>
      <c r="J36" s="775"/>
    </row>
    <row r="37" spans="1:10" ht="15.4">
      <c r="A37" s="615"/>
      <c r="B37" s="916"/>
      <c r="C37" s="922"/>
      <c r="D37" s="922"/>
      <c r="E37" s="149"/>
      <c r="F37" s="919"/>
      <c r="G37" s="920"/>
      <c r="H37" s="921"/>
      <c r="I37" s="233"/>
      <c r="J37" s="932"/>
    </row>
    <row r="38" spans="1:10" ht="15.4">
      <c r="A38" s="615"/>
      <c r="B38" s="916"/>
      <c r="C38" s="918"/>
      <c r="D38" s="928"/>
      <c r="E38" s="918"/>
      <c r="F38" s="919"/>
      <c r="G38" s="929"/>
      <c r="H38" s="930"/>
      <c r="I38" s="883"/>
      <c r="J38" s="931"/>
    </row>
    <row r="39" spans="1:10" ht="15.4">
      <c r="A39" s="615"/>
      <c r="B39" s="925"/>
      <c r="C39" s="922"/>
      <c r="D39" s="926"/>
      <c r="E39" s="926"/>
      <c r="F39" s="919"/>
      <c r="G39" s="927"/>
      <c r="H39" s="927"/>
      <c r="I39" s="233"/>
      <c r="J39" s="924"/>
    </row>
    <row r="40" spans="1:10" ht="15.4">
      <c r="A40" s="615"/>
      <c r="B40" s="879"/>
      <c r="C40" s="912"/>
      <c r="D40" s="912"/>
      <c r="E40" s="912"/>
      <c r="F40" s="900"/>
      <c r="G40" s="933"/>
      <c r="H40" s="933"/>
      <c r="I40" s="165"/>
      <c r="J40" s="902"/>
    </row>
    <row r="41" spans="1:10" ht="15.75" thickBot="1">
      <c r="A41" s="615"/>
      <c r="B41" s="540"/>
      <c r="C41" s="537"/>
      <c r="D41" s="537"/>
      <c r="E41" s="537"/>
      <c r="F41" s="774"/>
      <c r="G41" s="773"/>
      <c r="H41" s="537"/>
      <c r="I41" s="537"/>
      <c r="J41" s="764"/>
    </row>
    <row r="42" spans="1:10">
      <c r="A42" s="615"/>
      <c r="B42" s="765"/>
      <c r="C42" s="763"/>
      <c r="D42" s="763"/>
      <c r="E42" s="763"/>
      <c r="F42" s="763"/>
      <c r="G42" s="763"/>
      <c r="H42" s="763"/>
      <c r="I42" s="533"/>
      <c r="J42" s="534"/>
    </row>
    <row r="43" spans="1:10">
      <c r="A43" s="615"/>
      <c r="B43" s="497"/>
      <c r="C43" s="60"/>
      <c r="D43" s="60"/>
      <c r="E43" s="60"/>
      <c r="F43" s="60"/>
      <c r="G43" s="60"/>
      <c r="H43" s="60"/>
      <c r="I43" s="41"/>
      <c r="J43" s="536"/>
    </row>
    <row r="44" spans="1:10">
      <c r="A44" s="615"/>
      <c r="B44" s="497"/>
      <c r="C44" s="60"/>
      <c r="D44" s="60"/>
      <c r="E44" s="60"/>
      <c r="F44" s="60"/>
      <c r="G44" s="60"/>
      <c r="H44" s="60"/>
      <c r="I44" s="66"/>
      <c r="J44" s="536"/>
    </row>
    <row r="45" spans="1:10">
      <c r="A45" s="615"/>
      <c r="B45" s="497"/>
      <c r="C45" s="122"/>
      <c r="D45" s="122"/>
      <c r="E45" s="60"/>
      <c r="F45" s="122"/>
      <c r="G45" s="122"/>
      <c r="H45" s="60"/>
      <c r="I45" s="122"/>
      <c r="J45" s="775"/>
    </row>
    <row r="46" spans="1:10">
      <c r="A46" s="615"/>
      <c r="B46" s="497"/>
      <c r="C46" s="1145" t="s">
        <v>568</v>
      </c>
      <c r="D46" s="1145"/>
      <c r="E46" s="60"/>
      <c r="F46" s="1146" t="s">
        <v>741</v>
      </c>
      <c r="G46" s="1146"/>
      <c r="H46" s="60"/>
      <c r="I46" s="41" t="s">
        <v>742</v>
      </c>
      <c r="J46" s="536"/>
    </row>
    <row r="47" spans="1:10">
      <c r="A47" s="615"/>
      <c r="B47" s="497"/>
      <c r="C47" s="60"/>
      <c r="D47" s="60"/>
      <c r="E47" s="60"/>
      <c r="F47" s="60"/>
      <c r="G47" s="60"/>
      <c r="H47" s="60"/>
      <c r="I47" s="205"/>
      <c r="J47" s="766"/>
    </row>
    <row r="48" spans="1:10">
      <c r="A48" s="615"/>
      <c r="B48" s="767"/>
      <c r="C48" s="617"/>
      <c r="D48" s="617"/>
      <c r="E48" s="617"/>
      <c r="F48" s="617"/>
      <c r="G48" s="617"/>
      <c r="H48" s="617"/>
      <c r="I48" s="617"/>
      <c r="J48" s="535"/>
    </row>
    <row r="49" spans="1:10">
      <c r="A49" s="615"/>
      <c r="B49" s="767"/>
      <c r="C49" s="617"/>
      <c r="D49" s="617"/>
      <c r="E49" s="617"/>
      <c r="F49" s="617"/>
      <c r="G49" s="618"/>
      <c r="H49" s="738"/>
      <c r="I49" s="617"/>
      <c r="J49" s="535"/>
    </row>
    <row r="50" spans="1:10" ht="14.65" thickBot="1">
      <c r="A50" s="189"/>
      <c r="B50" s="768"/>
      <c r="C50" s="769"/>
      <c r="D50" s="770"/>
      <c r="E50" s="771"/>
      <c r="F50" s="771"/>
      <c r="G50" s="772"/>
      <c r="H50" s="771"/>
      <c r="I50" s="771"/>
      <c r="J50" s="538"/>
    </row>
    <row r="51" spans="1:10">
      <c r="A51" s="615"/>
      <c r="B51" s="617"/>
      <c r="C51" s="617"/>
      <c r="D51" s="617"/>
      <c r="E51" s="617"/>
      <c r="F51" s="617"/>
      <c r="G51" s="617"/>
      <c r="H51" s="617"/>
      <c r="I51" s="617"/>
      <c r="J51" s="60"/>
    </row>
    <row r="52" spans="1:10">
      <c r="A52" s="615"/>
      <c r="B52" s="205"/>
      <c r="C52" s="205"/>
      <c r="D52" s="41"/>
      <c r="E52" s="205"/>
      <c r="F52" s="205"/>
      <c r="G52" s="41"/>
      <c r="H52" s="205"/>
      <c r="I52" s="205"/>
      <c r="J52" s="60"/>
    </row>
    <row r="53" spans="1:10">
      <c r="A53" s="615"/>
      <c r="B53" s="205"/>
      <c r="C53" s="205"/>
      <c r="D53" s="60"/>
      <c r="E53" s="205"/>
      <c r="F53" s="205"/>
      <c r="G53" s="60"/>
      <c r="H53" s="205"/>
      <c r="I53" s="205"/>
      <c r="J53" s="60"/>
    </row>
    <row r="54" spans="1:10">
      <c r="A54" s="615"/>
      <c r="B54" s="619"/>
      <c r="C54" s="60"/>
      <c r="D54" s="60"/>
      <c r="E54" s="60"/>
      <c r="F54" s="60"/>
      <c r="G54" s="60"/>
      <c r="H54" s="60"/>
      <c r="I54" s="60"/>
      <c r="J54" s="615"/>
    </row>
    <row r="55" spans="1:10">
      <c r="A55" s="292"/>
      <c r="B55" s="292"/>
      <c r="C55" s="292"/>
      <c r="D55" s="292"/>
      <c r="E55" s="292"/>
      <c r="F55" s="292"/>
      <c r="G55" s="292"/>
      <c r="H55" s="292"/>
      <c r="I55" s="292"/>
      <c r="J55" s="292"/>
    </row>
    <row r="56" spans="1:10">
      <c r="A56" s="292"/>
      <c r="B56" s="292"/>
      <c r="C56" s="292"/>
      <c r="D56" s="292"/>
      <c r="E56" s="292"/>
      <c r="F56" s="292"/>
      <c r="G56" s="292"/>
      <c r="H56" s="292"/>
      <c r="I56" s="292"/>
      <c r="J56" s="292"/>
    </row>
    <row r="57" spans="1:10">
      <c r="A57" s="292"/>
      <c r="B57" s="292"/>
      <c r="C57" s="292"/>
      <c r="D57" s="292"/>
      <c r="E57" s="292"/>
      <c r="F57" s="292"/>
      <c r="G57" s="292"/>
      <c r="H57" s="292"/>
      <c r="I57" s="292"/>
      <c r="J57" s="292"/>
    </row>
  </sheetData>
  <mergeCells count="13">
    <mergeCell ref="C46:D46"/>
    <mergeCell ref="F46:G46"/>
    <mergeCell ref="B5:I5"/>
    <mergeCell ref="C6:F6"/>
    <mergeCell ref="G6:J6"/>
    <mergeCell ref="C7:F7"/>
    <mergeCell ref="G7:G8"/>
    <mergeCell ref="C8:F8"/>
    <mergeCell ref="C9:F9"/>
    <mergeCell ref="G9:G10"/>
    <mergeCell ref="C10:F10"/>
    <mergeCell ref="B12:E12"/>
    <mergeCell ref="H12:J12"/>
  </mergeCells>
  <pageMargins left="0.34166666666666667" right="0.39166666666666666" top="0.29166666666666669" bottom="0.22500000000000001" header="0.3" footer="0.3"/>
  <pageSetup paperSize="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F941-BFC2-4922-9BA7-0FC0EE7B19DC}">
  <sheetPr codeName="Лист6">
    <tabColor theme="3" tint="0.39997558519241921"/>
  </sheetPr>
  <dimension ref="A1:L58"/>
  <sheetViews>
    <sheetView view="pageLayout" zoomScaleNormal="100" zoomScaleSheetLayoutView="110" workbookViewId="0">
      <selection activeCell="J12" sqref="J12"/>
    </sheetView>
  </sheetViews>
  <sheetFormatPr defaultColWidth="8.86328125" defaultRowHeight="14.25"/>
  <cols>
    <col min="1" max="1" width="1.46484375" customWidth="1"/>
    <col min="2" max="2" width="10.19921875" customWidth="1"/>
    <col min="6" max="6" width="8" customWidth="1"/>
    <col min="7" max="7" width="6.86328125" customWidth="1"/>
    <col min="8" max="8" width="11.19921875" customWidth="1"/>
    <col min="9" max="9" width="15.6640625" customWidth="1"/>
    <col min="10" max="10" width="3.6640625" customWidth="1"/>
    <col min="11" max="11" width="6.1328125" customWidth="1"/>
    <col min="12" max="12" width="7.53125" customWidth="1"/>
  </cols>
  <sheetData>
    <row r="1" spans="1:12" ht="14.45" customHeight="1">
      <c r="A1" s="48"/>
      <c r="B1" s="48"/>
      <c r="C1" s="48"/>
      <c r="D1" s="48"/>
      <c r="E1" s="1203" t="s">
        <v>560</v>
      </c>
      <c r="F1" s="1203"/>
      <c r="G1" s="1203"/>
      <c r="H1" s="1203"/>
      <c r="I1" s="1203"/>
      <c r="J1" s="48"/>
    </row>
    <row r="2" spans="1:12" ht="14.45" customHeight="1" thickBot="1">
      <c r="A2" s="48"/>
      <c r="B2" s="811"/>
      <c r="C2" s="811"/>
      <c r="D2" s="811"/>
      <c r="E2" s="1203"/>
      <c r="F2" s="1203"/>
      <c r="G2" s="1203"/>
      <c r="H2" s="1203"/>
      <c r="I2" s="1203"/>
      <c r="J2" s="49"/>
    </row>
    <row r="3" spans="1:12" ht="14.45" customHeight="1">
      <c r="A3" s="314"/>
      <c r="B3" s="488" t="s">
        <v>333</v>
      </c>
      <c r="C3" s="629"/>
      <c r="D3" s="629"/>
      <c r="E3" s="629"/>
      <c r="F3" s="819" t="s">
        <v>569</v>
      </c>
      <c r="G3" s="820"/>
      <c r="H3" s="820"/>
      <c r="I3" s="821" t="s">
        <v>775</v>
      </c>
      <c r="J3" s="820"/>
      <c r="K3" s="838"/>
      <c r="L3" s="839"/>
    </row>
    <row r="4" spans="1:12">
      <c r="A4" s="314"/>
      <c r="B4" s="822" t="s">
        <v>14</v>
      </c>
      <c r="C4" s="165"/>
      <c r="D4" s="165"/>
      <c r="E4" s="165"/>
      <c r="F4" s="28" t="s">
        <v>774</v>
      </c>
      <c r="G4" s="816"/>
      <c r="H4" s="817"/>
      <c r="I4" s="813" t="s">
        <v>776</v>
      </c>
      <c r="J4" s="814"/>
      <c r="K4" s="840"/>
      <c r="L4" s="841"/>
    </row>
    <row r="5" spans="1:12">
      <c r="A5" s="314"/>
      <c r="B5" s="823" t="s">
        <v>490</v>
      </c>
      <c r="C5" s="165"/>
      <c r="D5" s="165"/>
      <c r="E5" s="165"/>
      <c r="F5" s="28" t="s">
        <v>1</v>
      </c>
      <c r="G5" s="816"/>
      <c r="H5" s="818"/>
      <c r="I5" s="812" t="s">
        <v>777</v>
      </c>
      <c r="J5" s="815"/>
      <c r="K5" s="840"/>
      <c r="L5" s="841"/>
    </row>
    <row r="6" spans="1:12" ht="14.45" customHeight="1" thickBot="1">
      <c r="A6" s="314"/>
      <c r="B6" s="824"/>
      <c r="C6" s="825"/>
      <c r="D6" s="825"/>
      <c r="E6" s="825"/>
      <c r="F6" s="825"/>
      <c r="G6" s="826"/>
      <c r="H6" s="827"/>
      <c r="I6" s="828"/>
      <c r="J6" s="829"/>
      <c r="K6" s="842"/>
      <c r="L6" s="843"/>
    </row>
    <row r="7" spans="1:12" ht="14.45" customHeight="1" thickBot="1">
      <c r="A7" s="615"/>
      <c r="B7" s="248"/>
      <c r="C7" s="41"/>
      <c r="D7" s="41"/>
      <c r="E7" s="41"/>
      <c r="F7" s="41"/>
      <c r="G7" s="492"/>
      <c r="H7" s="334"/>
      <c r="I7" s="60"/>
      <c r="J7" s="337"/>
      <c r="L7" s="292"/>
    </row>
    <row r="8" spans="1:12" ht="14.45" customHeight="1" thickBot="1">
      <c r="A8" s="634"/>
      <c r="B8" s="833"/>
      <c r="C8" s="962" t="s">
        <v>778</v>
      </c>
      <c r="D8" s="962"/>
      <c r="E8" s="832"/>
      <c r="F8" s="1204" t="s">
        <v>551</v>
      </c>
      <c r="G8" s="1205"/>
      <c r="H8" s="834" t="s">
        <v>779</v>
      </c>
      <c r="I8" s="1206" t="s">
        <v>719</v>
      </c>
      <c r="J8" s="1206"/>
      <c r="K8" s="1206"/>
      <c r="L8" s="831"/>
    </row>
    <row r="9" spans="1:12" ht="15.4">
      <c r="A9" s="634"/>
      <c r="B9" s="1207" t="s">
        <v>780</v>
      </c>
      <c r="C9" s="1208"/>
      <c r="D9" s="1208"/>
      <c r="E9" s="1208"/>
      <c r="F9" s="957"/>
      <c r="G9" s="958"/>
      <c r="H9" s="959"/>
      <c r="I9" s="508"/>
      <c r="J9" s="508"/>
      <c r="K9" s="960"/>
      <c r="L9" s="961"/>
    </row>
    <row r="10" spans="1:12" ht="15.4">
      <c r="A10" s="634"/>
      <c r="B10" s="1200" t="s">
        <v>781</v>
      </c>
      <c r="C10" s="1201"/>
      <c r="D10" s="1201"/>
      <c r="E10" s="1202"/>
      <c r="F10" s="938"/>
      <c r="G10" s="956"/>
      <c r="H10" s="547"/>
      <c r="I10" s="122"/>
      <c r="J10" s="122"/>
      <c r="K10" s="335"/>
      <c r="L10" s="940"/>
    </row>
    <row r="11" spans="1:12" ht="15.4">
      <c r="A11" s="635"/>
      <c r="B11" s="1200" t="s">
        <v>782</v>
      </c>
      <c r="C11" s="1201"/>
      <c r="D11" s="1201"/>
      <c r="E11" s="1202"/>
      <c r="F11" s="938"/>
      <c r="G11" s="955"/>
      <c r="H11" s="547"/>
      <c r="I11" s="122"/>
      <c r="J11" s="122"/>
      <c r="K11" s="335"/>
      <c r="L11" s="940"/>
    </row>
    <row r="12" spans="1:12" ht="15.4">
      <c r="A12" s="634"/>
      <c r="B12" s="1188" t="s">
        <v>783</v>
      </c>
      <c r="C12" s="1189"/>
      <c r="D12" s="1189"/>
      <c r="E12" s="1190"/>
      <c r="F12" s="938"/>
      <c r="G12" s="953"/>
      <c r="H12" s="954"/>
      <c r="I12" s="455"/>
      <c r="J12" s="122"/>
      <c r="K12" s="335"/>
      <c r="L12" s="940"/>
    </row>
    <row r="13" spans="1:12" ht="15.4">
      <c r="A13" s="634"/>
      <c r="B13" s="1188" t="s">
        <v>784</v>
      </c>
      <c r="C13" s="1189"/>
      <c r="D13" s="1189"/>
      <c r="E13" s="1190"/>
      <c r="F13" s="938"/>
      <c r="G13" s="950"/>
      <c r="H13" s="951"/>
      <c r="I13" s="952"/>
      <c r="J13" s="122"/>
      <c r="K13" s="335"/>
      <c r="L13" s="940"/>
    </row>
    <row r="14" spans="1:12" ht="15.4">
      <c r="A14" s="189"/>
      <c r="B14" s="1188" t="s">
        <v>540</v>
      </c>
      <c r="C14" s="1189"/>
      <c r="D14" s="1189"/>
      <c r="E14" s="1190"/>
      <c r="F14" s="938"/>
      <c r="G14" s="939"/>
      <c r="H14" s="547"/>
      <c r="I14" s="949"/>
      <c r="J14" s="122"/>
      <c r="K14" s="335"/>
      <c r="L14" s="940"/>
    </row>
    <row r="15" spans="1:12" ht="15.4">
      <c r="A15" s="739"/>
      <c r="B15" s="1191" t="s">
        <v>785</v>
      </c>
      <c r="C15" s="1192"/>
      <c r="D15" s="1192"/>
      <c r="E15" s="1193"/>
      <c r="F15" s="943"/>
      <c r="G15" s="582"/>
      <c r="H15" s="545"/>
      <c r="I15" s="83"/>
      <c r="J15" s="83"/>
      <c r="K15" s="945"/>
      <c r="L15" s="946"/>
    </row>
    <row r="16" spans="1:12" ht="15.4">
      <c r="A16" s="615"/>
      <c r="B16" s="1188" t="s">
        <v>786</v>
      </c>
      <c r="C16" s="1189"/>
      <c r="D16" s="1189"/>
      <c r="E16" s="1190"/>
      <c r="F16" s="938"/>
      <c r="G16" s="939"/>
      <c r="H16" s="547"/>
      <c r="I16" s="949"/>
      <c r="J16" s="122"/>
      <c r="K16" s="335"/>
      <c r="L16" s="940"/>
    </row>
    <row r="17" spans="1:12" ht="15.4">
      <c r="A17" s="615"/>
      <c r="B17" s="1191" t="s">
        <v>534</v>
      </c>
      <c r="C17" s="1192"/>
      <c r="D17" s="1192"/>
      <c r="E17" s="1193"/>
      <c r="F17" s="943"/>
      <c r="G17" s="582"/>
      <c r="H17" s="545"/>
      <c r="I17" s="169"/>
      <c r="J17" s="83"/>
      <c r="K17" s="945"/>
      <c r="L17" s="946"/>
    </row>
    <row r="18" spans="1:12" ht="15.4">
      <c r="A18" s="615"/>
      <c r="B18" s="1188" t="s">
        <v>787</v>
      </c>
      <c r="C18" s="1189"/>
      <c r="D18" s="1189"/>
      <c r="E18" s="1190"/>
      <c r="F18" s="938"/>
      <c r="G18" s="939"/>
      <c r="H18" s="547"/>
      <c r="I18" s="948"/>
      <c r="J18" s="122"/>
      <c r="K18" s="335"/>
      <c r="L18" s="940"/>
    </row>
    <row r="19" spans="1:12" ht="15.4">
      <c r="A19" s="615"/>
      <c r="B19" s="1188" t="s">
        <v>500</v>
      </c>
      <c r="C19" s="1189"/>
      <c r="D19" s="1189"/>
      <c r="E19" s="1190"/>
      <c r="F19" s="938"/>
      <c r="G19" s="939"/>
      <c r="H19" s="547"/>
      <c r="I19" s="550"/>
      <c r="J19" s="122"/>
      <c r="K19" s="335"/>
      <c r="L19" s="940"/>
    </row>
    <row r="20" spans="1:12" ht="15.4">
      <c r="A20" s="615"/>
      <c r="B20" s="1188" t="s">
        <v>537</v>
      </c>
      <c r="C20" s="1189"/>
      <c r="D20" s="1189"/>
      <c r="E20" s="1190"/>
      <c r="F20" s="938"/>
      <c r="G20" s="939"/>
      <c r="H20" s="547"/>
      <c r="I20" s="123"/>
      <c r="J20" s="122"/>
      <c r="K20" s="335"/>
      <c r="L20" s="940"/>
    </row>
    <row r="21" spans="1:12" ht="15.4">
      <c r="A21" s="615"/>
      <c r="B21" s="1191" t="s">
        <v>541</v>
      </c>
      <c r="C21" s="1192"/>
      <c r="D21" s="1192"/>
      <c r="E21" s="1193"/>
      <c r="F21" s="943"/>
      <c r="G21" s="582"/>
      <c r="H21" s="545"/>
      <c r="I21" s="947"/>
      <c r="J21" s="83"/>
      <c r="K21" s="945"/>
      <c r="L21" s="946"/>
    </row>
    <row r="22" spans="1:12" ht="15.4">
      <c r="A22" s="615"/>
      <c r="B22" s="1188" t="s">
        <v>788</v>
      </c>
      <c r="C22" s="1189"/>
      <c r="D22" s="1189"/>
      <c r="E22" s="1190"/>
      <c r="F22" s="938"/>
      <c r="G22" s="939"/>
      <c r="H22" s="547"/>
      <c r="I22" s="233"/>
      <c r="J22" s="122"/>
      <c r="K22" s="335"/>
      <c r="L22" s="940"/>
    </row>
    <row r="23" spans="1:12" ht="15.4">
      <c r="A23" s="615"/>
      <c r="B23" s="1188" t="s">
        <v>789</v>
      </c>
      <c r="C23" s="1189"/>
      <c r="D23" s="1189"/>
      <c r="E23" s="1190"/>
      <c r="F23" s="938"/>
      <c r="G23" s="939"/>
      <c r="H23" s="547"/>
      <c r="I23" s="233"/>
      <c r="J23" s="122"/>
      <c r="K23" s="335"/>
      <c r="L23" s="940"/>
    </row>
    <row r="24" spans="1:12" ht="15.4">
      <c r="A24" s="615"/>
      <c r="B24" s="1188" t="s">
        <v>790</v>
      </c>
      <c r="C24" s="1189"/>
      <c r="D24" s="1189"/>
      <c r="E24" s="1190"/>
      <c r="F24" s="938"/>
      <c r="G24" s="939"/>
      <c r="H24" s="547"/>
      <c r="I24" s="233"/>
      <c r="J24" s="122"/>
      <c r="K24" s="335"/>
      <c r="L24" s="940"/>
    </row>
    <row r="25" spans="1:12" ht="15.4">
      <c r="A25" s="615"/>
      <c r="B25" s="1200" t="s">
        <v>791</v>
      </c>
      <c r="C25" s="1201"/>
      <c r="D25" s="1201"/>
      <c r="E25" s="1202"/>
      <c r="F25" s="938"/>
      <c r="G25" s="939"/>
      <c r="H25" s="547"/>
      <c r="I25" s="233"/>
      <c r="J25" s="122"/>
      <c r="K25" s="335"/>
      <c r="L25" s="940"/>
    </row>
    <row r="26" spans="1:12" ht="15.4">
      <c r="A26" s="615"/>
      <c r="B26" s="1200" t="s">
        <v>792</v>
      </c>
      <c r="C26" s="1201"/>
      <c r="D26" s="1201"/>
      <c r="E26" s="1202"/>
      <c r="F26" s="938"/>
      <c r="G26" s="939"/>
      <c r="H26" s="547"/>
      <c r="I26" s="233"/>
      <c r="J26" s="122"/>
      <c r="K26" s="335"/>
      <c r="L26" s="940"/>
    </row>
    <row r="27" spans="1:12" ht="15.4">
      <c r="A27" s="615"/>
      <c r="B27" s="1188" t="s">
        <v>793</v>
      </c>
      <c r="C27" s="1189"/>
      <c r="D27" s="1189"/>
      <c r="E27" s="1190"/>
      <c r="F27" s="938"/>
      <c r="G27" s="939"/>
      <c r="H27" s="547"/>
      <c r="I27" s="233"/>
      <c r="J27" s="122"/>
      <c r="K27" s="335"/>
      <c r="L27" s="940"/>
    </row>
    <row r="28" spans="1:12" ht="15.4">
      <c r="A28" s="615"/>
      <c r="B28" s="1188" t="s">
        <v>794</v>
      </c>
      <c r="C28" s="1189"/>
      <c r="D28" s="1189"/>
      <c r="E28" s="1190"/>
      <c r="F28" s="938"/>
      <c r="G28" s="577"/>
      <c r="H28" s="547"/>
      <c r="I28" s="233"/>
      <c r="J28" s="233"/>
      <c r="K28" s="335"/>
      <c r="L28" s="940"/>
    </row>
    <row r="29" spans="1:12" ht="15.4">
      <c r="A29" s="615"/>
      <c r="B29" s="1191" t="s">
        <v>795</v>
      </c>
      <c r="C29" s="1192"/>
      <c r="D29" s="1192"/>
      <c r="E29" s="1193"/>
      <c r="F29" s="943"/>
      <c r="G29" s="944"/>
      <c r="H29" s="545"/>
      <c r="I29" s="165"/>
      <c r="J29" s="165"/>
      <c r="K29" s="945"/>
      <c r="L29" s="946"/>
    </row>
    <row r="30" spans="1:12" ht="15.4">
      <c r="A30" s="615"/>
      <c r="B30" s="1188" t="s">
        <v>796</v>
      </c>
      <c r="C30" s="1189"/>
      <c r="D30" s="1189"/>
      <c r="E30" s="1190"/>
      <c r="F30" s="938"/>
      <c r="G30" s="577"/>
      <c r="H30" s="547"/>
      <c r="I30" s="233"/>
      <c r="J30" s="233"/>
      <c r="K30" s="335"/>
      <c r="L30" s="940"/>
    </row>
    <row r="31" spans="1:12" ht="15.4">
      <c r="A31" s="615"/>
      <c r="B31" s="1191" t="s">
        <v>797</v>
      </c>
      <c r="C31" s="1192"/>
      <c r="D31" s="1192"/>
      <c r="E31" s="1193"/>
      <c r="F31" s="943"/>
      <c r="G31" s="944"/>
      <c r="H31" s="545"/>
      <c r="I31" s="165"/>
      <c r="J31" s="165"/>
      <c r="K31" s="945"/>
      <c r="L31" s="946"/>
    </row>
    <row r="32" spans="1:12" ht="15.4">
      <c r="A32" s="615"/>
      <c r="B32" s="1188" t="s">
        <v>783</v>
      </c>
      <c r="C32" s="1189"/>
      <c r="D32" s="1189"/>
      <c r="E32" s="1190"/>
      <c r="F32" s="938"/>
      <c r="G32" s="586"/>
      <c r="H32" s="547"/>
      <c r="I32" s="233"/>
      <c r="J32" s="966"/>
      <c r="K32" s="335"/>
      <c r="L32" s="940"/>
    </row>
    <row r="33" spans="1:12" ht="15.4">
      <c r="A33" s="107"/>
      <c r="B33" s="1188" t="s">
        <v>784</v>
      </c>
      <c r="C33" s="1189"/>
      <c r="D33" s="1189"/>
      <c r="E33" s="1190"/>
      <c r="F33" s="938"/>
      <c r="G33" s="942"/>
      <c r="H33" s="624"/>
      <c r="I33" s="966"/>
      <c r="J33" s="965"/>
      <c r="K33" s="335"/>
      <c r="L33" s="940"/>
    </row>
    <row r="34" spans="1:12" ht="15.4">
      <c r="A34" s="615"/>
      <c r="B34" s="1188" t="s">
        <v>798</v>
      </c>
      <c r="C34" s="1189"/>
      <c r="D34" s="1189"/>
      <c r="E34" s="1190"/>
      <c r="F34" s="938"/>
      <c r="G34" s="941"/>
      <c r="H34" s="625"/>
      <c r="I34" s="233"/>
      <c r="J34" s="122"/>
      <c r="K34" s="335"/>
      <c r="L34" s="940"/>
    </row>
    <row r="35" spans="1:12" ht="15.4">
      <c r="A35" s="615"/>
      <c r="B35" s="1191" t="s">
        <v>786</v>
      </c>
      <c r="C35" s="1192"/>
      <c r="D35" s="1192"/>
      <c r="E35" s="1193"/>
      <c r="F35" s="943"/>
      <c r="G35" s="584"/>
      <c r="H35" s="549"/>
      <c r="I35" s="165"/>
      <c r="J35" s="83"/>
      <c r="K35" s="945"/>
      <c r="L35" s="946"/>
    </row>
    <row r="36" spans="1:12" ht="15.4">
      <c r="A36" s="615"/>
      <c r="B36" s="1188" t="s">
        <v>497</v>
      </c>
      <c r="C36" s="1189"/>
      <c r="D36" s="1189"/>
      <c r="E36" s="1190"/>
      <c r="F36" s="938"/>
      <c r="G36" s="939"/>
      <c r="H36" s="547"/>
      <c r="I36" s="122"/>
      <c r="J36" s="233"/>
      <c r="K36" s="335"/>
      <c r="L36" s="940"/>
    </row>
    <row r="37" spans="1:12">
      <c r="A37" s="615"/>
      <c r="B37" s="1188" t="s">
        <v>787</v>
      </c>
      <c r="C37" s="1189"/>
      <c r="D37" s="1189"/>
      <c r="E37" s="1190"/>
      <c r="F37" s="122"/>
      <c r="G37" s="939"/>
      <c r="H37" s="547"/>
      <c r="I37" s="233"/>
      <c r="J37" s="233"/>
      <c r="K37" s="335"/>
      <c r="L37" s="940"/>
    </row>
    <row r="38" spans="1:12">
      <c r="A38" s="615"/>
      <c r="B38" s="1188" t="s">
        <v>799</v>
      </c>
      <c r="C38" s="1189"/>
      <c r="D38" s="1189"/>
      <c r="E38" s="1190"/>
      <c r="F38" s="122"/>
      <c r="G38" s="939"/>
      <c r="H38" s="547"/>
      <c r="I38" s="233"/>
      <c r="J38" s="233"/>
      <c r="K38" s="335"/>
      <c r="L38" s="940"/>
    </row>
    <row r="39" spans="1:12" ht="14.65" thickBot="1">
      <c r="A39" s="615"/>
      <c r="B39" s="1194"/>
      <c r="C39" s="1195"/>
      <c r="D39" s="1195"/>
      <c r="E39" s="1196"/>
      <c r="F39" s="537"/>
      <c r="G39" s="836"/>
      <c r="H39" s="773"/>
      <c r="I39" s="835"/>
      <c r="J39" s="825"/>
      <c r="K39" s="837"/>
      <c r="L39" s="830"/>
    </row>
    <row r="40" spans="1:12">
      <c r="A40" s="615"/>
      <c r="B40" s="967"/>
      <c r="C40" s="60"/>
      <c r="D40" s="60"/>
      <c r="E40" s="60"/>
      <c r="F40" s="60"/>
      <c r="G40" s="60"/>
      <c r="H40" s="60"/>
      <c r="I40" s="60"/>
      <c r="J40" s="41"/>
    </row>
    <row r="41" spans="1:12">
      <c r="A41" s="615"/>
      <c r="B41" s="844"/>
      <c r="C41" s="1197" t="s">
        <v>800</v>
      </c>
      <c r="D41" s="1198"/>
      <c r="E41" s="1198"/>
      <c r="F41" s="1199"/>
      <c r="G41" s="1186" t="s">
        <v>806</v>
      </c>
      <c r="H41" s="1187"/>
      <c r="I41" s="315"/>
      <c r="J41" s="845"/>
      <c r="K41" s="851"/>
      <c r="L41" s="852"/>
    </row>
    <row r="42" spans="1:12">
      <c r="A42" s="615"/>
      <c r="B42" s="846"/>
      <c r="C42" s="853" t="s">
        <v>801</v>
      </c>
      <c r="D42" s="853" t="s">
        <v>802</v>
      </c>
      <c r="E42" s="853" t="s">
        <v>803</v>
      </c>
      <c r="F42" s="853" t="s">
        <v>804</v>
      </c>
      <c r="G42" s="1154" t="s">
        <v>807</v>
      </c>
      <c r="H42" s="1156"/>
      <c r="I42" s="1177" t="s">
        <v>808</v>
      </c>
      <c r="J42" s="1178"/>
      <c r="K42" s="1179"/>
      <c r="L42" s="857">
        <v>31</v>
      </c>
    </row>
    <row r="43" spans="1:12">
      <c r="A43" s="615"/>
      <c r="B43" s="624"/>
      <c r="C43" s="624" t="s">
        <v>805</v>
      </c>
      <c r="D43" s="624" t="s">
        <v>805</v>
      </c>
      <c r="E43" s="624" t="s">
        <v>805</v>
      </c>
      <c r="F43" s="624" t="s">
        <v>805</v>
      </c>
      <c r="G43" s="855" t="s">
        <v>715</v>
      </c>
      <c r="H43" s="855" t="s">
        <v>716</v>
      </c>
      <c r="I43" s="1177" t="s">
        <v>809</v>
      </c>
      <c r="J43" s="1178"/>
      <c r="K43" s="1178"/>
      <c r="L43" s="857">
        <v>978.3</v>
      </c>
    </row>
    <row r="44" spans="1:12">
      <c r="A44" s="615"/>
      <c r="B44" s="847" t="s">
        <v>713</v>
      </c>
      <c r="C44" s="850"/>
      <c r="D44" s="850"/>
      <c r="E44" s="850"/>
      <c r="F44" s="850"/>
      <c r="G44" s="850"/>
      <c r="H44" s="850"/>
      <c r="I44" s="1180" t="s">
        <v>812</v>
      </c>
      <c r="J44" s="1182" t="s">
        <v>813</v>
      </c>
      <c r="K44" s="1183"/>
      <c r="L44" s="854"/>
    </row>
    <row r="45" spans="1:12">
      <c r="A45" s="615"/>
      <c r="B45" s="848" t="s">
        <v>810</v>
      </c>
      <c r="C45" s="578"/>
      <c r="D45" s="578"/>
      <c r="E45" s="578"/>
      <c r="F45" s="578"/>
      <c r="G45" s="578"/>
      <c r="H45" s="578"/>
      <c r="I45" s="1181"/>
      <c r="J45" s="1184" t="s">
        <v>814</v>
      </c>
      <c r="K45" s="1185"/>
      <c r="L45" s="856"/>
    </row>
    <row r="46" spans="1:12" ht="14.65" thickBot="1">
      <c r="A46" s="615"/>
      <c r="B46" s="858" t="s">
        <v>811</v>
      </c>
      <c r="C46" s="859"/>
      <c r="D46" s="859"/>
      <c r="E46" s="859"/>
      <c r="F46" s="859"/>
      <c r="G46" s="859"/>
      <c r="H46" s="859"/>
      <c r="I46" s="574"/>
      <c r="J46" s="594"/>
      <c r="K46" s="572"/>
      <c r="L46" s="860"/>
    </row>
    <row r="47" spans="1:12" ht="14.65" thickTop="1">
      <c r="A47" s="189"/>
      <c r="B47" s="866" t="s">
        <v>467</v>
      </c>
      <c r="C47" s="861"/>
      <c r="D47" s="861"/>
      <c r="E47" s="862"/>
      <c r="F47" s="863"/>
      <c r="G47" s="863"/>
      <c r="H47" s="862"/>
      <c r="I47" s="863"/>
      <c r="J47" s="863"/>
      <c r="K47" s="864"/>
      <c r="L47" s="865"/>
    </row>
    <row r="48" spans="1:12">
      <c r="A48" s="615"/>
      <c r="B48" s="762"/>
      <c r="C48" s="60"/>
      <c r="D48" s="60"/>
      <c r="E48" s="60"/>
      <c r="F48" s="60"/>
      <c r="G48" s="60"/>
      <c r="H48" s="60"/>
      <c r="I48" s="205"/>
      <c r="J48" s="617"/>
      <c r="K48" s="292"/>
      <c r="L48" s="849"/>
    </row>
    <row r="49" spans="1:12">
      <c r="A49" s="615"/>
      <c r="B49" s="867"/>
      <c r="C49" s="617"/>
      <c r="D49" s="617"/>
      <c r="E49" s="617"/>
      <c r="F49" s="617"/>
      <c r="G49" s="617"/>
      <c r="H49" s="617"/>
      <c r="I49" s="617"/>
      <c r="J49" s="60"/>
      <c r="K49" s="292"/>
      <c r="L49" s="849"/>
    </row>
    <row r="50" spans="1:12" ht="14.65" thickBot="1">
      <c r="A50" s="615"/>
      <c r="B50" s="873"/>
      <c r="C50" s="874"/>
      <c r="D50" s="874"/>
      <c r="E50" s="874"/>
      <c r="F50" s="874"/>
      <c r="G50" s="875"/>
      <c r="H50" s="876"/>
      <c r="I50" s="874"/>
      <c r="J50" s="574"/>
      <c r="K50" s="877"/>
      <c r="L50" s="878"/>
    </row>
    <row r="51" spans="1:12" ht="14.65" thickTop="1">
      <c r="A51" s="615"/>
      <c r="B51" s="1169" t="s">
        <v>289</v>
      </c>
      <c r="C51" s="1170"/>
      <c r="D51" s="1171"/>
      <c r="E51" s="1169" t="s">
        <v>815</v>
      </c>
      <c r="F51" s="1170"/>
      <c r="G51" s="1170"/>
      <c r="H51" s="1171"/>
      <c r="I51" s="871" t="s">
        <v>816</v>
      </c>
      <c r="J51" s="872"/>
      <c r="K51" s="872"/>
      <c r="L51" s="869"/>
    </row>
    <row r="52" spans="1:12">
      <c r="A52" s="292"/>
      <c r="B52" s="1169"/>
      <c r="C52" s="1172"/>
      <c r="D52" s="1171"/>
      <c r="E52" s="1169"/>
      <c r="F52" s="1172"/>
      <c r="G52" s="1172"/>
      <c r="H52" s="1171"/>
      <c r="I52" s="1173"/>
      <c r="J52" s="1174"/>
      <c r="K52" s="868"/>
      <c r="L52" s="869"/>
    </row>
    <row r="53" spans="1:12" ht="17.25" customHeight="1">
      <c r="A53" s="292"/>
      <c r="B53" s="870" t="s">
        <v>817</v>
      </c>
      <c r="C53" s="963" t="s">
        <v>818</v>
      </c>
      <c r="D53" s="964" t="s">
        <v>819</v>
      </c>
      <c r="E53" s="870" t="s">
        <v>817</v>
      </c>
      <c r="F53" s="1175" t="s">
        <v>819</v>
      </c>
      <c r="G53" s="1175"/>
      <c r="H53" s="1176"/>
      <c r="I53" s="870" t="s">
        <v>817</v>
      </c>
      <c r="J53" s="963"/>
      <c r="K53" s="963" t="s">
        <v>819</v>
      </c>
      <c r="L53" s="964"/>
    </row>
    <row r="54" spans="1:12">
      <c r="A54" s="292"/>
      <c r="B54" s="205"/>
      <c r="C54" s="205"/>
      <c r="D54" s="60"/>
      <c r="E54" s="205"/>
      <c r="F54" s="205"/>
      <c r="G54" s="60"/>
      <c r="H54" s="205"/>
      <c r="I54" s="205"/>
      <c r="J54" s="60"/>
    </row>
    <row r="55" spans="1:12">
      <c r="B55" s="619"/>
      <c r="C55" s="60"/>
      <c r="D55" s="60"/>
      <c r="E55" s="60"/>
      <c r="F55" s="60"/>
      <c r="G55" s="60"/>
      <c r="H55" s="60"/>
      <c r="I55" s="60"/>
      <c r="J55" s="615"/>
    </row>
    <row r="56" spans="1:12">
      <c r="B56" s="292"/>
      <c r="C56" s="292"/>
      <c r="D56" s="292"/>
      <c r="E56" s="292"/>
      <c r="F56" s="292"/>
      <c r="G56" s="292"/>
      <c r="H56" s="292"/>
      <c r="I56" s="292"/>
      <c r="J56" s="292"/>
    </row>
    <row r="57" spans="1:12">
      <c r="B57" s="292"/>
      <c r="C57" s="292"/>
      <c r="D57" s="292"/>
      <c r="E57" s="292"/>
      <c r="F57" s="292"/>
      <c r="G57" s="292"/>
      <c r="H57" s="292"/>
      <c r="I57" s="292"/>
      <c r="J57" s="292"/>
    </row>
    <row r="58" spans="1:12">
      <c r="B58" s="292"/>
      <c r="C58" s="292"/>
      <c r="D58" s="292"/>
      <c r="E58" s="292"/>
      <c r="F58" s="292"/>
      <c r="G58" s="292"/>
      <c r="H58" s="292"/>
      <c r="I58" s="292"/>
      <c r="J58" s="292"/>
    </row>
  </sheetData>
  <mergeCells count="46">
    <mergeCell ref="B17:E17"/>
    <mergeCell ref="E1:I2"/>
    <mergeCell ref="F8:G8"/>
    <mergeCell ref="I8:K8"/>
    <mergeCell ref="B9:E9"/>
    <mergeCell ref="B10:E10"/>
    <mergeCell ref="B11:E11"/>
    <mergeCell ref="B12:E12"/>
    <mergeCell ref="B13:E13"/>
    <mergeCell ref="B14:E14"/>
    <mergeCell ref="B15:E15"/>
    <mergeCell ref="B16:E16"/>
    <mergeCell ref="B29:E29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G41:H41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C41:F41"/>
    <mergeCell ref="B51:D52"/>
    <mergeCell ref="E51:H52"/>
    <mergeCell ref="I52:J52"/>
    <mergeCell ref="F53:H53"/>
    <mergeCell ref="G42:H42"/>
    <mergeCell ref="I42:K42"/>
    <mergeCell ref="I43:K43"/>
    <mergeCell ref="I44:I45"/>
    <mergeCell ref="J44:K44"/>
    <mergeCell ref="J45:K45"/>
  </mergeCells>
  <dataValidations count="1">
    <dataValidation type="list" allowBlank="1" showInputMessage="1" showErrorMessage="1" sqref="B9:E23 B24:B39 C25:E39" xr:uid="{DF2A803B-FBD3-4065-9B07-ADB864058D52}">
      <formula1>$P$1:$P$60</formula1>
    </dataValidation>
  </dataValidations>
  <pageMargins left="0.32500000000000001" right="0.32500000000000001" top="0.20833333333333334" bottom="0.1" header="0.3" footer="0.3"/>
  <pageSetup paperSize="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97B0-9E7C-4309-8E67-D40A130A40C2}">
  <sheetPr codeName="Лист7">
    <tabColor theme="3" tint="0.39997558519241921"/>
  </sheetPr>
  <dimension ref="A1:L58"/>
  <sheetViews>
    <sheetView view="pageLayout" zoomScaleNormal="100" zoomScaleSheetLayoutView="110" workbookViewId="0">
      <selection activeCell="E51" sqref="E51"/>
    </sheetView>
  </sheetViews>
  <sheetFormatPr defaultColWidth="8.86328125" defaultRowHeight="14.25"/>
  <cols>
    <col min="1" max="1" width="6.33203125" customWidth="1"/>
    <col min="2" max="2" width="11.46484375" customWidth="1"/>
    <col min="3" max="4" width="9.46484375" customWidth="1"/>
    <col min="6" max="6" width="8" customWidth="1"/>
    <col min="7" max="7" width="6.86328125" customWidth="1"/>
    <col min="8" max="8" width="10.796875" customWidth="1"/>
    <col min="9" max="9" width="15.6640625" customWidth="1"/>
    <col min="10" max="10" width="10" customWidth="1"/>
    <col min="11" max="11" width="6.1328125" customWidth="1"/>
    <col min="12" max="12" width="7.53125" customWidth="1"/>
  </cols>
  <sheetData>
    <row r="1" spans="1:12" ht="28.25" customHeight="1">
      <c r="A1" s="1209" t="str">
        <f>[1]Data!C3</f>
        <v>T. Alendal Rederi AS</v>
      </c>
      <c r="B1" s="1209"/>
      <c r="C1" s="1209"/>
      <c r="D1" s="1209"/>
      <c r="E1" s="1209"/>
      <c r="F1" s="1209"/>
      <c r="G1" s="1209"/>
      <c r="H1" s="1209"/>
      <c r="I1" s="1209"/>
      <c r="J1" s="1209"/>
      <c r="K1" s="292"/>
      <c r="L1" s="292"/>
    </row>
    <row r="2" spans="1:12" ht="21.75" customHeight="1">
      <c r="A2" s="1210" t="s">
        <v>863</v>
      </c>
      <c r="B2" s="1210"/>
      <c r="C2" s="1210"/>
      <c r="D2" s="1210"/>
      <c r="E2" s="1210"/>
      <c r="F2" s="1210"/>
      <c r="G2" s="1210"/>
      <c r="H2" s="1210"/>
      <c r="I2" s="1210"/>
      <c r="J2" s="1210"/>
      <c r="K2" s="292"/>
      <c r="L2" s="292"/>
    </row>
    <row r="3" spans="1:12" ht="14.45" customHeight="1">
      <c r="A3" s="1211" t="s">
        <v>828</v>
      </c>
      <c r="B3" s="1211"/>
      <c r="C3" s="1211"/>
      <c r="D3" s="1211"/>
      <c r="E3" s="1211"/>
      <c r="F3" s="1211"/>
      <c r="G3" s="1211"/>
      <c r="H3" s="1211"/>
      <c r="I3" s="1211"/>
      <c r="J3" s="1211"/>
      <c r="K3" s="615"/>
      <c r="L3" s="615"/>
    </row>
    <row r="4" spans="1:12">
      <c r="A4" s="972"/>
      <c r="B4" s="972"/>
      <c r="C4" s="972"/>
      <c r="D4" s="972"/>
      <c r="E4" s="972"/>
      <c r="F4" s="972"/>
      <c r="G4" s="972"/>
      <c r="H4" s="999"/>
      <c r="I4" s="999"/>
      <c r="J4" s="999"/>
      <c r="K4" s="615"/>
      <c r="L4" s="615"/>
    </row>
    <row r="5" spans="1:12" ht="14.45" customHeight="1">
      <c r="A5" s="978" t="s">
        <v>1</v>
      </c>
      <c r="B5" s="994">
        <f ca="1">TODAY()</f>
        <v>46054</v>
      </c>
      <c r="C5" s="972"/>
      <c r="D5" s="972"/>
      <c r="E5" s="999"/>
      <c r="F5" s="999"/>
      <c r="G5" s="974"/>
      <c r="H5" s="978" t="s">
        <v>489</v>
      </c>
      <c r="I5" s="975" t="str">
        <f>[1]Data!B9</f>
        <v>LCO</v>
      </c>
      <c r="J5" s="999"/>
      <c r="K5" s="615"/>
      <c r="L5" s="615"/>
    </row>
    <row r="6" spans="1:12" ht="14.45" customHeight="1">
      <c r="A6" s="978" t="s">
        <v>14</v>
      </c>
      <c r="B6" s="976" t="str">
        <f>[1]Data!B6</f>
        <v xml:space="preserve">Hovic </v>
      </c>
      <c r="C6" s="972"/>
      <c r="D6" s="972"/>
      <c r="E6" s="999"/>
      <c r="F6" s="999"/>
      <c r="G6" s="976"/>
      <c r="H6" s="978" t="s">
        <v>569</v>
      </c>
      <c r="I6" s="977">
        <f>[1]Data!B5</f>
        <v>166</v>
      </c>
      <c r="J6" s="999"/>
      <c r="K6" s="615"/>
      <c r="L6" s="615"/>
    </row>
    <row r="7" spans="1:12" ht="14.45" customHeight="1">
      <c r="A7" s="972"/>
      <c r="B7" s="972"/>
      <c r="C7" s="972"/>
      <c r="D7" s="972"/>
      <c r="E7" s="999"/>
      <c r="F7" s="999"/>
      <c r="G7" s="975"/>
      <c r="H7" s="999"/>
      <c r="I7" s="999"/>
      <c r="J7" s="999"/>
      <c r="K7" s="292"/>
      <c r="L7" s="292"/>
    </row>
    <row r="8" spans="1:12" ht="21.75" customHeight="1">
      <c r="A8" s="1210" t="s">
        <v>560</v>
      </c>
      <c r="B8" s="1210"/>
      <c r="C8" s="1210"/>
      <c r="D8" s="1210"/>
      <c r="E8" s="1210"/>
      <c r="F8" s="1210"/>
      <c r="G8" s="1210"/>
      <c r="H8" s="1210"/>
      <c r="I8" s="1210"/>
      <c r="J8" s="1210"/>
      <c r="K8" s="293"/>
      <c r="L8" s="292"/>
    </row>
    <row r="9" spans="1:12">
      <c r="A9" s="972"/>
      <c r="B9" s="973"/>
      <c r="C9" s="973"/>
      <c r="D9" s="978"/>
      <c r="E9" s="1212" t="s">
        <v>551</v>
      </c>
      <c r="F9" s="1212"/>
      <c r="G9" s="1213" t="s">
        <v>829</v>
      </c>
      <c r="H9" s="1213"/>
      <c r="I9" s="999"/>
      <c r="J9" s="999"/>
      <c r="K9" s="292"/>
      <c r="L9" s="292"/>
    </row>
    <row r="10" spans="1:12">
      <c r="A10" s="1214" t="s">
        <v>830</v>
      </c>
      <c r="B10" s="1214"/>
      <c r="C10" s="1214"/>
      <c r="D10" s="1214"/>
      <c r="E10" s="1215"/>
      <c r="F10" s="1216"/>
      <c r="G10" s="1217"/>
      <c r="H10" s="1217"/>
      <c r="I10" s="1218" t="s">
        <v>831</v>
      </c>
      <c r="J10" s="1212"/>
      <c r="K10" s="292"/>
      <c r="L10" s="292"/>
    </row>
    <row r="11" spans="1:12">
      <c r="A11" s="1214" t="s">
        <v>832</v>
      </c>
      <c r="B11" s="1214"/>
      <c r="C11" s="1214"/>
      <c r="D11" s="1214"/>
      <c r="E11" s="1215"/>
      <c r="F11" s="1216"/>
      <c r="G11" s="1219"/>
      <c r="H11" s="1219"/>
      <c r="I11" s="1002" t="s">
        <v>833</v>
      </c>
      <c r="J11" s="979"/>
      <c r="K11" s="292"/>
      <c r="L11" s="292"/>
    </row>
    <row r="12" spans="1:12">
      <c r="A12" s="1214" t="s">
        <v>834</v>
      </c>
      <c r="B12" s="1214"/>
      <c r="C12" s="1214"/>
      <c r="D12" s="1214"/>
      <c r="E12" s="1215"/>
      <c r="F12" s="1216"/>
      <c r="G12" s="1220"/>
      <c r="H12" s="1221"/>
      <c r="I12" s="1002" t="s">
        <v>835</v>
      </c>
      <c r="J12" s="979"/>
      <c r="K12" s="292"/>
      <c r="L12" s="292"/>
    </row>
    <row r="13" spans="1:12">
      <c r="A13" s="1214" t="s">
        <v>836</v>
      </c>
      <c r="B13" s="1214"/>
      <c r="C13" s="1214"/>
      <c r="D13" s="1214"/>
      <c r="E13" s="1215"/>
      <c r="F13" s="1216"/>
      <c r="G13" s="1222"/>
      <c r="H13" s="1222"/>
      <c r="I13" s="1218"/>
      <c r="J13" s="1212"/>
      <c r="K13" s="292"/>
      <c r="L13" s="292"/>
    </row>
    <row r="14" spans="1:12">
      <c r="A14" s="1214" t="s">
        <v>837</v>
      </c>
      <c r="B14" s="1214"/>
      <c r="C14" s="1214"/>
      <c r="D14" s="1214"/>
      <c r="E14" s="1215"/>
      <c r="F14" s="1216"/>
      <c r="G14" s="1217"/>
      <c r="H14" s="1217"/>
      <c r="I14" s="1218"/>
      <c r="J14" s="1212"/>
      <c r="K14" s="292"/>
      <c r="L14" s="292"/>
    </row>
    <row r="15" spans="1:12">
      <c r="A15" s="1214" t="s">
        <v>838</v>
      </c>
      <c r="B15" s="1214"/>
      <c r="C15" s="1214"/>
      <c r="D15" s="1214"/>
      <c r="E15" s="1215"/>
      <c r="F15" s="1216"/>
      <c r="G15" s="1217"/>
      <c r="H15" s="1217"/>
      <c r="I15" s="1218"/>
      <c r="J15" s="1212"/>
      <c r="K15" s="292"/>
      <c r="L15" s="292"/>
    </row>
    <row r="16" spans="1:12">
      <c r="A16" s="1214" t="s">
        <v>839</v>
      </c>
      <c r="B16" s="1214"/>
      <c r="C16" s="1214"/>
      <c r="D16" s="1214"/>
      <c r="E16" s="1215"/>
      <c r="F16" s="1216"/>
      <c r="G16" s="1217"/>
      <c r="H16" s="1217"/>
      <c r="I16" s="1218"/>
      <c r="J16" s="1212"/>
      <c r="K16" s="292"/>
      <c r="L16" s="292"/>
    </row>
    <row r="17" spans="1:12">
      <c r="A17" s="1223" t="s">
        <v>840</v>
      </c>
      <c r="B17" s="1224"/>
      <c r="C17" s="1224"/>
      <c r="D17" s="1225"/>
      <c r="E17" s="1215"/>
      <c r="F17" s="1216"/>
      <c r="G17" s="1217"/>
      <c r="H17" s="1217"/>
      <c r="I17" s="1226"/>
      <c r="J17" s="1227"/>
      <c r="K17" s="292"/>
      <c r="L17" s="292"/>
    </row>
    <row r="18" spans="1:12">
      <c r="A18" s="1214" t="s">
        <v>841</v>
      </c>
      <c r="B18" s="1214"/>
      <c r="C18" s="1214"/>
      <c r="D18" s="1214"/>
      <c r="E18" s="1215"/>
      <c r="F18" s="1216"/>
      <c r="G18" s="1217"/>
      <c r="H18" s="1217"/>
      <c r="I18" s="1226"/>
      <c r="J18" s="1227"/>
      <c r="K18" s="292"/>
      <c r="L18" s="292"/>
    </row>
    <row r="19" spans="1:12">
      <c r="A19" s="1214" t="s">
        <v>842</v>
      </c>
      <c r="B19" s="1214"/>
      <c r="C19" s="1214"/>
      <c r="D19" s="1214"/>
      <c r="E19" s="1215"/>
      <c r="F19" s="1216"/>
      <c r="G19" s="1217"/>
      <c r="H19" s="1217"/>
      <c r="I19" s="1226"/>
      <c r="J19" s="1227"/>
      <c r="K19" s="292"/>
      <c r="L19" s="292"/>
    </row>
    <row r="20" spans="1:12">
      <c r="A20" s="1214" t="s">
        <v>843</v>
      </c>
      <c r="B20" s="1214"/>
      <c r="C20" s="1214"/>
      <c r="D20" s="1214"/>
      <c r="E20" s="1215"/>
      <c r="F20" s="1216"/>
      <c r="G20" s="1217"/>
      <c r="H20" s="1217"/>
      <c r="I20" s="1226"/>
      <c r="J20" s="1227"/>
      <c r="K20" s="292"/>
      <c r="L20" s="292"/>
    </row>
    <row r="21" spans="1:12">
      <c r="A21" s="1214" t="s">
        <v>844</v>
      </c>
      <c r="B21" s="1214"/>
      <c r="C21" s="1214"/>
      <c r="D21" s="1214"/>
      <c r="E21" s="1215"/>
      <c r="F21" s="1216"/>
      <c r="G21" s="1217"/>
      <c r="H21" s="1217"/>
      <c r="I21" s="1226"/>
      <c r="J21" s="1227"/>
      <c r="K21" s="292"/>
      <c r="L21" s="292"/>
    </row>
    <row r="22" spans="1:12">
      <c r="A22" s="1214" t="s">
        <v>845</v>
      </c>
      <c r="B22" s="1214"/>
      <c r="C22" s="1214"/>
      <c r="D22" s="1214"/>
      <c r="E22" s="1215"/>
      <c r="F22" s="1216"/>
      <c r="G22" s="1217"/>
      <c r="H22" s="1217"/>
      <c r="I22" s="1218" t="s">
        <v>846</v>
      </c>
      <c r="J22" s="1212"/>
      <c r="K22" s="292"/>
      <c r="L22" s="292"/>
    </row>
    <row r="23" spans="1:12">
      <c r="A23" s="1214" t="s">
        <v>847</v>
      </c>
      <c r="B23" s="1214"/>
      <c r="C23" s="1214"/>
      <c r="D23" s="1214"/>
      <c r="E23" s="1215"/>
      <c r="F23" s="1216"/>
      <c r="G23" s="1217"/>
      <c r="H23" s="1217"/>
      <c r="I23" s="995" t="s">
        <v>833</v>
      </c>
      <c r="J23" s="979"/>
      <c r="K23" s="292"/>
      <c r="L23" s="292"/>
    </row>
    <row r="24" spans="1:12">
      <c r="A24" s="1214" t="s">
        <v>848</v>
      </c>
      <c r="B24" s="1214"/>
      <c r="C24" s="1214"/>
      <c r="D24" s="1214"/>
      <c r="E24" s="1215"/>
      <c r="F24" s="1216"/>
      <c r="G24" s="1217"/>
      <c r="H24" s="1217"/>
      <c r="I24" s="1002" t="s">
        <v>835</v>
      </c>
      <c r="J24" s="979"/>
      <c r="K24" s="292"/>
      <c r="L24" s="292"/>
    </row>
    <row r="25" spans="1:12">
      <c r="A25" s="1214" t="s">
        <v>832</v>
      </c>
      <c r="B25" s="1214"/>
      <c r="C25" s="1214"/>
      <c r="D25" s="1214"/>
      <c r="E25" s="1215"/>
      <c r="F25" s="1216"/>
      <c r="G25" s="1217"/>
      <c r="H25" s="1217"/>
      <c r="I25" s="1218"/>
      <c r="J25" s="1212"/>
      <c r="K25" s="292"/>
      <c r="L25" s="292"/>
    </row>
    <row r="26" spans="1:12">
      <c r="A26" s="1214" t="s">
        <v>849</v>
      </c>
      <c r="B26" s="1214"/>
      <c r="C26" s="1214"/>
      <c r="D26" s="1214"/>
      <c r="E26" s="1215"/>
      <c r="F26" s="1216"/>
      <c r="G26" s="1217"/>
      <c r="H26" s="1217"/>
      <c r="I26" s="1218"/>
      <c r="J26" s="1212"/>
      <c r="K26" s="292"/>
      <c r="L26" s="292"/>
    </row>
    <row r="27" spans="1:12">
      <c r="A27" s="1214" t="s">
        <v>850</v>
      </c>
      <c r="B27" s="1214"/>
      <c r="C27" s="1214"/>
      <c r="D27" s="1214"/>
      <c r="E27" s="1215"/>
      <c r="F27" s="1216"/>
      <c r="G27" s="1217"/>
      <c r="H27" s="1217"/>
      <c r="I27" s="1218"/>
      <c r="J27" s="1212"/>
      <c r="K27" s="292"/>
      <c r="L27" s="292"/>
    </row>
    <row r="28" spans="1:12">
      <c r="A28" s="980"/>
      <c r="B28" s="980"/>
      <c r="C28" s="981"/>
      <c r="D28" s="980"/>
      <c r="E28" s="980"/>
      <c r="F28" s="982"/>
      <c r="G28" s="980"/>
      <c r="H28" s="354"/>
      <c r="I28" s="354"/>
      <c r="J28" s="354"/>
      <c r="K28" s="292"/>
      <c r="L28" s="292"/>
    </row>
    <row r="29" spans="1:12">
      <c r="A29" s="354"/>
      <c r="B29" s="354"/>
      <c r="C29" s="1231" t="s">
        <v>851</v>
      </c>
      <c r="D29" s="1231"/>
      <c r="E29" s="1231" t="s">
        <v>852</v>
      </c>
      <c r="F29" s="1231"/>
      <c r="G29" s="1231" t="s">
        <v>853</v>
      </c>
      <c r="H29" s="1231"/>
      <c r="I29" s="1231" t="s">
        <v>854</v>
      </c>
      <c r="J29" s="1231"/>
      <c r="K29" s="292"/>
      <c r="L29" s="292"/>
    </row>
    <row r="30" spans="1:12">
      <c r="A30" s="983"/>
      <c r="B30" s="984"/>
      <c r="C30" s="985" t="s">
        <v>551</v>
      </c>
      <c r="D30" s="986" t="s">
        <v>550</v>
      </c>
      <c r="E30" s="985" t="s">
        <v>551</v>
      </c>
      <c r="F30" s="986" t="s">
        <v>550</v>
      </c>
      <c r="G30" s="985" t="s">
        <v>551</v>
      </c>
      <c r="H30" s="986" t="s">
        <v>550</v>
      </c>
      <c r="I30" s="985" t="s">
        <v>551</v>
      </c>
      <c r="J30" s="986"/>
      <c r="K30" s="292"/>
      <c r="L30" s="292"/>
    </row>
    <row r="31" spans="1:12">
      <c r="A31" s="1232" t="s">
        <v>842</v>
      </c>
      <c r="B31" s="1232"/>
      <c r="C31" s="987"/>
      <c r="D31" s="1001"/>
      <c r="E31" s="987"/>
      <c r="F31" s="1001"/>
      <c r="G31" s="987"/>
      <c r="H31" s="1001"/>
      <c r="I31" s="987"/>
      <c r="J31" s="988"/>
      <c r="K31" s="292"/>
      <c r="L31" s="292"/>
    </row>
    <row r="32" spans="1:12">
      <c r="A32" s="1229" t="s">
        <v>855</v>
      </c>
      <c r="B32" s="1230"/>
      <c r="C32" s="987"/>
      <c r="D32" s="1001"/>
      <c r="E32" s="987"/>
      <c r="F32" s="1001"/>
      <c r="G32" s="987"/>
      <c r="H32" s="1001"/>
      <c r="I32" s="987"/>
      <c r="J32" s="988"/>
      <c r="K32" s="292"/>
      <c r="L32" s="292"/>
    </row>
    <row r="33" spans="1:12">
      <c r="A33" s="1229" t="s">
        <v>856</v>
      </c>
      <c r="B33" s="1230"/>
      <c r="C33" s="987"/>
      <c r="D33" s="1001"/>
      <c r="E33" s="987"/>
      <c r="F33" s="1001"/>
      <c r="G33" s="987"/>
      <c r="H33" s="1001"/>
      <c r="I33" s="987"/>
      <c r="J33" s="988"/>
      <c r="K33" s="292"/>
      <c r="L33" s="292"/>
    </row>
    <row r="34" spans="1:12">
      <c r="A34" s="1235" t="s">
        <v>845</v>
      </c>
      <c r="B34" s="1236"/>
      <c r="C34" s="987"/>
      <c r="D34" s="1001"/>
      <c r="E34" s="987"/>
      <c r="F34" s="1001"/>
      <c r="G34" s="987"/>
      <c r="H34" s="1001"/>
      <c r="I34" s="987"/>
      <c r="J34" s="988"/>
      <c r="K34" s="292"/>
      <c r="L34" s="292"/>
    </row>
    <row r="35" spans="1:12">
      <c r="A35" s="972"/>
      <c r="B35" s="972"/>
      <c r="C35" s="972"/>
      <c r="D35" s="972"/>
      <c r="E35" s="972"/>
      <c r="F35" s="980"/>
      <c r="G35" s="972"/>
      <c r="H35" s="999"/>
      <c r="I35" s="999"/>
      <c r="J35" s="999"/>
      <c r="K35" s="292"/>
      <c r="L35" s="292"/>
    </row>
    <row r="36" spans="1:12">
      <c r="A36" s="1237" t="s">
        <v>857</v>
      </c>
      <c r="B36" s="1237"/>
      <c r="C36" s="1237"/>
      <c r="D36" s="1237"/>
      <c r="E36" s="1237"/>
      <c r="F36" s="1237"/>
      <c r="G36" s="1237"/>
      <c r="H36" s="1237"/>
      <c r="I36" s="1237"/>
      <c r="J36" s="1237"/>
      <c r="K36" s="292"/>
      <c r="L36" s="292"/>
    </row>
    <row r="37" spans="1:12">
      <c r="A37" s="1000" t="s">
        <v>551</v>
      </c>
      <c r="B37" s="1000" t="s">
        <v>858</v>
      </c>
      <c r="C37" s="1000" t="s">
        <v>551</v>
      </c>
      <c r="D37" s="989" t="s">
        <v>859</v>
      </c>
      <c r="E37" s="1233" t="s">
        <v>860</v>
      </c>
      <c r="F37" s="1233"/>
      <c r="G37" s="1233"/>
      <c r="H37" s="1233"/>
      <c r="I37" s="1233"/>
      <c r="J37" s="1233"/>
      <c r="K37" s="292"/>
      <c r="L37" s="292"/>
    </row>
    <row r="38" spans="1:12">
      <c r="A38" s="986"/>
      <c r="B38" s="990"/>
      <c r="C38" s="986"/>
      <c r="D38" s="991"/>
      <c r="E38" s="1235"/>
      <c r="F38" s="1238"/>
      <c r="G38" s="1238"/>
      <c r="H38" s="1238"/>
      <c r="I38" s="1238"/>
      <c r="J38" s="1236"/>
      <c r="K38" s="292"/>
      <c r="L38" s="292"/>
    </row>
    <row r="39" spans="1:12">
      <c r="A39" s="986"/>
      <c r="B39" s="990"/>
      <c r="C39" s="986"/>
      <c r="D39" s="991"/>
      <c r="E39" s="1233"/>
      <c r="F39" s="1233"/>
      <c r="G39" s="1233"/>
      <c r="H39" s="1233"/>
      <c r="I39" s="1233"/>
      <c r="J39" s="1233"/>
      <c r="K39" s="292"/>
      <c r="L39" s="292"/>
    </row>
    <row r="40" spans="1:12">
      <c r="A40" s="986"/>
      <c r="B40" s="990"/>
      <c r="C40" s="986"/>
      <c r="D40" s="991"/>
      <c r="E40" s="1232"/>
      <c r="F40" s="1232"/>
      <c r="G40" s="1232"/>
      <c r="H40" s="1232"/>
      <c r="I40" s="1232"/>
      <c r="J40" s="1232"/>
      <c r="K40" s="292"/>
      <c r="L40" s="292"/>
    </row>
    <row r="41" spans="1:12">
      <c r="A41" s="986"/>
      <c r="B41" s="990"/>
      <c r="C41" s="986"/>
      <c r="D41" s="991"/>
      <c r="E41" s="1232"/>
      <c r="F41" s="1232"/>
      <c r="G41" s="1232"/>
      <c r="H41" s="1232"/>
      <c r="I41" s="1232"/>
      <c r="J41" s="1232"/>
      <c r="K41" s="615"/>
      <c r="L41" s="615"/>
    </row>
    <row r="42" spans="1:12">
      <c r="A42" s="992"/>
      <c r="B42" s="984"/>
      <c r="C42" s="984"/>
      <c r="D42" s="983"/>
      <c r="E42" s="993"/>
      <c r="F42" s="993"/>
      <c r="G42" s="993"/>
      <c r="H42" s="999"/>
      <c r="I42" s="999"/>
      <c r="J42" s="999"/>
      <c r="K42" s="63"/>
      <c r="L42" s="659"/>
    </row>
    <row r="43" spans="1:12" ht="17.25">
      <c r="A43" s="1234" t="s">
        <v>719</v>
      </c>
      <c r="B43" s="1234"/>
      <c r="C43" s="1234"/>
      <c r="D43" s="1234"/>
      <c r="E43" s="1234"/>
      <c r="F43" s="1234"/>
      <c r="G43" s="1234"/>
      <c r="H43" s="1234"/>
      <c r="I43" s="1234"/>
      <c r="J43" s="1234"/>
      <c r="K43" s="63"/>
      <c r="L43" s="659"/>
    </row>
    <row r="44" spans="1:12">
      <c r="A44" s="1228"/>
      <c r="B44" s="1228"/>
      <c r="C44" s="1228"/>
      <c r="D44" s="1228"/>
      <c r="E44" s="1228"/>
      <c r="F44" s="1228"/>
      <c r="G44" s="1228"/>
      <c r="H44" s="1228"/>
      <c r="I44" s="1228"/>
      <c r="J44" s="1228"/>
      <c r="K44" s="63"/>
      <c r="L44" s="615"/>
    </row>
    <row r="45" spans="1:12">
      <c r="A45" s="1228"/>
      <c r="B45" s="1228"/>
      <c r="C45" s="1228"/>
      <c r="D45" s="1228"/>
      <c r="E45" s="1228"/>
      <c r="F45" s="1228"/>
      <c r="G45" s="1228"/>
      <c r="H45" s="1228"/>
      <c r="I45" s="1228"/>
      <c r="J45" s="1228"/>
      <c r="K45" s="63"/>
      <c r="L45" s="615"/>
    </row>
    <row r="46" spans="1:12">
      <c r="A46" s="1228"/>
      <c r="B46" s="1228"/>
      <c r="C46" s="1228"/>
      <c r="D46" s="1228"/>
      <c r="E46" s="1228"/>
      <c r="F46" s="1228"/>
      <c r="G46" s="1228"/>
      <c r="H46" s="1228"/>
      <c r="I46" s="1228"/>
      <c r="J46" s="1228"/>
      <c r="K46" s="615"/>
      <c r="L46" s="615"/>
    </row>
    <row r="47" spans="1:12">
      <c r="A47" s="1228"/>
      <c r="B47" s="1228"/>
      <c r="C47" s="1228"/>
      <c r="D47" s="1228"/>
      <c r="E47" s="1228"/>
      <c r="F47" s="1228"/>
      <c r="G47" s="1228"/>
      <c r="H47" s="1228"/>
      <c r="I47" s="1228"/>
      <c r="J47" s="1228"/>
      <c r="K47" s="292"/>
      <c r="L47" s="292"/>
    </row>
    <row r="48" spans="1:12">
      <c r="A48" s="1228"/>
      <c r="B48" s="1228"/>
      <c r="C48" s="1228"/>
      <c r="D48" s="1228"/>
      <c r="E48" s="1228"/>
      <c r="F48" s="1228"/>
      <c r="G48" s="1228"/>
      <c r="H48" s="1228"/>
      <c r="I48" s="1228"/>
      <c r="J48" s="1228"/>
      <c r="K48" s="292"/>
      <c r="L48" s="292"/>
    </row>
    <row r="49" spans="1:12">
      <c r="A49" s="972"/>
      <c r="B49" s="972"/>
      <c r="C49" s="972"/>
      <c r="D49" s="972"/>
      <c r="E49" s="972"/>
      <c r="F49" s="972"/>
      <c r="G49" s="972"/>
      <c r="H49" s="999"/>
      <c r="I49" s="999"/>
      <c r="J49" s="999"/>
      <c r="K49" s="292"/>
      <c r="L49" s="292"/>
    </row>
    <row r="50" spans="1:12">
      <c r="A50" s="1104"/>
      <c r="B50" s="1104"/>
      <c r="C50" s="1104"/>
      <c r="D50" s="1104"/>
      <c r="E50" s="999"/>
      <c r="F50" s="1104"/>
      <c r="G50" s="1104"/>
      <c r="H50" s="1104"/>
      <c r="I50" s="1104"/>
      <c r="J50" s="999"/>
      <c r="K50" s="968"/>
      <c r="L50" s="968"/>
    </row>
    <row r="51" spans="1:12" ht="14.65" thickBot="1">
      <c r="A51" s="972"/>
      <c r="B51" s="1105"/>
      <c r="C51" s="1105"/>
      <c r="D51" s="1091"/>
      <c r="E51" s="975"/>
      <c r="F51" s="1091"/>
      <c r="G51" s="1091"/>
      <c r="H51" s="537"/>
      <c r="I51" s="537"/>
      <c r="J51" s="999"/>
      <c r="K51" s="969"/>
      <c r="L51" s="969"/>
    </row>
    <row r="52" spans="1:12">
      <c r="A52" s="999"/>
      <c r="B52" s="1240" t="s">
        <v>861</v>
      </c>
      <c r="C52" s="1240"/>
      <c r="D52" s="1240"/>
      <c r="E52" s="999"/>
      <c r="F52" s="1239" t="s">
        <v>862</v>
      </c>
      <c r="G52" s="1239"/>
      <c r="H52" s="1239"/>
      <c r="I52" s="1239"/>
      <c r="J52" s="999"/>
      <c r="K52" s="969"/>
      <c r="L52" s="969"/>
    </row>
    <row r="53" spans="1:12" ht="17.25" customHeight="1">
      <c r="A53" s="999"/>
      <c r="B53" s="999"/>
      <c r="C53" s="999"/>
      <c r="D53" s="999"/>
      <c r="E53" s="999"/>
      <c r="F53" s="999"/>
      <c r="G53" s="999"/>
      <c r="H53" s="999"/>
      <c r="I53" s="999"/>
      <c r="J53" s="999"/>
      <c r="K53" s="970"/>
      <c r="L53" s="970"/>
    </row>
    <row r="54" spans="1:12">
      <c r="A54" s="999"/>
      <c r="B54" s="999"/>
      <c r="C54" s="999"/>
      <c r="D54" s="999"/>
      <c r="E54" s="999"/>
      <c r="F54" s="999"/>
      <c r="G54" s="999"/>
      <c r="H54" s="999"/>
      <c r="I54" s="999"/>
      <c r="J54" s="999"/>
      <c r="K54" s="971"/>
      <c r="L54" s="971"/>
    </row>
    <row r="55" spans="1:12">
      <c r="A55" s="999"/>
      <c r="B55" s="999"/>
      <c r="C55" s="999"/>
      <c r="D55" s="999"/>
      <c r="E55" s="999"/>
      <c r="F55" s="999"/>
      <c r="G55" s="999"/>
      <c r="H55" s="999"/>
      <c r="I55" s="999"/>
      <c r="J55" s="999"/>
    </row>
    <row r="56" spans="1:12">
      <c r="A56" s="999"/>
      <c r="B56" s="999"/>
      <c r="C56" s="999"/>
      <c r="D56" s="999"/>
      <c r="E56" s="999"/>
      <c r="F56" s="999"/>
      <c r="G56" s="999"/>
      <c r="H56" s="999"/>
      <c r="I56" s="999"/>
      <c r="J56" s="999"/>
    </row>
    <row r="57" spans="1:12">
      <c r="A57" s="999"/>
      <c r="B57" s="999"/>
      <c r="C57" s="999"/>
      <c r="D57" s="999"/>
      <c r="E57" s="999"/>
      <c r="F57" s="999"/>
      <c r="G57" s="999"/>
      <c r="H57" s="999"/>
      <c r="I57" s="999"/>
      <c r="J57" s="999"/>
    </row>
    <row r="58" spans="1:12">
      <c r="A58" s="999"/>
      <c r="B58" s="999"/>
      <c r="C58" s="999"/>
      <c r="D58" s="999"/>
      <c r="E58" s="999"/>
      <c r="F58" s="999"/>
      <c r="G58" s="999"/>
      <c r="H58" s="999"/>
      <c r="I58" s="999"/>
      <c r="J58" s="999"/>
    </row>
  </sheetData>
  <mergeCells count="96">
    <mergeCell ref="A47:J47"/>
    <mergeCell ref="A48:J48"/>
    <mergeCell ref="F52:I52"/>
    <mergeCell ref="B52:D52"/>
    <mergeCell ref="A46:J46"/>
    <mergeCell ref="A33:B33"/>
    <mergeCell ref="A34:B34"/>
    <mergeCell ref="A36:J36"/>
    <mergeCell ref="E37:J37"/>
    <mergeCell ref="E38:J38"/>
    <mergeCell ref="E39:J39"/>
    <mergeCell ref="E40:J40"/>
    <mergeCell ref="E41:J41"/>
    <mergeCell ref="A43:J43"/>
    <mergeCell ref="A44:J44"/>
    <mergeCell ref="A45:J45"/>
    <mergeCell ref="A32:B32"/>
    <mergeCell ref="I25:J25"/>
    <mergeCell ref="A26:D26"/>
    <mergeCell ref="E26:F26"/>
    <mergeCell ref="G26:H26"/>
    <mergeCell ref="I26:J26"/>
    <mergeCell ref="A27:D27"/>
    <mergeCell ref="E27:F27"/>
    <mergeCell ref="G27:H27"/>
    <mergeCell ref="I27:J27"/>
    <mergeCell ref="C29:D29"/>
    <mergeCell ref="E29:F29"/>
    <mergeCell ref="G29:H29"/>
    <mergeCell ref="I29:J29"/>
    <mergeCell ref="A31:B31"/>
    <mergeCell ref="A24:D24"/>
    <mergeCell ref="E24:F24"/>
    <mergeCell ref="G24:H24"/>
    <mergeCell ref="A25:D25"/>
    <mergeCell ref="E25:F25"/>
    <mergeCell ref="G25:H25"/>
    <mergeCell ref="A22:D22"/>
    <mergeCell ref="E22:F22"/>
    <mergeCell ref="G22:H22"/>
    <mergeCell ref="I22:J22"/>
    <mergeCell ref="A23:D23"/>
    <mergeCell ref="E23:F23"/>
    <mergeCell ref="G23:H23"/>
    <mergeCell ref="A20:D20"/>
    <mergeCell ref="E20:F20"/>
    <mergeCell ref="G20:H20"/>
    <mergeCell ref="I20:J20"/>
    <mergeCell ref="A21:D21"/>
    <mergeCell ref="E21:F21"/>
    <mergeCell ref="G21:H21"/>
    <mergeCell ref="I21:J21"/>
    <mergeCell ref="A18:D18"/>
    <mergeCell ref="E18:F18"/>
    <mergeCell ref="G18:H18"/>
    <mergeCell ref="I18:J18"/>
    <mergeCell ref="A19:D19"/>
    <mergeCell ref="E19:F19"/>
    <mergeCell ref="G19:H19"/>
    <mergeCell ref="I19:J19"/>
    <mergeCell ref="A16:D16"/>
    <mergeCell ref="E16:F16"/>
    <mergeCell ref="G16:H16"/>
    <mergeCell ref="I16:J16"/>
    <mergeCell ref="A17:D17"/>
    <mergeCell ref="E17:F17"/>
    <mergeCell ref="G17:H17"/>
    <mergeCell ref="I17:J17"/>
    <mergeCell ref="A15:D15"/>
    <mergeCell ref="E15:F15"/>
    <mergeCell ref="G15:H15"/>
    <mergeCell ref="I15:J15"/>
    <mergeCell ref="A12:D12"/>
    <mergeCell ref="E12:F12"/>
    <mergeCell ref="G12:H12"/>
    <mergeCell ref="A13:D13"/>
    <mergeCell ref="E13:F13"/>
    <mergeCell ref="G13:H13"/>
    <mergeCell ref="I13:J13"/>
    <mergeCell ref="A14:D14"/>
    <mergeCell ref="E14:F14"/>
    <mergeCell ref="G14:H14"/>
    <mergeCell ref="I14:J14"/>
    <mergeCell ref="A10:D10"/>
    <mergeCell ref="E10:F10"/>
    <mergeCell ref="G10:H10"/>
    <mergeCell ref="I10:J10"/>
    <mergeCell ref="A11:D11"/>
    <mergeCell ref="E11:F11"/>
    <mergeCell ref="G11:H11"/>
    <mergeCell ref="A1:J1"/>
    <mergeCell ref="A2:J2"/>
    <mergeCell ref="A3:J3"/>
    <mergeCell ref="A8:J8"/>
    <mergeCell ref="E9:F9"/>
    <mergeCell ref="G9:H9"/>
  </mergeCells>
  <pageMargins left="0.32500000000000001" right="0.32500000000000001" top="0.20833333333333334" bottom="0.1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F494-6EC8-4B0B-A499-3DC575B1C80E}">
  <sheetPr codeName="Лист8">
    <tabColor theme="3" tint="0.39997558519241921"/>
  </sheetPr>
  <dimension ref="A1:L58"/>
  <sheetViews>
    <sheetView view="pageLayout" topLeftCell="A7" zoomScaleNormal="100" zoomScaleSheetLayoutView="110" workbookViewId="0">
      <selection activeCell="L18" sqref="L18"/>
    </sheetView>
  </sheetViews>
  <sheetFormatPr defaultColWidth="8.86328125" defaultRowHeight="14.25"/>
  <cols>
    <col min="1" max="1" width="8.53125" customWidth="1"/>
    <col min="2" max="2" width="11.46484375" customWidth="1"/>
    <col min="3" max="4" width="9.46484375" customWidth="1"/>
    <col min="6" max="6" width="8" customWidth="1"/>
    <col min="7" max="7" width="6.86328125" customWidth="1"/>
    <col min="8" max="8" width="10.796875" customWidth="1"/>
    <col min="9" max="9" width="15.6640625" customWidth="1"/>
    <col min="10" max="10" width="7.46484375" customWidth="1"/>
    <col min="11" max="11" width="6.1328125" customWidth="1"/>
    <col min="12" max="12" width="7.53125" customWidth="1"/>
  </cols>
  <sheetData>
    <row r="1" spans="1:12" ht="14.45" customHeight="1">
      <c r="A1" s="1023"/>
      <c r="B1" s="1023"/>
      <c r="C1" s="1023"/>
      <c r="D1" s="1023"/>
      <c r="E1" s="1023"/>
      <c r="F1" s="1023"/>
      <c r="G1" s="1023"/>
      <c r="H1" s="1023"/>
      <c r="I1" s="1023"/>
      <c r="J1" s="1023"/>
      <c r="K1" s="292"/>
      <c r="L1" s="292"/>
    </row>
    <row r="2" spans="1:12" ht="14.45" customHeight="1">
      <c r="A2" s="1024"/>
      <c r="B2" s="1024"/>
      <c r="C2" s="1024"/>
      <c r="D2" s="1024"/>
      <c r="E2" s="1024"/>
      <c r="F2" s="1024"/>
      <c r="G2" s="1024"/>
      <c r="H2" s="1024"/>
      <c r="I2" s="1024"/>
      <c r="J2" s="1024"/>
      <c r="K2" s="292"/>
      <c r="L2" s="292"/>
    </row>
    <row r="3" spans="1:12" ht="14.45" customHeight="1" thickBot="1">
      <c r="A3" s="1025"/>
      <c r="B3" s="1025"/>
      <c r="C3" s="1025"/>
      <c r="D3" s="1025"/>
      <c r="E3" s="1025"/>
      <c r="F3" s="1025"/>
      <c r="G3" s="1025"/>
      <c r="H3" s="1025"/>
      <c r="I3" s="1025"/>
      <c r="J3" s="1025"/>
      <c r="K3" s="615"/>
      <c r="L3" s="615"/>
    </row>
    <row r="4" spans="1:12">
      <c r="A4" s="1094" t="s">
        <v>333</v>
      </c>
      <c r="B4" s="1095"/>
      <c r="C4" s="1095"/>
      <c r="D4" s="1096"/>
      <c r="E4" s="1017"/>
      <c r="F4" s="1017"/>
      <c r="G4" s="1017"/>
      <c r="H4" s="60"/>
      <c r="I4" s="60"/>
      <c r="J4" s="60"/>
      <c r="K4" s="615"/>
      <c r="L4" s="615"/>
    </row>
    <row r="5" spans="1:12" ht="14.45" customHeight="1">
      <c r="A5" s="1097" t="s">
        <v>864</v>
      </c>
      <c r="B5" s="1098"/>
      <c r="C5" s="1099"/>
      <c r="D5" s="1100"/>
      <c r="E5" s="60"/>
      <c r="F5" s="60"/>
      <c r="G5" s="1019"/>
      <c r="H5" s="1018"/>
      <c r="I5" s="1020"/>
      <c r="J5" s="60"/>
      <c r="K5" s="615"/>
      <c r="L5" s="615"/>
    </row>
    <row r="6" spans="1:12" ht="14.45" customHeight="1">
      <c r="A6" s="1101" t="s">
        <v>233</v>
      </c>
      <c r="B6" s="1102"/>
      <c r="C6" s="1099"/>
      <c r="D6" s="1100"/>
      <c r="E6" s="60"/>
      <c r="F6" s="60"/>
      <c r="G6" s="1021"/>
      <c r="H6" s="1018"/>
      <c r="I6" s="1022"/>
      <c r="J6" s="60"/>
      <c r="K6" s="615"/>
      <c r="L6" s="615"/>
    </row>
    <row r="7" spans="1:12" ht="14.45" customHeight="1" thickBot="1">
      <c r="A7" s="1093" t="s">
        <v>1</v>
      </c>
      <c r="B7" s="1091"/>
      <c r="C7" s="1091"/>
      <c r="D7" s="1092"/>
      <c r="E7" s="60"/>
      <c r="F7" s="60"/>
      <c r="G7" s="1020"/>
      <c r="H7" s="60"/>
      <c r="I7" s="60"/>
      <c r="J7" s="60"/>
      <c r="K7" s="292"/>
      <c r="L7" s="292"/>
    </row>
    <row r="8" spans="1:12" ht="14.45" customHeight="1" thickBot="1">
      <c r="A8" s="1024"/>
      <c r="B8" s="1024"/>
      <c r="C8" s="1024"/>
      <c r="D8" s="1018"/>
      <c r="E8" s="1024"/>
      <c r="F8" s="1024"/>
      <c r="G8" s="1024"/>
      <c r="H8" s="1024"/>
      <c r="I8" s="1024"/>
      <c r="J8" s="1024"/>
      <c r="K8" s="293"/>
      <c r="L8" s="292"/>
    </row>
    <row r="9" spans="1:12" ht="14.45" customHeight="1" thickBot="1">
      <c r="A9" s="1029"/>
      <c r="B9" s="1030"/>
      <c r="C9" s="1030"/>
      <c r="D9" s="1060"/>
      <c r="E9" s="1031" t="s">
        <v>865</v>
      </c>
      <c r="F9" s="1032"/>
      <c r="G9" s="1033"/>
      <c r="H9" s="1033"/>
      <c r="I9" s="763"/>
      <c r="J9" s="1034"/>
      <c r="K9" s="292"/>
      <c r="L9" s="292"/>
    </row>
    <row r="10" spans="1:12" ht="14.65" thickBot="1">
      <c r="A10" s="1041" t="s">
        <v>550</v>
      </c>
      <c r="B10" s="1040" t="s">
        <v>551</v>
      </c>
      <c r="C10" s="1057" t="s">
        <v>553</v>
      </c>
      <c r="D10" s="1035"/>
      <c r="E10" s="1036"/>
      <c r="F10" s="1036"/>
      <c r="G10" s="1037"/>
      <c r="H10" s="1037"/>
      <c r="I10" s="1038"/>
      <c r="J10" s="1039"/>
      <c r="K10" s="292"/>
      <c r="L10" s="292"/>
    </row>
    <row r="11" spans="1:12">
      <c r="A11" s="1050"/>
      <c r="B11" s="1051"/>
      <c r="C11" s="1058" t="s">
        <v>866</v>
      </c>
      <c r="D11" s="1052"/>
      <c r="E11" s="1053"/>
      <c r="F11" s="1053"/>
      <c r="G11" s="1054"/>
      <c r="H11" s="1054"/>
      <c r="I11" s="1055"/>
      <c r="J11" s="1056"/>
      <c r="K11" s="292"/>
      <c r="L11" s="292"/>
    </row>
    <row r="12" spans="1:12">
      <c r="A12" s="1042"/>
      <c r="B12" s="1043"/>
      <c r="C12" s="1059" t="s">
        <v>834</v>
      </c>
      <c r="D12" s="1061"/>
      <c r="E12" s="1045"/>
      <c r="F12" s="1045"/>
      <c r="G12" s="1046"/>
      <c r="H12" s="1046"/>
      <c r="I12" s="1003"/>
      <c r="J12" s="1049"/>
      <c r="K12" s="292"/>
      <c r="L12" s="292"/>
    </row>
    <row r="13" spans="1:12">
      <c r="A13" s="1042"/>
      <c r="B13" s="1043"/>
      <c r="C13" s="1059" t="s">
        <v>534</v>
      </c>
      <c r="D13" s="1061"/>
      <c r="E13" s="1045"/>
      <c r="F13" s="1045"/>
      <c r="G13" s="1046"/>
      <c r="H13" s="1046"/>
      <c r="I13" s="1047"/>
      <c r="J13" s="1048"/>
      <c r="K13" s="292"/>
      <c r="L13" s="292"/>
    </row>
    <row r="14" spans="1:12">
      <c r="A14" s="1042"/>
      <c r="B14" s="1043"/>
      <c r="C14" s="1059" t="s">
        <v>500</v>
      </c>
      <c r="D14" s="1061"/>
      <c r="E14" s="1045"/>
      <c r="F14" s="1045"/>
      <c r="G14" s="1046"/>
      <c r="H14" s="1046"/>
      <c r="I14" s="1047"/>
      <c r="J14" s="1048"/>
      <c r="K14" s="292"/>
      <c r="L14" s="292"/>
    </row>
    <row r="15" spans="1:12">
      <c r="A15" s="1042"/>
      <c r="B15" s="1043"/>
      <c r="C15" s="1059" t="s">
        <v>867</v>
      </c>
      <c r="D15" s="1061"/>
      <c r="E15" s="1045"/>
      <c r="F15" s="1045"/>
      <c r="G15" s="1046"/>
      <c r="H15" s="1046"/>
      <c r="I15" s="1047"/>
      <c r="J15" s="1048"/>
      <c r="K15" s="292"/>
      <c r="L15" s="292"/>
    </row>
    <row r="16" spans="1:12">
      <c r="A16" s="1042"/>
      <c r="B16" s="1043"/>
      <c r="C16" s="1059" t="s">
        <v>868</v>
      </c>
      <c r="D16" s="1061"/>
      <c r="E16" s="1045"/>
      <c r="F16" s="1045"/>
      <c r="G16" s="1046"/>
      <c r="H16" s="1046"/>
      <c r="I16" s="1047"/>
      <c r="J16" s="1048"/>
      <c r="K16" s="292"/>
      <c r="L16" s="292"/>
    </row>
    <row r="17" spans="1:12">
      <c r="A17" s="1068"/>
      <c r="B17" s="1069"/>
      <c r="C17" s="1070" t="s">
        <v>869</v>
      </c>
      <c r="D17" s="1061"/>
      <c r="E17" s="1071"/>
      <c r="F17" s="1071"/>
      <c r="G17" s="1072"/>
      <c r="H17" s="1072"/>
      <c r="I17" s="1061"/>
      <c r="J17" s="1068"/>
      <c r="K17" s="292"/>
      <c r="L17" s="292"/>
    </row>
    <row r="18" spans="1:12">
      <c r="A18" s="1042"/>
      <c r="B18" s="1043"/>
      <c r="C18" s="1059" t="s">
        <v>870</v>
      </c>
      <c r="D18" s="1044"/>
      <c r="E18" s="1045"/>
      <c r="F18" s="1045"/>
      <c r="G18" s="1046"/>
      <c r="H18" s="1046"/>
      <c r="I18" s="1044"/>
      <c r="J18" s="1042"/>
      <c r="K18" s="292"/>
      <c r="L18" s="292"/>
    </row>
    <row r="19" spans="1:12">
      <c r="A19" s="1068"/>
      <c r="B19" s="1069"/>
      <c r="C19" s="1070" t="s">
        <v>871</v>
      </c>
      <c r="D19" s="1061"/>
      <c r="E19" s="1071"/>
      <c r="F19" s="1071"/>
      <c r="G19" s="1072"/>
      <c r="H19" s="1072"/>
      <c r="I19" s="1061"/>
      <c r="J19" s="1068"/>
      <c r="K19" s="292"/>
      <c r="L19" s="292"/>
    </row>
    <row r="20" spans="1:12">
      <c r="A20" s="1042"/>
      <c r="B20" s="1043"/>
      <c r="C20" s="1059" t="s">
        <v>872</v>
      </c>
      <c r="D20" s="1044"/>
      <c r="E20" s="1045"/>
      <c r="F20" s="1045"/>
      <c r="G20" s="1046"/>
      <c r="H20" s="1046"/>
      <c r="I20" s="1044"/>
      <c r="J20" s="1042"/>
      <c r="K20" s="292"/>
      <c r="L20" s="292"/>
    </row>
    <row r="21" spans="1:12">
      <c r="A21" s="1068"/>
      <c r="B21" s="1069"/>
      <c r="C21" s="1070" t="s">
        <v>873</v>
      </c>
      <c r="D21" s="1061"/>
      <c r="E21" s="1071"/>
      <c r="F21" s="1071"/>
      <c r="G21" s="1072"/>
      <c r="H21" s="1072"/>
      <c r="I21" s="1061"/>
      <c r="J21" s="1068"/>
      <c r="K21" s="292"/>
      <c r="L21" s="292"/>
    </row>
    <row r="22" spans="1:12">
      <c r="A22" s="1068"/>
      <c r="B22" s="1069"/>
      <c r="C22" s="1070" t="s">
        <v>874</v>
      </c>
      <c r="D22" s="1061"/>
      <c r="E22" s="1071"/>
      <c r="F22" s="1071"/>
      <c r="G22" s="1072"/>
      <c r="H22" s="1072"/>
      <c r="I22" s="1074"/>
      <c r="J22" s="1075"/>
      <c r="K22" s="292"/>
      <c r="L22" s="292"/>
    </row>
    <row r="23" spans="1:12">
      <c r="A23" s="1042"/>
      <c r="B23" s="1043"/>
      <c r="C23" s="1059" t="s">
        <v>875</v>
      </c>
      <c r="D23" s="1044"/>
      <c r="E23" s="1045"/>
      <c r="F23" s="1045"/>
      <c r="G23" s="1046"/>
      <c r="H23" s="1046"/>
      <c r="I23" s="1073"/>
      <c r="J23" s="1049"/>
      <c r="K23" s="292"/>
      <c r="L23" s="292"/>
    </row>
    <row r="24" spans="1:12">
      <c r="A24" s="1042"/>
      <c r="B24" s="1043"/>
      <c r="C24" s="1059" t="s">
        <v>876</v>
      </c>
      <c r="D24" s="1044"/>
      <c r="E24" s="1045"/>
      <c r="F24" s="1045"/>
      <c r="G24" s="1046"/>
      <c r="H24" s="1046"/>
      <c r="I24" s="1003"/>
      <c r="J24" s="1049"/>
      <c r="K24" s="292"/>
      <c r="L24" s="292"/>
    </row>
    <row r="25" spans="1:12">
      <c r="A25" s="1042"/>
      <c r="B25" s="1043"/>
      <c r="C25" s="1059" t="s">
        <v>877</v>
      </c>
      <c r="D25" s="1044"/>
      <c r="E25" s="1045"/>
      <c r="F25" s="1045"/>
      <c r="G25" s="1046"/>
      <c r="H25" s="1046"/>
      <c r="I25" s="1047"/>
      <c r="J25" s="1048"/>
      <c r="K25" s="292"/>
      <c r="L25" s="292"/>
    </row>
    <row r="26" spans="1:12">
      <c r="A26" s="1042"/>
      <c r="B26" s="1043"/>
      <c r="C26" s="1059" t="s">
        <v>878</v>
      </c>
      <c r="D26" s="1044"/>
      <c r="E26" s="1045"/>
      <c r="F26" s="1045"/>
      <c r="G26" s="1046"/>
      <c r="H26" s="1046"/>
      <c r="I26" s="1047"/>
      <c r="J26" s="1048"/>
      <c r="K26" s="292"/>
      <c r="L26" s="292"/>
    </row>
    <row r="27" spans="1:12">
      <c r="A27" s="1042"/>
      <c r="B27" s="1043"/>
      <c r="C27" s="1059" t="s">
        <v>879</v>
      </c>
      <c r="D27" s="1044"/>
      <c r="E27" s="1045"/>
      <c r="F27" s="1045"/>
      <c r="G27" s="1046"/>
      <c r="H27" s="1046"/>
      <c r="I27" s="1047"/>
      <c r="J27" s="1048"/>
      <c r="K27" s="292"/>
      <c r="L27" s="292"/>
    </row>
    <row r="28" spans="1:12">
      <c r="A28" s="1064"/>
      <c r="B28" s="1065"/>
      <c r="C28" s="1059" t="s">
        <v>880</v>
      </c>
      <c r="D28" s="1066"/>
      <c r="E28" s="1066"/>
      <c r="F28" s="1067"/>
      <c r="G28" s="1066"/>
      <c r="H28" s="378"/>
      <c r="I28" s="378"/>
      <c r="J28" s="1062"/>
      <c r="K28" s="292"/>
      <c r="L28" s="292"/>
    </row>
    <row r="29" spans="1:12">
      <c r="A29" s="1062"/>
      <c r="B29" s="1063"/>
      <c r="C29" s="1059" t="s">
        <v>881</v>
      </c>
      <c r="D29" s="1047"/>
      <c r="E29" s="1047"/>
      <c r="F29" s="1047"/>
      <c r="G29" s="1047"/>
      <c r="H29" s="1047"/>
      <c r="I29" s="1047"/>
      <c r="J29" s="1048"/>
      <c r="K29" s="292"/>
      <c r="L29" s="292"/>
    </row>
    <row r="30" spans="1:12">
      <c r="A30" s="1082"/>
      <c r="B30" s="985"/>
      <c r="C30" s="1059" t="s">
        <v>882</v>
      </c>
      <c r="D30" s="1083"/>
      <c r="E30" s="1084"/>
      <c r="F30" s="1083"/>
      <c r="G30" s="1084"/>
      <c r="H30" s="1083"/>
      <c r="I30" s="1084"/>
      <c r="J30" s="1085"/>
      <c r="K30" s="292"/>
      <c r="L30" s="292"/>
    </row>
    <row r="31" spans="1:12">
      <c r="A31" s="1076"/>
      <c r="B31" s="1077"/>
      <c r="C31" s="1059" t="s">
        <v>883</v>
      </c>
      <c r="D31" s="1079"/>
      <c r="E31" s="1080"/>
      <c r="F31" s="1079"/>
      <c r="G31" s="1080"/>
      <c r="H31" s="1079"/>
      <c r="I31" s="1080"/>
      <c r="J31" s="1081"/>
      <c r="K31" s="292"/>
      <c r="L31" s="292"/>
    </row>
    <row r="32" spans="1:12">
      <c r="A32" s="1076"/>
      <c r="B32" s="1077"/>
      <c r="C32" s="1059" t="s">
        <v>884</v>
      </c>
      <c r="D32" s="1079"/>
      <c r="E32" s="1080"/>
      <c r="F32" s="1079"/>
      <c r="G32" s="1080"/>
      <c r="H32" s="1079"/>
      <c r="I32" s="1080"/>
      <c r="J32" s="1081"/>
      <c r="K32" s="292"/>
      <c r="L32" s="292"/>
    </row>
    <row r="33" spans="1:12">
      <c r="A33" s="1086"/>
      <c r="B33" s="1087"/>
      <c r="C33" s="1059" t="s">
        <v>885</v>
      </c>
      <c r="D33" s="1088"/>
      <c r="E33" s="1089"/>
      <c r="F33" s="1088"/>
      <c r="G33" s="1089"/>
      <c r="H33" s="1088"/>
      <c r="I33" s="1089"/>
      <c r="J33" s="1090"/>
      <c r="K33" s="292"/>
      <c r="L33" s="292"/>
    </row>
    <row r="34" spans="1:12">
      <c r="A34" s="1076"/>
      <c r="B34" s="1077"/>
      <c r="C34" s="1059" t="s">
        <v>886</v>
      </c>
      <c r="D34" s="1079"/>
      <c r="E34" s="1080"/>
      <c r="F34" s="1079"/>
      <c r="G34" s="1080"/>
      <c r="H34" s="1079"/>
      <c r="I34" s="1080"/>
      <c r="J34" s="1081"/>
      <c r="K34" s="292"/>
      <c r="L34" s="292"/>
    </row>
    <row r="35" spans="1:12">
      <c r="A35" s="1076"/>
      <c r="B35" s="1077"/>
      <c r="C35" s="1059" t="s">
        <v>887</v>
      </c>
      <c r="D35" s="1079"/>
      <c r="E35" s="1080"/>
      <c r="F35" s="1079"/>
      <c r="G35" s="1080"/>
      <c r="H35" s="1079"/>
      <c r="I35" s="1080"/>
      <c r="J35" s="1081"/>
      <c r="K35" s="292"/>
      <c r="L35" s="292"/>
    </row>
    <row r="36" spans="1:12">
      <c r="A36" s="1076"/>
      <c r="B36" s="1077"/>
      <c r="C36" s="1059" t="s">
        <v>888</v>
      </c>
      <c r="D36" s="1079"/>
      <c r="E36" s="1080"/>
      <c r="F36" s="1079"/>
      <c r="G36" s="1080"/>
      <c r="H36" s="1079"/>
      <c r="I36" s="1080"/>
      <c r="J36" s="1081"/>
      <c r="K36" s="292"/>
      <c r="L36" s="292"/>
    </row>
    <row r="37" spans="1:12">
      <c r="A37" s="1076"/>
      <c r="B37" s="1077"/>
      <c r="C37" s="1059" t="s">
        <v>889</v>
      </c>
      <c r="D37" s="1079"/>
      <c r="E37" s="1080"/>
      <c r="F37" s="1079"/>
      <c r="G37" s="1080"/>
      <c r="H37" s="1079"/>
      <c r="I37" s="1080"/>
      <c r="J37" s="1081"/>
      <c r="K37" s="292"/>
      <c r="L37" s="292"/>
    </row>
    <row r="38" spans="1:12">
      <c r="A38" s="1076"/>
      <c r="B38" s="1077"/>
      <c r="C38" s="1059" t="s">
        <v>534</v>
      </c>
      <c r="D38" s="1079"/>
      <c r="E38" s="1080"/>
      <c r="F38" s="1079"/>
      <c r="G38" s="1080"/>
      <c r="H38" s="1079"/>
      <c r="I38" s="1080"/>
      <c r="J38" s="1081"/>
      <c r="K38" s="292"/>
      <c r="L38" s="292"/>
    </row>
    <row r="39" spans="1:12">
      <c r="A39" s="1076"/>
      <c r="B39" s="1077"/>
      <c r="C39" s="1059" t="s">
        <v>890</v>
      </c>
      <c r="D39" s="1079"/>
      <c r="E39" s="1080"/>
      <c r="F39" s="1079"/>
      <c r="G39" s="1080"/>
      <c r="H39" s="1079"/>
      <c r="I39" s="1080"/>
      <c r="J39" s="1081"/>
      <c r="K39" s="292"/>
      <c r="L39" s="292"/>
    </row>
    <row r="40" spans="1:12">
      <c r="A40" s="1076"/>
      <c r="B40" s="1077"/>
      <c r="C40" s="1078"/>
      <c r="D40" s="1079"/>
      <c r="E40" s="1080"/>
      <c r="F40" s="1079"/>
      <c r="G40" s="1080"/>
      <c r="H40" s="1079"/>
      <c r="I40" s="1080"/>
      <c r="J40" s="1081"/>
      <c r="K40" s="292"/>
      <c r="L40" s="292"/>
    </row>
    <row r="41" spans="1:12">
      <c r="A41" s="1076"/>
      <c r="B41" s="1077"/>
      <c r="C41" s="1078"/>
      <c r="D41" s="1079"/>
      <c r="E41" s="1080"/>
      <c r="F41" s="1079"/>
      <c r="G41" s="1080"/>
      <c r="H41" s="1079"/>
      <c r="I41" s="1080"/>
      <c r="J41" s="1081"/>
      <c r="K41" s="615"/>
      <c r="L41" s="615"/>
    </row>
    <row r="42" spans="1:12">
      <c r="A42" s="1076"/>
      <c r="B42" s="1077"/>
      <c r="C42" s="1078"/>
      <c r="D42" s="1079"/>
      <c r="E42" s="1080"/>
      <c r="F42" s="1079"/>
      <c r="G42" s="1080"/>
      <c r="H42" s="1079"/>
      <c r="I42" s="1080"/>
      <c r="J42" s="1081"/>
      <c r="K42" s="63"/>
      <c r="L42" s="659"/>
    </row>
    <row r="43" spans="1:12">
      <c r="A43" s="1028"/>
      <c r="B43" s="1028"/>
      <c r="C43" s="1028"/>
      <c r="D43" s="1028"/>
      <c r="E43" s="1028"/>
      <c r="F43" s="1028"/>
      <c r="G43" s="1028"/>
      <c r="H43" s="1028"/>
      <c r="I43" s="1028"/>
      <c r="J43" s="1028"/>
      <c r="K43" s="63"/>
      <c r="L43" s="659"/>
    </row>
    <row r="44" spans="1:12">
      <c r="A44" s="1027"/>
      <c r="B44" s="1027"/>
      <c r="C44" s="1027"/>
      <c r="D44" s="1027"/>
      <c r="E44" s="1027"/>
      <c r="F44" s="1027"/>
      <c r="G44" s="1027"/>
      <c r="H44" s="1027"/>
      <c r="I44" s="1027"/>
      <c r="J44" s="1027"/>
      <c r="K44" s="63"/>
      <c r="L44" s="615"/>
    </row>
    <row r="45" spans="1:12">
      <c r="A45" s="1027"/>
      <c r="B45" s="1027"/>
      <c r="C45" s="1027"/>
      <c r="D45" s="1027"/>
      <c r="E45" s="1027"/>
      <c r="F45" s="1027"/>
      <c r="G45" s="1027"/>
      <c r="H45" s="1027"/>
      <c r="I45" s="1027"/>
      <c r="J45" s="1027"/>
      <c r="K45" s="63"/>
      <c r="L45" s="615"/>
    </row>
    <row r="46" spans="1:12">
      <c r="A46" s="1027"/>
      <c r="B46" s="1027"/>
      <c r="C46" s="1027"/>
      <c r="D46" s="1027"/>
      <c r="E46" s="1027"/>
      <c r="F46" s="1027"/>
      <c r="G46" s="1027"/>
      <c r="H46" s="1027"/>
      <c r="I46" s="1027"/>
      <c r="J46" s="1027"/>
      <c r="K46" s="615"/>
      <c r="L46" s="615"/>
    </row>
    <row r="47" spans="1:12">
      <c r="A47" s="1027"/>
      <c r="B47" s="1027"/>
      <c r="C47" s="1027"/>
      <c r="D47" s="1027"/>
      <c r="E47" s="1027"/>
      <c r="F47" s="1027"/>
      <c r="G47" s="1027"/>
      <c r="H47" s="1027"/>
      <c r="I47" s="1027"/>
      <c r="J47" s="1027"/>
      <c r="K47" s="292"/>
      <c r="L47" s="292"/>
    </row>
    <row r="48" spans="1:12">
      <c r="A48" s="1027"/>
      <c r="B48" s="1027"/>
      <c r="C48" s="1027"/>
      <c r="D48" s="1027"/>
      <c r="E48" s="1027"/>
      <c r="F48" s="1027"/>
      <c r="G48" s="1027"/>
      <c r="H48" s="1027"/>
      <c r="I48" s="1027"/>
      <c r="J48" s="1027"/>
      <c r="K48" s="292"/>
      <c r="L48" s="292"/>
    </row>
    <row r="49" spans="1:12">
      <c r="A49" s="1103"/>
      <c r="B49" s="1103"/>
      <c r="C49" s="1017"/>
      <c r="D49" s="1103"/>
      <c r="E49" s="1103"/>
      <c r="F49" s="1103"/>
      <c r="G49" s="1017"/>
      <c r="H49" s="122"/>
      <c r="I49" s="122"/>
      <c r="J49" s="60"/>
      <c r="K49" s="292"/>
      <c r="L49" s="292"/>
    </row>
    <row r="50" spans="1:12">
      <c r="A50" s="1241" t="s">
        <v>568</v>
      </c>
      <c r="B50" s="1241"/>
      <c r="C50" s="206"/>
      <c r="D50" s="1242" t="s">
        <v>741</v>
      </c>
      <c r="E50" s="1242"/>
      <c r="F50" s="206"/>
      <c r="G50" s="206"/>
      <c r="H50" s="206" t="s">
        <v>891</v>
      </c>
      <c r="I50" s="1026"/>
      <c r="J50" s="60"/>
      <c r="K50" s="968"/>
      <c r="L50" s="968"/>
    </row>
    <row r="51" spans="1:12">
      <c r="A51" s="1017"/>
      <c r="B51" s="1020"/>
      <c r="C51" s="1020"/>
      <c r="D51" s="1017"/>
      <c r="E51" s="1020"/>
      <c r="F51" s="1017"/>
      <c r="G51" s="1017"/>
      <c r="H51" s="60"/>
      <c r="I51" s="60"/>
      <c r="J51" s="60"/>
      <c r="K51" s="969"/>
      <c r="L51" s="969"/>
    </row>
    <row r="52" spans="1:12">
      <c r="A52" s="60"/>
      <c r="B52" s="41"/>
      <c r="C52" s="41"/>
      <c r="D52" s="60"/>
      <c r="E52" s="60"/>
      <c r="F52" s="60"/>
      <c r="G52" s="41"/>
      <c r="H52" s="41"/>
      <c r="I52" s="60"/>
      <c r="J52" s="60"/>
      <c r="K52" s="969"/>
      <c r="L52" s="969"/>
    </row>
    <row r="53" spans="1:12" ht="17.2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970"/>
      <c r="L53" s="970"/>
    </row>
    <row r="54" spans="1:12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971"/>
      <c r="L54" s="971"/>
    </row>
    <row r="55" spans="1:12">
      <c r="A55" s="49"/>
      <c r="B55" s="49"/>
      <c r="C55" s="49"/>
      <c r="D55" s="49"/>
      <c r="E55" s="49"/>
      <c r="F55" s="49"/>
      <c r="G55" s="49"/>
      <c r="H55" s="49"/>
      <c r="I55" s="49"/>
      <c r="J55" s="49"/>
    </row>
    <row r="56" spans="1:12">
      <c r="A56" s="49"/>
      <c r="B56" s="49"/>
      <c r="C56" s="49"/>
      <c r="D56" s="49"/>
      <c r="E56" s="49"/>
      <c r="F56" s="49"/>
      <c r="G56" s="49"/>
      <c r="H56" s="49"/>
      <c r="I56" s="49"/>
      <c r="J56" s="49"/>
    </row>
    <row r="57" spans="1:12">
      <c r="A57" s="49"/>
      <c r="B57" s="49"/>
      <c r="C57" s="49"/>
      <c r="D57" s="49"/>
      <c r="E57" s="49"/>
      <c r="F57" s="49"/>
      <c r="G57" s="49"/>
      <c r="H57" s="49"/>
      <c r="I57" s="49"/>
      <c r="J57" s="49"/>
    </row>
    <row r="58" spans="1:12">
      <c r="A58" s="49"/>
      <c r="B58" s="49"/>
      <c r="C58" s="49"/>
      <c r="D58" s="49"/>
      <c r="E58" s="49"/>
      <c r="F58" s="49"/>
      <c r="G58" s="49"/>
      <c r="H58" s="49"/>
      <c r="I58" s="49"/>
      <c r="J58" s="49"/>
    </row>
  </sheetData>
  <mergeCells count="2">
    <mergeCell ref="A50:B50"/>
    <mergeCell ref="D50:E50"/>
  </mergeCells>
  <pageMargins left="0.32500000000000001" right="0.19166666666666668" top="0.20833333333333334" bottom="0.1" header="0.3" footer="0.3"/>
  <pageSetup paperSize="9" orientation="portrait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4431-5895-418B-897A-964D4208C684}">
  <sheetPr codeName="Лист9">
    <tabColor rgb="FFC00000"/>
  </sheetPr>
  <dimension ref="A1:K49"/>
  <sheetViews>
    <sheetView view="pageLayout" topLeftCell="A16" zoomScaleNormal="100" zoomScaleSheetLayoutView="110" workbookViewId="0">
      <selection activeCell="D10" sqref="D10:H10"/>
    </sheetView>
  </sheetViews>
  <sheetFormatPr defaultColWidth="8.86328125" defaultRowHeight="14.25"/>
  <cols>
    <col min="2" max="2" width="10.6640625" customWidth="1"/>
    <col min="10" max="10" width="8.86328125" customWidth="1"/>
    <col min="11" max="11" width="5.53125" customWidth="1"/>
  </cols>
  <sheetData>
    <row r="1" spans="1:11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1" ht="14.45" customHeight="1">
      <c r="A2" s="48"/>
      <c r="B2" s="778"/>
      <c r="C2" s="778"/>
      <c r="D2" s="778"/>
      <c r="E2" s="778"/>
      <c r="F2" s="778"/>
      <c r="G2" s="778"/>
      <c r="H2" s="778"/>
      <c r="I2" s="778"/>
      <c r="J2" s="778"/>
    </row>
    <row r="3" spans="1:11" ht="14.45" customHeight="1">
      <c r="A3" s="48"/>
      <c r="B3" s="60"/>
      <c r="C3" s="60"/>
      <c r="D3" s="60"/>
      <c r="E3" s="60"/>
      <c r="F3" s="60"/>
      <c r="G3" s="60"/>
      <c r="H3" s="60"/>
      <c r="I3" s="60"/>
      <c r="J3" s="60"/>
    </row>
    <row r="4" spans="1:11">
      <c r="A4" s="48"/>
      <c r="B4" s="60"/>
      <c r="C4" s="60"/>
      <c r="D4" s="60"/>
      <c r="E4" s="60"/>
      <c r="F4" s="60"/>
      <c r="G4" s="60"/>
      <c r="H4" s="60"/>
      <c r="I4" s="60"/>
      <c r="J4" s="60"/>
    </row>
    <row r="5" spans="1:11">
      <c r="A5" s="48"/>
      <c r="B5" s="60"/>
      <c r="C5" s="51"/>
      <c r="D5" s="51"/>
      <c r="E5" s="51"/>
      <c r="F5" s="51"/>
      <c r="G5" s="94"/>
      <c r="H5" s="70"/>
      <c r="I5" s="70"/>
      <c r="J5" s="60"/>
    </row>
    <row r="6" spans="1:11" ht="14.45" customHeight="1">
      <c r="A6" s="48"/>
      <c r="B6" s="53"/>
      <c r="C6" s="53"/>
      <c r="D6" s="53"/>
      <c r="E6" s="53"/>
      <c r="F6" s="54"/>
      <c r="G6" s="94"/>
      <c r="H6" s="55"/>
      <c r="I6" s="55"/>
      <c r="J6" s="60"/>
    </row>
    <row r="7" spans="1:11" ht="14.45" customHeight="1">
      <c r="A7" s="48"/>
      <c r="B7" s="56"/>
      <c r="C7" s="58"/>
      <c r="D7" s="793"/>
      <c r="E7" s="793"/>
      <c r="F7" s="793"/>
      <c r="G7" s="793"/>
      <c r="H7" s="55"/>
      <c r="I7" s="55"/>
      <c r="J7" s="60"/>
    </row>
    <row r="8" spans="1:11" ht="14.45" customHeight="1">
      <c r="A8" s="48"/>
      <c r="B8" s="59"/>
      <c r="C8" s="59"/>
      <c r="D8" s="792"/>
      <c r="E8" s="792"/>
      <c r="F8" s="792"/>
      <c r="G8" s="792"/>
      <c r="H8" s="792"/>
      <c r="I8" s="60"/>
      <c r="J8" s="60"/>
    </row>
    <row r="9" spans="1:11" ht="14.45" customHeight="1">
      <c r="A9" s="48"/>
      <c r="B9" s="60"/>
      <c r="C9" s="62"/>
      <c r="D9" s="792"/>
      <c r="E9" s="792"/>
      <c r="F9" s="792"/>
      <c r="G9" s="792"/>
      <c r="H9" s="792"/>
      <c r="I9" s="60"/>
      <c r="J9" s="60"/>
    </row>
    <row r="10" spans="1:11" ht="24.75">
      <c r="A10" s="48"/>
      <c r="B10" s="60"/>
      <c r="C10" s="60"/>
      <c r="D10" s="1245" t="s">
        <v>0</v>
      </c>
      <c r="E10" s="1245"/>
      <c r="F10" s="1245"/>
      <c r="G10" s="1245"/>
      <c r="H10" s="1245"/>
      <c r="I10" s="60"/>
      <c r="J10" s="60"/>
    </row>
    <row r="11" spans="1:11">
      <c r="A11" s="48"/>
      <c r="B11" s="544"/>
      <c r="C11" s="544"/>
      <c r="D11" s="544"/>
      <c r="E11" s="544"/>
      <c r="F11" s="544"/>
      <c r="G11" s="544"/>
      <c r="H11" s="60"/>
      <c r="I11" s="60"/>
      <c r="J11" s="60"/>
    </row>
    <row r="12" spans="1:11">
      <c r="A12" s="794"/>
      <c r="B12" s="60"/>
      <c r="C12" s="60"/>
      <c r="D12" s="60"/>
      <c r="E12" s="60"/>
      <c r="F12" s="60"/>
      <c r="G12" s="685"/>
      <c r="H12" s="60"/>
      <c r="I12" s="60"/>
      <c r="J12" s="60"/>
    </row>
    <row r="13" spans="1:11">
      <c r="A13" s="294" t="s">
        <v>53</v>
      </c>
      <c r="B13" s="378"/>
      <c r="C13" s="378"/>
      <c r="D13" s="378"/>
      <c r="E13" s="332"/>
      <c r="F13" s="332"/>
      <c r="G13" s="777" t="s">
        <v>1</v>
      </c>
      <c r="H13" s="378"/>
      <c r="I13" s="378"/>
      <c r="J13" s="332"/>
      <c r="K13" s="358"/>
    </row>
    <row r="14" spans="1:11">
      <c r="A14" s="665"/>
      <c r="B14" s="332"/>
      <c r="C14" s="332"/>
      <c r="D14" s="332"/>
      <c r="E14" s="332"/>
      <c r="F14" s="332"/>
      <c r="G14" s="332"/>
      <c r="H14" s="332"/>
      <c r="I14" s="332"/>
      <c r="J14" s="332"/>
      <c r="K14" s="358"/>
    </row>
    <row r="15" spans="1:11">
      <c r="A15" s="294" t="s">
        <v>2</v>
      </c>
      <c r="B15" s="378"/>
      <c r="C15" s="378"/>
      <c r="D15" s="378"/>
      <c r="E15" s="332"/>
      <c r="F15" s="332"/>
      <c r="G15" s="332"/>
      <c r="H15" s="332"/>
      <c r="I15" s="332"/>
      <c r="J15" s="332"/>
      <c r="K15" s="358"/>
    </row>
    <row r="16" spans="1:11">
      <c r="A16" s="665"/>
      <c r="B16" s="332"/>
      <c r="C16" s="332"/>
      <c r="D16" s="332"/>
      <c r="E16" s="179"/>
      <c r="F16" s="179"/>
      <c r="G16" s="179"/>
      <c r="H16" s="178"/>
      <c r="I16" s="332"/>
      <c r="J16" s="332"/>
      <c r="K16" s="358"/>
    </row>
    <row r="17" spans="1:11">
      <c r="A17" s="294" t="s">
        <v>744</v>
      </c>
      <c r="B17" s="378"/>
      <c r="C17" s="378"/>
      <c r="D17" s="378"/>
      <c r="E17" s="332"/>
      <c r="F17" s="332"/>
      <c r="G17" s="332"/>
      <c r="H17" s="332"/>
      <c r="I17" s="332"/>
      <c r="J17" s="332"/>
      <c r="K17" s="358"/>
    </row>
    <row r="18" spans="1:11">
      <c r="A18" s="48"/>
      <c r="B18" s="332"/>
      <c r="C18" s="332"/>
      <c r="D18" s="332"/>
      <c r="E18" s="332"/>
      <c r="F18" s="179"/>
      <c r="G18" s="179"/>
      <c r="H18" s="179"/>
      <c r="I18" s="178"/>
      <c r="J18" s="178"/>
      <c r="K18" s="358"/>
    </row>
    <row r="19" spans="1:11">
      <c r="A19" s="48"/>
      <c r="B19" s="332"/>
      <c r="C19" s="332"/>
      <c r="D19" s="332"/>
      <c r="E19" s="332"/>
      <c r="F19" s="178"/>
      <c r="G19" s="178"/>
      <c r="H19" s="795"/>
      <c r="I19" s="178"/>
      <c r="J19" s="178"/>
      <c r="K19" s="358"/>
    </row>
    <row r="20" spans="1:11">
      <c r="A20" s="48"/>
      <c r="B20" s="796"/>
      <c r="C20" s="178"/>
      <c r="D20" s="178"/>
      <c r="E20" s="178"/>
      <c r="F20" s="178"/>
      <c r="G20" s="178"/>
      <c r="H20" s="178"/>
      <c r="I20" s="66"/>
      <c r="J20" s="178"/>
      <c r="K20" s="358"/>
    </row>
    <row r="21" spans="1:11">
      <c r="A21" s="797" t="s">
        <v>4</v>
      </c>
      <c r="B21" s="357"/>
      <c r="C21" s="332"/>
      <c r="D21" s="776"/>
      <c r="E21" s="332"/>
      <c r="F21" s="332"/>
      <c r="G21" s="332"/>
      <c r="H21" s="332"/>
      <c r="I21" s="332"/>
      <c r="J21" s="332"/>
      <c r="K21" s="358"/>
    </row>
    <row r="22" spans="1:11">
      <c r="A22" s="48"/>
      <c r="B22" s="343"/>
      <c r="C22" s="798"/>
      <c r="D22" s="798"/>
      <c r="E22" s="178"/>
      <c r="F22" s="66"/>
      <c r="G22" s="66"/>
      <c r="H22" s="66"/>
      <c r="I22" s="66"/>
      <c r="J22" s="342"/>
      <c r="K22" s="358"/>
    </row>
    <row r="23" spans="1:11">
      <c r="A23" s="48"/>
      <c r="B23" s="795"/>
      <c r="C23" s="795"/>
      <c r="D23" s="799"/>
      <c r="E23" s="799"/>
      <c r="F23" s="799"/>
      <c r="G23" s="799"/>
      <c r="H23" s="799"/>
      <c r="I23" s="799"/>
      <c r="J23" s="342"/>
      <c r="K23" s="358"/>
    </row>
    <row r="24" spans="1:11">
      <c r="A24" s="800" t="s">
        <v>5</v>
      </c>
      <c r="B24" s="178"/>
      <c r="C24" s="296"/>
      <c r="D24" s="296"/>
      <c r="E24" s="387"/>
      <c r="F24" s="387"/>
      <c r="G24" s="800" t="s">
        <v>6</v>
      </c>
      <c r="H24" s="346"/>
      <c r="I24" s="347"/>
      <c r="J24" s="347"/>
      <c r="K24" s="358"/>
    </row>
    <row r="25" spans="1:11">
      <c r="A25" s="48"/>
      <c r="B25" s="348"/>
      <c r="C25" s="348"/>
      <c r="D25" s="348"/>
      <c r="E25" s="364"/>
      <c r="F25" s="364"/>
      <c r="G25" s="364"/>
      <c r="H25" s="364"/>
      <c r="I25" s="364"/>
      <c r="J25" s="348"/>
      <c r="K25" s="358"/>
    </row>
    <row r="26" spans="1:11">
      <c r="A26" s="800" t="s">
        <v>770</v>
      </c>
      <c r="B26" s="383"/>
      <c r="C26" s="179"/>
      <c r="D26" s="179"/>
      <c r="E26" s="368"/>
      <c r="F26" s="368"/>
      <c r="G26" s="788"/>
      <c r="H26" s="797" t="s">
        <v>7</v>
      </c>
      <c r="I26" s="179"/>
      <c r="J26" s="179"/>
      <c r="K26" s="358"/>
    </row>
    <row r="27" spans="1:11">
      <c r="A27" s="48"/>
      <c r="B27" s="349"/>
      <c r="C27" s="349"/>
      <c r="D27" s="349"/>
      <c r="E27" s="349"/>
      <c r="F27" s="349"/>
      <c r="G27" s="349"/>
      <c r="H27" s="349"/>
      <c r="I27" s="349"/>
      <c r="J27" s="349"/>
      <c r="K27" s="358"/>
    </row>
    <row r="28" spans="1:11">
      <c r="A28" s="235"/>
      <c r="B28" s="795" t="s">
        <v>8</v>
      </c>
      <c r="C28" s="296"/>
      <c r="D28" s="1246" t="s">
        <v>771</v>
      </c>
      <c r="E28" s="1246"/>
      <c r="F28" s="1246"/>
      <c r="G28" s="1246"/>
      <c r="H28" s="1247"/>
      <c r="I28" s="178"/>
      <c r="J28" s="178"/>
      <c r="K28" s="358"/>
    </row>
    <row r="29" spans="1:11">
      <c r="A29" s="48"/>
      <c r="B29" s="178"/>
      <c r="C29" s="178"/>
      <c r="D29" s="178"/>
      <c r="E29" s="178"/>
      <c r="F29" s="178"/>
      <c r="G29" s="178"/>
      <c r="H29" s="178"/>
      <c r="I29" s="343"/>
      <c r="J29" s="343"/>
      <c r="K29" s="358"/>
    </row>
    <row r="30" spans="1:11">
      <c r="A30" s="800" t="s">
        <v>772</v>
      </c>
      <c r="B30" s="332"/>
      <c r="C30" s="178"/>
      <c r="D30" s="296"/>
      <c r="E30" s="296"/>
      <c r="F30" s="296"/>
      <c r="G30" s="296"/>
      <c r="H30" s="296"/>
      <c r="I30" s="343"/>
      <c r="J30" s="343"/>
      <c r="K30" s="358"/>
    </row>
    <row r="31" spans="1:11">
      <c r="A31" s="48"/>
      <c r="B31" s="178"/>
      <c r="C31" s="178"/>
      <c r="D31" s="178"/>
      <c r="E31" s="178"/>
      <c r="F31" s="179"/>
      <c r="G31" s="179"/>
      <c r="H31" s="179"/>
      <c r="I31" s="178"/>
      <c r="J31" s="178"/>
      <c r="K31" s="358"/>
    </row>
    <row r="32" spans="1:11">
      <c r="A32" s="797" t="s">
        <v>773</v>
      </c>
      <c r="B32" s="178"/>
      <c r="C32" s="178"/>
      <c r="D32" s="378"/>
      <c r="E32" s="296"/>
      <c r="F32" s="801"/>
      <c r="G32" s="801"/>
      <c r="H32" s="343"/>
      <c r="I32" s="343"/>
      <c r="J32" s="178"/>
      <c r="K32" s="358"/>
    </row>
    <row r="33" spans="1:11">
      <c r="A33" s="48"/>
      <c r="B33" s="178"/>
      <c r="C33" s="178"/>
      <c r="D33" s="354"/>
      <c r="E33" s="178"/>
      <c r="F33" s="178"/>
      <c r="G33" s="178"/>
      <c r="H33" s="178"/>
      <c r="I33" s="178"/>
      <c r="J33" s="178"/>
      <c r="K33" s="358"/>
    </row>
    <row r="34" spans="1:11">
      <c r="A34" s="48"/>
      <c r="B34" s="178"/>
      <c r="C34" s="178"/>
      <c r="D34" s="178"/>
      <c r="E34" s="178"/>
      <c r="F34" s="178"/>
      <c r="G34" s="178"/>
      <c r="H34" s="178"/>
      <c r="I34" s="178"/>
      <c r="J34" s="178"/>
      <c r="K34" s="358"/>
    </row>
    <row r="35" spans="1:11">
      <c r="A35" s="48"/>
      <c r="B35" s="355"/>
      <c r="C35" s="356"/>
      <c r="D35" s="342"/>
      <c r="E35" s="179"/>
      <c r="F35" s="179"/>
      <c r="G35" s="179"/>
      <c r="H35" s="179"/>
      <c r="I35" s="178"/>
      <c r="J35" s="178"/>
      <c r="K35" s="358"/>
    </row>
    <row r="36" spans="1:11">
      <c r="A36" s="48"/>
      <c r="B36" s="355"/>
      <c r="C36" s="356"/>
      <c r="D36" s="342"/>
      <c r="E36" s="179"/>
      <c r="F36" s="179"/>
      <c r="G36" s="179" t="s">
        <v>9</v>
      </c>
      <c r="H36" s="179"/>
      <c r="I36" s="178"/>
      <c r="J36" s="178"/>
      <c r="K36" s="358"/>
    </row>
    <row r="37" spans="1:11">
      <c r="A37" s="48"/>
      <c r="B37" s="355"/>
      <c r="C37" s="356"/>
      <c r="D37" s="342"/>
      <c r="E37" s="179"/>
      <c r="F37" s="179"/>
      <c r="G37" s="179"/>
      <c r="H37" s="179"/>
      <c r="I37" s="178"/>
      <c r="J37" s="178"/>
      <c r="K37" s="358"/>
    </row>
    <row r="38" spans="1:11">
      <c r="A38" s="48"/>
      <c r="B38" s="355"/>
      <c r="C38" s="356"/>
      <c r="D38" s="342"/>
      <c r="E38" s="179"/>
      <c r="F38" s="368"/>
      <c r="G38" s="368"/>
      <c r="H38" s="368"/>
      <c r="I38" s="296"/>
      <c r="J38" s="342"/>
      <c r="K38" s="358"/>
    </row>
    <row r="39" spans="1:11">
      <c r="A39" s="48"/>
      <c r="B39" s="355"/>
      <c r="C39" s="356"/>
      <c r="D39" s="342"/>
      <c r="E39" s="179"/>
      <c r="F39" s="179"/>
      <c r="G39" s="1244" t="s">
        <v>10</v>
      </c>
      <c r="H39" s="1244"/>
      <c r="I39" s="178"/>
      <c r="J39" s="178"/>
      <c r="K39" s="358"/>
    </row>
    <row r="40" spans="1:11">
      <c r="A40" s="48"/>
      <c r="B40" s="355"/>
      <c r="C40" s="356"/>
      <c r="D40" s="342"/>
      <c r="E40" s="179"/>
      <c r="F40" s="179"/>
      <c r="G40" s="1244"/>
      <c r="H40" s="1244"/>
      <c r="I40" s="178"/>
      <c r="J40" s="178"/>
      <c r="K40" s="358"/>
    </row>
    <row r="41" spans="1:11">
      <c r="A41" s="48"/>
      <c r="B41" s="355"/>
      <c r="C41" s="356"/>
      <c r="D41" s="342"/>
      <c r="E41" s="179"/>
      <c r="F41" s="179"/>
      <c r="G41" s="179"/>
      <c r="H41" s="179"/>
      <c r="I41" s="332"/>
      <c r="J41" s="354"/>
      <c r="K41" s="358"/>
    </row>
    <row r="42" spans="1:11">
      <c r="A42" s="48"/>
      <c r="B42" s="355" t="s">
        <v>756</v>
      </c>
      <c r="C42" s="356"/>
      <c r="D42" s="342"/>
      <c r="E42" s="1243"/>
      <c r="F42" s="1243"/>
      <c r="G42" s="1243"/>
      <c r="H42" s="1243"/>
      <c r="I42" s="802"/>
      <c r="J42" s="802"/>
      <c r="K42" s="358"/>
    </row>
    <row r="43" spans="1:11">
      <c r="A43" s="48"/>
      <c r="B43" s="206"/>
      <c r="C43" s="178"/>
      <c r="D43" s="178"/>
      <c r="E43" s="179"/>
      <c r="F43" s="179"/>
      <c r="G43" s="179"/>
      <c r="H43" s="179"/>
      <c r="I43" s="802"/>
      <c r="J43" s="802"/>
      <c r="K43" s="358"/>
    </row>
    <row r="44" spans="1:11">
      <c r="A44" s="48"/>
      <c r="B44" s="206" t="s">
        <v>12</v>
      </c>
      <c r="C44" s="178"/>
      <c r="D44" s="178"/>
      <c r="E44" s="1243"/>
      <c r="F44" s="1243"/>
      <c r="G44" s="1243"/>
      <c r="H44" s="1243"/>
      <c r="I44" s="354"/>
      <c r="J44" s="354"/>
      <c r="K44" s="358"/>
    </row>
    <row r="45" spans="1:11">
      <c r="A45" s="48"/>
      <c r="B45" s="206"/>
      <c r="C45" s="178"/>
      <c r="D45" s="178"/>
      <c r="E45" s="179"/>
      <c r="F45" s="179"/>
      <c r="G45" s="179"/>
      <c r="H45" s="179"/>
      <c r="I45" s="802"/>
      <c r="J45" s="802"/>
      <c r="K45" s="358"/>
    </row>
    <row r="46" spans="1:11">
      <c r="A46" s="48"/>
      <c r="B46" s="206" t="s">
        <v>19</v>
      </c>
      <c r="C46" s="178"/>
      <c r="D46" s="178"/>
      <c r="E46" s="1243"/>
      <c r="F46" s="1243"/>
      <c r="G46" s="1243"/>
      <c r="H46" s="1243"/>
      <c r="I46" s="802"/>
      <c r="J46" s="802"/>
      <c r="K46" s="358"/>
    </row>
    <row r="47" spans="1:11">
      <c r="A47" s="48"/>
      <c r="B47" s="803"/>
      <c r="C47" s="803"/>
      <c r="D47" s="803"/>
      <c r="E47" s="803"/>
      <c r="F47" s="803"/>
      <c r="G47" s="803"/>
      <c r="H47" s="803"/>
      <c r="I47" s="803"/>
      <c r="J47" s="803"/>
      <c r="K47" s="358"/>
    </row>
    <row r="48" spans="1:11">
      <c r="A48" s="48"/>
      <c r="B48" s="354"/>
      <c r="C48" s="354"/>
      <c r="D48" s="354"/>
      <c r="E48" s="354"/>
      <c r="F48" s="354"/>
      <c r="G48" s="354"/>
      <c r="H48" s="354"/>
      <c r="I48" s="354"/>
      <c r="J48" s="354"/>
      <c r="K48" s="358"/>
    </row>
    <row r="49" spans="1:10">
      <c r="A49" s="48"/>
      <c r="B49" s="554"/>
      <c r="C49" s="49"/>
      <c r="D49" s="49"/>
      <c r="E49" s="49"/>
      <c r="F49" s="49"/>
      <c r="G49" s="49"/>
      <c r="H49" s="49"/>
      <c r="I49" s="49"/>
      <c r="J49" s="49"/>
    </row>
  </sheetData>
  <mergeCells count="7">
    <mergeCell ref="E46:H46"/>
    <mergeCell ref="G39:H39"/>
    <mergeCell ref="D10:H10"/>
    <mergeCell ref="D28:H28"/>
    <mergeCell ref="G40:H40"/>
    <mergeCell ref="E42:H42"/>
    <mergeCell ref="E44:H44"/>
  </mergeCells>
  <pageMargins left="0.46666666666666667" right="0.23333333333333334" top="0.75" bottom="0.75" header="0.3" footer="0.3"/>
  <pageSetup paperSize="9" orientation="portrait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D5EE-7E58-4C96-8BBF-27638F4AE768}">
  <sheetPr codeName="Лист10">
    <tabColor rgb="FFC00000"/>
  </sheetPr>
  <dimension ref="A1:J49"/>
  <sheetViews>
    <sheetView view="pageLayout" topLeftCell="A4" zoomScaleNormal="100" zoomScaleSheetLayoutView="110" workbookViewId="0">
      <selection activeCell="C23" sqref="C23"/>
    </sheetView>
  </sheetViews>
  <sheetFormatPr defaultColWidth="8.86328125" defaultRowHeight="14.25"/>
  <cols>
    <col min="2" max="2" width="10.6640625" customWidth="1"/>
    <col min="10" max="10" width="8.86328125" customWidth="1"/>
    <col min="11" max="11" width="5.53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 ht="14.45" customHeight="1">
      <c r="A2" s="48"/>
      <c r="B2" s="778"/>
      <c r="C2" s="778"/>
      <c r="D2" s="778"/>
      <c r="E2" s="778"/>
      <c r="F2" s="778"/>
      <c r="G2" s="778"/>
      <c r="H2" s="778"/>
      <c r="I2" s="778"/>
      <c r="J2" s="778"/>
    </row>
    <row r="3" spans="1:10" ht="14.45" customHeight="1">
      <c r="A3" s="48"/>
      <c r="B3" s="60"/>
      <c r="C3" s="60"/>
      <c r="D3" s="60"/>
      <c r="E3" s="60"/>
      <c r="F3" s="60"/>
      <c r="G3" s="60"/>
      <c r="H3" s="60"/>
      <c r="I3" s="60"/>
      <c r="J3" s="60"/>
    </row>
    <row r="4" spans="1:10">
      <c r="A4" s="48"/>
      <c r="B4" s="60"/>
      <c r="C4" s="60"/>
      <c r="D4" s="60"/>
      <c r="E4" s="60"/>
      <c r="F4" s="60"/>
      <c r="G4" s="60"/>
      <c r="H4" s="60"/>
      <c r="I4" s="60"/>
      <c r="J4" s="60"/>
    </row>
    <row r="5" spans="1:10">
      <c r="A5" s="48"/>
      <c r="B5" s="60"/>
      <c r="C5" s="51"/>
      <c r="D5" s="51"/>
      <c r="E5" s="51"/>
      <c r="F5" s="51"/>
      <c r="G5" s="94"/>
      <c r="H5" s="70"/>
      <c r="I5" s="70"/>
      <c r="J5" s="60"/>
    </row>
    <row r="6" spans="1:10">
      <c r="A6" s="48"/>
      <c r="B6" s="53"/>
      <c r="C6" s="53"/>
      <c r="D6" s="53"/>
      <c r="E6" s="53"/>
      <c r="F6" s="54"/>
      <c r="G6" s="94"/>
      <c r="H6" s="55"/>
      <c r="I6" s="55"/>
      <c r="J6" s="60"/>
    </row>
    <row r="7" spans="1:10" ht="24.75">
      <c r="A7" s="48"/>
      <c r="B7" s="56"/>
      <c r="C7" s="58"/>
      <c r="D7" s="1250" t="s">
        <v>743</v>
      </c>
      <c r="E7" s="1250"/>
      <c r="F7" s="1250"/>
      <c r="G7" s="1250"/>
      <c r="H7" s="55"/>
      <c r="I7" s="55"/>
      <c r="J7" s="60"/>
    </row>
    <row r="8" spans="1:10" ht="24.75">
      <c r="A8" s="48"/>
      <c r="B8" s="59"/>
      <c r="C8" s="59"/>
      <c r="D8" s="1245" t="s">
        <v>0</v>
      </c>
      <c r="E8" s="1245"/>
      <c r="F8" s="1245"/>
      <c r="G8" s="1245"/>
      <c r="H8" s="1245"/>
      <c r="I8" s="60"/>
      <c r="J8" s="60"/>
    </row>
    <row r="9" spans="1:10" ht="15">
      <c r="A9" s="48"/>
      <c r="B9" s="60"/>
      <c r="C9" s="62"/>
      <c r="D9" s="779" t="s">
        <v>351</v>
      </c>
      <c r="E9" s="62"/>
      <c r="F9" s="62"/>
      <c r="G9" s="28"/>
      <c r="H9" s="60"/>
      <c r="I9" s="60"/>
      <c r="J9" s="60"/>
    </row>
    <row r="10" spans="1:10">
      <c r="A10" s="48"/>
      <c r="B10" s="60"/>
      <c r="C10" s="60"/>
      <c r="D10" s="60"/>
      <c r="E10" s="60"/>
      <c r="F10" s="60"/>
      <c r="G10" s="60"/>
      <c r="H10" s="60"/>
      <c r="I10" s="60"/>
      <c r="J10" s="60"/>
    </row>
    <row r="11" spans="1:10">
      <c r="A11" s="48"/>
      <c r="B11" s="544"/>
      <c r="C11" s="544"/>
      <c r="D11" s="544"/>
      <c r="E11" s="544"/>
      <c r="F11" s="544"/>
      <c r="G11" s="544"/>
      <c r="H11" s="60"/>
      <c r="I11" s="60"/>
      <c r="J11" s="60"/>
    </row>
    <row r="12" spans="1:10">
      <c r="A12" s="325" t="s">
        <v>53</v>
      </c>
      <c r="B12" s="122"/>
      <c r="C12" s="122"/>
      <c r="D12" s="122"/>
      <c r="E12" s="60"/>
      <c r="F12" s="60"/>
      <c r="G12" s="685" t="s">
        <v>1</v>
      </c>
      <c r="H12" s="122"/>
      <c r="I12" s="122"/>
      <c r="J12" s="60"/>
    </row>
    <row r="13" spans="1:10">
      <c r="A13" s="325" t="s">
        <v>2</v>
      </c>
      <c r="B13" s="83"/>
      <c r="C13" s="83"/>
      <c r="D13" s="83"/>
      <c r="E13" s="60"/>
      <c r="F13" s="60"/>
      <c r="G13" s="60"/>
      <c r="H13" s="60"/>
      <c r="I13" s="60"/>
      <c r="J13" s="60"/>
    </row>
    <row r="14" spans="1:10">
      <c r="A14" s="325" t="s">
        <v>744</v>
      </c>
      <c r="B14" s="83"/>
      <c r="C14" s="83"/>
      <c r="D14" s="83"/>
      <c r="E14" s="60"/>
      <c r="F14" s="60"/>
      <c r="G14" s="60"/>
      <c r="H14" s="60"/>
      <c r="I14" s="60"/>
      <c r="J14" s="60"/>
    </row>
    <row r="15" spans="1:10">
      <c r="A15" s="48"/>
      <c r="B15" s="60"/>
      <c r="C15" s="60"/>
      <c r="D15" s="60"/>
      <c r="E15" s="60"/>
      <c r="F15" s="60"/>
      <c r="G15" s="60"/>
      <c r="H15" s="60"/>
      <c r="I15" s="60"/>
      <c r="J15" s="60"/>
    </row>
    <row r="16" spans="1:10">
      <c r="A16" s="48"/>
      <c r="B16" s="60"/>
      <c r="C16" s="60"/>
      <c r="D16" s="59"/>
      <c r="E16" s="59"/>
      <c r="F16" s="59"/>
      <c r="G16" s="59"/>
      <c r="H16" s="41"/>
      <c r="I16" s="60"/>
      <c r="J16" s="60"/>
    </row>
    <row r="17" spans="1:10">
      <c r="A17" s="99" t="s">
        <v>4</v>
      </c>
      <c r="B17" s="60"/>
      <c r="C17" s="60"/>
      <c r="D17" s="60"/>
      <c r="E17" s="60"/>
      <c r="F17" s="60"/>
      <c r="G17" s="60"/>
      <c r="H17" s="60"/>
      <c r="I17" s="60"/>
      <c r="J17" s="60"/>
    </row>
    <row r="18" spans="1:10">
      <c r="A18" s="48" t="s">
        <v>745</v>
      </c>
      <c r="B18" s="60"/>
      <c r="C18" s="60"/>
      <c r="D18" s="60"/>
      <c r="E18" s="60"/>
      <c r="F18" s="59"/>
      <c r="G18" s="123"/>
      <c r="H18" s="123"/>
      <c r="I18" s="233"/>
      <c r="J18" s="41"/>
    </row>
    <row r="19" spans="1:10">
      <c r="A19" s="48"/>
      <c r="B19" s="60"/>
      <c r="C19" s="60"/>
      <c r="D19" s="60"/>
      <c r="E19" s="60"/>
      <c r="F19" s="41"/>
      <c r="G19" s="41"/>
      <c r="H19" s="616" t="s">
        <v>551</v>
      </c>
      <c r="I19" s="41"/>
      <c r="J19" s="41"/>
    </row>
    <row r="20" spans="1:10">
      <c r="A20" s="48" t="s">
        <v>337</v>
      </c>
      <c r="B20" s="733"/>
      <c r="C20" s="41" t="s">
        <v>747</v>
      </c>
      <c r="D20" s="41"/>
      <c r="E20" s="41"/>
      <c r="F20" s="41"/>
      <c r="G20" s="41"/>
      <c r="H20" s="41"/>
      <c r="I20" s="66"/>
      <c r="J20" s="41"/>
    </row>
    <row r="21" spans="1:10">
      <c r="A21" s="48"/>
      <c r="B21" s="729" t="s">
        <v>746</v>
      </c>
      <c r="C21" s="60"/>
      <c r="D21" s="737"/>
      <c r="E21" s="60"/>
      <c r="F21" s="60"/>
      <c r="G21" s="60"/>
      <c r="H21" s="60"/>
      <c r="I21" s="60"/>
      <c r="J21" s="60"/>
    </row>
    <row r="22" spans="1:10">
      <c r="A22" s="48"/>
      <c r="B22" s="63"/>
      <c r="C22" s="67"/>
      <c r="D22" s="67"/>
      <c r="E22" s="41"/>
      <c r="F22" s="66"/>
      <c r="G22" s="66"/>
      <c r="H22" s="66"/>
      <c r="I22" s="66"/>
      <c r="J22" s="731"/>
    </row>
    <row r="23" spans="1:10">
      <c r="A23" s="48" t="s">
        <v>748</v>
      </c>
      <c r="B23" s="616"/>
      <c r="C23" s="616"/>
      <c r="D23" s="1251"/>
      <c r="E23" s="1251"/>
      <c r="F23" s="1251"/>
      <c r="G23" s="1251"/>
      <c r="H23" s="1251"/>
      <c r="I23" s="1251"/>
      <c r="J23" s="731"/>
    </row>
    <row r="24" spans="1:10">
      <c r="A24" s="48"/>
      <c r="B24" s="41"/>
      <c r="C24" s="41"/>
      <c r="D24" s="41"/>
      <c r="E24" s="70"/>
      <c r="F24" s="70"/>
      <c r="G24" s="70"/>
      <c r="H24" s="70"/>
      <c r="I24" s="71"/>
      <c r="J24" s="71"/>
    </row>
    <row r="25" spans="1:10">
      <c r="A25" s="48" t="s">
        <v>8</v>
      </c>
      <c r="B25" s="550"/>
      <c r="C25" s="1252" t="s">
        <v>749</v>
      </c>
      <c r="D25" s="1252"/>
      <c r="E25" s="1253"/>
      <c r="F25" s="1253"/>
      <c r="G25" s="1253"/>
      <c r="H25" s="1253"/>
      <c r="I25" s="1253"/>
      <c r="J25" s="72"/>
    </row>
    <row r="26" spans="1:10">
      <c r="A26" s="48"/>
      <c r="B26" s="334" t="s">
        <v>746</v>
      </c>
      <c r="C26" s="59"/>
      <c r="D26" s="59"/>
      <c r="E26" s="59"/>
      <c r="F26" s="59"/>
      <c r="G26" s="73" t="s">
        <v>551</v>
      </c>
      <c r="H26" s="59"/>
      <c r="I26" s="59"/>
      <c r="J26" s="59"/>
    </row>
    <row r="27" spans="1:10">
      <c r="A27" s="48" t="s">
        <v>750</v>
      </c>
      <c r="B27" s="35"/>
      <c r="C27" s="35"/>
      <c r="D27" s="35"/>
      <c r="E27" s="35"/>
      <c r="F27" s="35"/>
      <c r="G27" s="35"/>
      <c r="H27" s="35"/>
      <c r="I27" s="35"/>
      <c r="J27" s="35"/>
    </row>
    <row r="28" spans="1:10">
      <c r="A28" s="48" t="s">
        <v>751</v>
      </c>
      <c r="B28" s="41"/>
      <c r="C28" s="41"/>
      <c r="D28" s="41"/>
      <c r="E28" s="41"/>
      <c r="F28" s="28"/>
      <c r="G28" s="28"/>
      <c r="H28" s="28"/>
      <c r="I28" s="41"/>
      <c r="J28" s="41"/>
    </row>
    <row r="29" spans="1:10">
      <c r="A29" s="48" t="s">
        <v>752</v>
      </c>
      <c r="B29" s="41"/>
      <c r="C29" s="41"/>
      <c r="D29" s="41"/>
      <c r="E29" s="41"/>
      <c r="F29" s="41"/>
      <c r="G29" s="41"/>
      <c r="H29" s="41"/>
      <c r="I29" s="1254"/>
      <c r="J29" s="1254"/>
    </row>
    <row r="30" spans="1:10">
      <c r="A30" s="48"/>
      <c r="B30" s="49"/>
      <c r="C30" s="41"/>
      <c r="D30" s="41"/>
      <c r="E30" s="41"/>
      <c r="F30" s="41"/>
      <c r="G30" s="41"/>
      <c r="H30" s="41"/>
      <c r="I30" s="1145" t="s">
        <v>753</v>
      </c>
      <c r="J30" s="1145"/>
    </row>
    <row r="31" spans="1:10">
      <c r="A31" s="48" t="s">
        <v>754</v>
      </c>
      <c r="B31" s="41"/>
      <c r="C31" s="41"/>
      <c r="D31" s="41"/>
      <c r="E31" s="41"/>
      <c r="F31" s="59"/>
      <c r="G31" s="59"/>
      <c r="H31" s="123"/>
      <c r="I31" s="233"/>
      <c r="J31" s="41"/>
    </row>
    <row r="32" spans="1:10">
      <c r="A32" s="48"/>
      <c r="B32" s="41"/>
      <c r="C32" s="41"/>
      <c r="D32" s="49"/>
      <c r="E32" s="41"/>
      <c r="F32" s="28"/>
      <c r="G32" s="28"/>
      <c r="H32" s="1145" t="s">
        <v>551</v>
      </c>
      <c r="I32" s="1145"/>
      <c r="J32" s="41"/>
    </row>
    <row r="33" spans="1:10">
      <c r="A33" s="48" t="s">
        <v>755</v>
      </c>
      <c r="B33" s="41"/>
      <c r="C33" s="41"/>
      <c r="D33" s="49"/>
      <c r="E33" s="41"/>
      <c r="F33" s="41"/>
      <c r="G33" s="41"/>
      <c r="H33" s="41"/>
      <c r="I33" s="41"/>
      <c r="J33" s="41"/>
    </row>
    <row r="34" spans="1:10">
      <c r="A34" s="48"/>
      <c r="B34" s="41"/>
      <c r="C34" s="41"/>
      <c r="D34" s="41"/>
      <c r="E34" s="41"/>
      <c r="F34" s="41"/>
      <c r="G34" s="41"/>
      <c r="H34" s="41"/>
      <c r="I34" s="41"/>
      <c r="J34" s="41"/>
    </row>
    <row r="35" spans="1:10">
      <c r="A35" s="48"/>
      <c r="B35" s="728"/>
      <c r="C35" s="74"/>
      <c r="D35" s="731"/>
      <c r="E35" s="59"/>
      <c r="F35" s="59"/>
      <c r="G35" s="59"/>
      <c r="H35" s="59"/>
      <c r="I35" s="41"/>
      <c r="J35" s="41"/>
    </row>
    <row r="36" spans="1:10" ht="15.4">
      <c r="A36" s="48"/>
      <c r="B36" s="728"/>
      <c r="C36" s="74"/>
      <c r="D36" s="731"/>
      <c r="E36" s="59"/>
      <c r="F36" s="59"/>
      <c r="G36" s="780" t="s">
        <v>9</v>
      </c>
      <c r="H36" s="59"/>
      <c r="I36" s="41"/>
      <c r="J36" s="41"/>
    </row>
    <row r="37" spans="1:10">
      <c r="A37" s="48"/>
      <c r="B37" s="728"/>
      <c r="C37" s="74"/>
      <c r="D37" s="731"/>
      <c r="E37" s="59"/>
      <c r="F37" s="59"/>
      <c r="G37" s="59"/>
      <c r="H37" s="59"/>
      <c r="I37" s="41"/>
      <c r="J37" s="41"/>
    </row>
    <row r="38" spans="1:10">
      <c r="A38" s="48"/>
      <c r="B38" s="728"/>
      <c r="C38" s="74"/>
      <c r="D38" s="731"/>
      <c r="E38" s="59"/>
      <c r="F38" s="59"/>
      <c r="G38" s="59"/>
      <c r="H38" s="59"/>
      <c r="I38" s="731"/>
      <c r="J38" s="731"/>
    </row>
    <row r="39" spans="1:10">
      <c r="A39" s="48"/>
      <c r="B39" s="728"/>
      <c r="C39" s="74"/>
      <c r="D39" s="731"/>
      <c r="E39" s="59"/>
      <c r="F39" s="123"/>
      <c r="G39" s="123"/>
      <c r="H39" s="123"/>
      <c r="I39" s="233"/>
      <c r="J39" s="41"/>
    </row>
    <row r="40" spans="1:10">
      <c r="A40" s="48"/>
      <c r="B40" s="728"/>
      <c r="C40" s="74"/>
      <c r="D40" s="731"/>
      <c r="E40" s="59"/>
      <c r="F40" s="59"/>
      <c r="G40" s="1249" t="s">
        <v>10</v>
      </c>
      <c r="H40" s="1249"/>
      <c r="I40" s="41"/>
      <c r="J40" s="41"/>
    </row>
    <row r="41" spans="1:10">
      <c r="A41" s="48"/>
      <c r="B41" s="728"/>
      <c r="C41" s="74"/>
      <c r="D41" s="731"/>
      <c r="E41" s="59"/>
      <c r="F41" s="59"/>
      <c r="G41" s="59"/>
      <c r="H41" s="59"/>
      <c r="I41" s="49"/>
      <c r="J41" s="49"/>
    </row>
    <row r="42" spans="1:10">
      <c r="A42" s="48"/>
      <c r="B42" s="728" t="s">
        <v>756</v>
      </c>
      <c r="C42" s="74"/>
      <c r="D42" s="731"/>
      <c r="E42" s="1248"/>
      <c r="F42" s="1248"/>
      <c r="G42" s="1248"/>
      <c r="H42" s="1248"/>
      <c r="I42" s="84"/>
      <c r="J42" s="84"/>
    </row>
    <row r="43" spans="1:10">
      <c r="A43" s="48"/>
      <c r="B43" s="28"/>
      <c r="C43" s="41"/>
      <c r="D43" s="41"/>
      <c r="E43" s="59"/>
      <c r="F43" s="59"/>
      <c r="G43" s="59"/>
      <c r="H43" s="59"/>
      <c r="I43" s="84"/>
      <c r="J43" s="84"/>
    </row>
    <row r="44" spans="1:10">
      <c r="A44" s="48"/>
      <c r="B44" s="28" t="s">
        <v>12</v>
      </c>
      <c r="C44" s="41"/>
      <c r="D44" s="41"/>
      <c r="E44" s="1248"/>
      <c r="F44" s="1248"/>
      <c r="G44" s="1248"/>
      <c r="H44" s="1248"/>
      <c r="I44" s="49"/>
      <c r="J44" s="49"/>
    </row>
    <row r="45" spans="1:10">
      <c r="A45" s="48"/>
      <c r="B45" s="28"/>
      <c r="C45" s="41"/>
      <c r="D45" s="41"/>
      <c r="E45" s="59"/>
      <c r="F45" s="59"/>
      <c r="G45" s="59"/>
      <c r="H45" s="59"/>
      <c r="I45" s="84"/>
      <c r="J45" s="84"/>
    </row>
    <row r="46" spans="1:10">
      <c r="A46" s="48"/>
      <c r="B46" s="28" t="s">
        <v>19</v>
      </c>
      <c r="C46" s="41"/>
      <c r="D46" s="41"/>
      <c r="E46" s="1248"/>
      <c r="F46" s="1248"/>
      <c r="G46" s="1248"/>
      <c r="H46" s="1248"/>
      <c r="I46" s="84"/>
      <c r="J46" s="84"/>
    </row>
    <row r="47" spans="1:10">
      <c r="A47" s="48"/>
      <c r="B47" s="539"/>
      <c r="C47" s="539"/>
      <c r="D47" s="539"/>
      <c r="E47" s="539"/>
      <c r="F47" s="539"/>
      <c r="G47" s="539"/>
      <c r="H47" s="539"/>
      <c r="I47" s="539"/>
      <c r="J47" s="539"/>
    </row>
    <row r="48" spans="1:10">
      <c r="A48" s="48"/>
      <c r="B48" s="49"/>
      <c r="C48" s="49"/>
      <c r="D48" s="49"/>
      <c r="E48" s="49"/>
      <c r="F48" s="49"/>
      <c r="G48" s="49"/>
      <c r="H48" s="49"/>
      <c r="I48" s="49"/>
      <c r="J48" s="49"/>
    </row>
    <row r="49" spans="1:10">
      <c r="A49" s="48"/>
      <c r="B49" s="554"/>
      <c r="C49" s="49"/>
      <c r="D49" s="49"/>
      <c r="E49" s="49"/>
      <c r="F49" s="49"/>
      <c r="G49" s="49"/>
      <c r="H49" s="49"/>
      <c r="I49" s="49"/>
      <c r="J49" s="49"/>
    </row>
  </sheetData>
  <mergeCells count="12">
    <mergeCell ref="E44:H44"/>
    <mergeCell ref="E46:H46"/>
    <mergeCell ref="G40:H40"/>
    <mergeCell ref="D7:G7"/>
    <mergeCell ref="D8:H8"/>
    <mergeCell ref="D23:I23"/>
    <mergeCell ref="C25:D25"/>
    <mergeCell ref="E25:I25"/>
    <mergeCell ref="I29:J29"/>
    <mergeCell ref="I30:J30"/>
    <mergeCell ref="H32:I32"/>
    <mergeCell ref="E42:H42"/>
  </mergeCells>
  <pageMargins left="0.46666666666666667" right="0.23333333333333334" top="0.75" bottom="0.75" header="0.3" footer="0.3"/>
  <pageSetup paperSize="9"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1">
    <tabColor rgb="FFC00000"/>
  </sheetPr>
  <dimension ref="B2:J49"/>
  <sheetViews>
    <sheetView view="pageBreakPreview" topLeftCell="A10" zoomScale="110" zoomScaleNormal="100" zoomScaleSheetLayoutView="110" workbookViewId="0">
      <selection activeCell="C27" sqref="C27"/>
    </sheetView>
  </sheetViews>
  <sheetFormatPr defaultRowHeight="14.25"/>
  <cols>
    <col min="2" max="2" width="10.6640625" customWidth="1"/>
    <col min="10" max="10" width="3.33203125" customWidth="1"/>
  </cols>
  <sheetData>
    <row r="2" spans="2:10" ht="24.75">
      <c r="B2" s="1256" t="s">
        <v>0</v>
      </c>
      <c r="C2" s="1256"/>
      <c r="D2" s="1256"/>
      <c r="E2" s="1256"/>
      <c r="F2" s="1256"/>
      <c r="G2" s="1256"/>
      <c r="H2" s="1256"/>
      <c r="I2" s="1256"/>
      <c r="J2" s="1256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1"/>
      <c r="C4" s="1"/>
      <c r="D4" s="1"/>
      <c r="E4" s="1"/>
      <c r="F4" s="1"/>
      <c r="G4" s="1"/>
      <c r="H4" s="1"/>
      <c r="I4" s="1"/>
      <c r="J4" s="1"/>
    </row>
    <row r="5" spans="2:10">
      <c r="B5" s="1" t="s">
        <v>14</v>
      </c>
      <c r="C5" s="1261" t="s">
        <v>35</v>
      </c>
      <c r="D5" s="1261"/>
      <c r="E5" s="1261"/>
      <c r="F5" s="42"/>
      <c r="G5" s="2" t="s">
        <v>1</v>
      </c>
      <c r="H5" s="1257">
        <f ca="1">TODAY()</f>
        <v>46054</v>
      </c>
      <c r="I5" s="1257"/>
      <c r="J5" s="1"/>
    </row>
    <row r="6" spans="2:10">
      <c r="B6" s="3"/>
      <c r="C6" s="3"/>
      <c r="D6" s="3"/>
      <c r="E6" s="3"/>
      <c r="F6" s="4"/>
      <c r="G6" s="2"/>
      <c r="H6" s="5"/>
      <c r="I6" s="5"/>
      <c r="J6" s="1"/>
    </row>
    <row r="7" spans="2:10">
      <c r="B7" s="6" t="s">
        <v>2</v>
      </c>
      <c r="C7" s="1262" t="s">
        <v>16</v>
      </c>
      <c r="D7" s="1262"/>
      <c r="E7" s="1262"/>
      <c r="F7" s="43"/>
      <c r="G7" s="2"/>
      <c r="H7" s="5"/>
      <c r="I7" s="5"/>
      <c r="J7" s="1"/>
    </row>
    <row r="8" spans="2:10">
      <c r="B8" s="7"/>
      <c r="C8" s="7"/>
      <c r="D8" s="7"/>
      <c r="E8" s="7"/>
      <c r="F8" s="7"/>
      <c r="G8" s="7"/>
      <c r="H8" s="1"/>
      <c r="I8" s="1"/>
      <c r="J8" s="1"/>
    </row>
    <row r="9" spans="2:10">
      <c r="B9" s="8" t="s">
        <v>3</v>
      </c>
      <c r="C9" s="1263" t="s">
        <v>13</v>
      </c>
      <c r="D9" s="1263"/>
      <c r="E9" s="1263"/>
      <c r="F9" s="44"/>
      <c r="G9" s="9"/>
      <c r="H9" s="8"/>
      <c r="I9" s="8"/>
      <c r="J9" s="1"/>
    </row>
    <row r="10" spans="2:10">
      <c r="B10" s="1"/>
      <c r="C10" s="1"/>
      <c r="D10" s="1"/>
      <c r="E10" s="1"/>
      <c r="F10" s="1"/>
      <c r="G10" s="1"/>
      <c r="H10" s="1"/>
      <c r="I10" s="1"/>
      <c r="J10" s="1"/>
    </row>
    <row r="11" spans="2:10">
      <c r="B11" s="10"/>
      <c r="C11" s="10"/>
      <c r="D11" s="10"/>
      <c r="E11" s="10"/>
      <c r="F11" s="10"/>
      <c r="G11" s="10"/>
      <c r="H11" s="1"/>
      <c r="I11" s="1"/>
      <c r="J11" s="1"/>
    </row>
    <row r="12" spans="2:10">
      <c r="B12" s="1"/>
      <c r="C12" s="1"/>
      <c r="D12" s="1"/>
      <c r="E12" s="1"/>
      <c r="F12" s="1"/>
      <c r="G12" s="1"/>
      <c r="H12" s="1"/>
      <c r="I12" s="1"/>
      <c r="J12" s="1"/>
    </row>
    <row r="13" spans="2:10">
      <c r="B13" s="1" t="s">
        <v>4</v>
      </c>
      <c r="C13" s="1"/>
      <c r="D13" s="1"/>
      <c r="E13" s="1"/>
      <c r="F13" s="1"/>
      <c r="G13" s="1"/>
      <c r="H13" s="1"/>
      <c r="I13" s="1"/>
      <c r="J13" s="1"/>
    </row>
    <row r="14" spans="2:10">
      <c r="B14" s="1"/>
      <c r="C14" s="1"/>
      <c r="D14" s="1"/>
      <c r="E14" s="1"/>
      <c r="F14" s="1"/>
      <c r="G14" s="1"/>
      <c r="H14" s="1"/>
      <c r="I14" s="1"/>
      <c r="J14" s="1"/>
    </row>
    <row r="15" spans="2:10">
      <c r="B15" s="8"/>
      <c r="C15" s="8"/>
      <c r="D15" s="8"/>
      <c r="E15" s="8"/>
      <c r="F15" s="8"/>
      <c r="G15" s="8"/>
      <c r="H15" s="8"/>
      <c r="I15" s="8"/>
      <c r="J15" s="8"/>
    </row>
    <row r="16" spans="2:10">
      <c r="B16" s="8" t="s">
        <v>5</v>
      </c>
      <c r="C16" s="8"/>
      <c r="D16" s="1255" t="s">
        <v>13</v>
      </c>
      <c r="E16" s="1255"/>
      <c r="F16" s="1255"/>
      <c r="G16" s="1255"/>
      <c r="H16" s="11" t="s">
        <v>6</v>
      </c>
      <c r="I16" s="8"/>
      <c r="J16" s="8"/>
    </row>
    <row r="17" spans="2:10">
      <c r="B17" s="8"/>
      <c r="C17" s="8"/>
      <c r="D17" s="8"/>
      <c r="E17" s="8"/>
      <c r="F17" s="8"/>
      <c r="G17" s="8"/>
      <c r="H17" s="8"/>
      <c r="I17" s="8"/>
      <c r="J17" s="8"/>
    </row>
    <row r="18" spans="2:10">
      <c r="B18" s="8" t="s">
        <v>20</v>
      </c>
      <c r="C18" s="8"/>
      <c r="D18" s="8"/>
      <c r="E18" s="8"/>
      <c r="F18" s="1255" t="s">
        <v>37</v>
      </c>
      <c r="G18" s="1255"/>
      <c r="H18" s="1255"/>
      <c r="I18" s="11" t="s">
        <v>7</v>
      </c>
      <c r="J18" s="11"/>
    </row>
    <row r="19" spans="2:10">
      <c r="B19" s="8"/>
      <c r="C19" s="8"/>
      <c r="D19" s="8"/>
      <c r="E19" s="8"/>
      <c r="F19" s="11"/>
      <c r="G19" s="11"/>
      <c r="H19" s="11"/>
      <c r="I19" s="11"/>
      <c r="J19" s="11"/>
    </row>
    <row r="20" spans="2:10">
      <c r="B20" s="32">
        <v>43699</v>
      </c>
      <c r="C20" s="34" t="s">
        <v>8</v>
      </c>
      <c r="D20" s="12" t="s">
        <v>15</v>
      </c>
      <c r="E20" s="1258" t="s">
        <v>36</v>
      </c>
      <c r="F20" s="1258"/>
      <c r="G20" s="1258"/>
      <c r="H20" s="1258"/>
      <c r="I20" s="1259"/>
      <c r="J20" s="11"/>
    </row>
    <row r="21" spans="2:10">
      <c r="B21" s="75" t="s">
        <v>39</v>
      </c>
      <c r="C21" s="8"/>
      <c r="D21" s="46" t="s">
        <v>41</v>
      </c>
      <c r="E21" s="8"/>
      <c r="F21" s="8"/>
      <c r="G21" s="8"/>
      <c r="H21" s="8"/>
      <c r="I21" s="8"/>
      <c r="J21" s="8"/>
    </row>
    <row r="22" spans="2:10">
      <c r="B22" s="14" t="s">
        <v>17</v>
      </c>
      <c r="C22" s="15"/>
      <c r="D22" s="15"/>
      <c r="E22" s="11"/>
      <c r="F22" s="31"/>
      <c r="G22" s="31"/>
      <c r="H22" s="31"/>
      <c r="I22" s="31"/>
      <c r="J22" s="34"/>
    </row>
    <row r="23" spans="2:10">
      <c r="B23" s="16"/>
      <c r="C23" s="16"/>
      <c r="D23" s="17"/>
      <c r="E23" s="17"/>
      <c r="F23" s="18"/>
      <c r="G23" s="18"/>
      <c r="H23" s="34"/>
      <c r="I23" s="18"/>
      <c r="J23" s="34"/>
    </row>
    <row r="24" spans="2:10">
      <c r="B24" s="11" t="s">
        <v>18</v>
      </c>
      <c r="C24" s="11"/>
      <c r="D24" s="11"/>
      <c r="E24" s="30"/>
      <c r="F24" s="30"/>
      <c r="G24" s="30"/>
      <c r="H24" s="30"/>
      <c r="I24" s="19"/>
      <c r="J24" s="19"/>
    </row>
    <row r="25" spans="2:10">
      <c r="B25" s="20"/>
      <c r="C25" s="20"/>
      <c r="D25" s="20"/>
      <c r="E25" s="20"/>
      <c r="F25" s="20"/>
      <c r="G25" s="20"/>
      <c r="H25" s="20"/>
      <c r="I25" s="20"/>
      <c r="J25" s="20"/>
    </row>
    <row r="26" spans="2:10">
      <c r="B26" s="7"/>
      <c r="C26" s="7"/>
      <c r="D26" s="7"/>
      <c r="E26" s="7"/>
      <c r="F26" s="7"/>
      <c r="G26" s="7"/>
      <c r="H26" s="7"/>
      <c r="I26" s="7"/>
      <c r="J26" s="7"/>
    </row>
    <row r="27" spans="2:10">
      <c r="B27" s="21"/>
      <c r="C27" s="21"/>
      <c r="D27" s="21"/>
      <c r="E27" s="21"/>
      <c r="F27" s="21"/>
      <c r="G27" s="21"/>
      <c r="H27" s="21"/>
      <c r="I27" s="21"/>
      <c r="J27" s="21"/>
    </row>
    <row r="28" spans="2:10">
      <c r="B28" s="11"/>
      <c r="C28" s="11"/>
      <c r="D28" s="11"/>
      <c r="E28" s="11"/>
      <c r="F28" s="1260" t="s">
        <v>9</v>
      </c>
      <c r="G28" s="1260"/>
      <c r="H28" s="1260"/>
      <c r="I28" s="11"/>
      <c r="J28" s="11"/>
    </row>
    <row r="29" spans="2:10">
      <c r="B29" s="11"/>
      <c r="C29" s="11"/>
      <c r="D29" s="11"/>
      <c r="E29" s="11"/>
      <c r="F29" s="11"/>
      <c r="G29" s="11"/>
      <c r="H29" s="11"/>
      <c r="I29" s="11"/>
      <c r="J29" s="11"/>
    </row>
    <row r="30" spans="2:10">
      <c r="B30" s="22"/>
      <c r="C30" s="11"/>
      <c r="D30" s="11"/>
      <c r="E30" s="11"/>
      <c r="F30" s="11"/>
      <c r="G30" s="11"/>
      <c r="H30" s="11"/>
      <c r="I30" s="11"/>
      <c r="J30" s="11"/>
    </row>
    <row r="31" spans="2:10">
      <c r="B31" s="11"/>
      <c r="C31" s="11"/>
      <c r="D31" s="11"/>
      <c r="E31" s="11"/>
      <c r="F31" s="1255" t="s">
        <v>34</v>
      </c>
      <c r="G31" s="1255"/>
      <c r="H31" s="1255"/>
      <c r="I31" s="11"/>
      <c r="J31" s="11"/>
    </row>
    <row r="32" spans="2:10">
      <c r="B32" s="11"/>
      <c r="C32" s="11"/>
      <c r="D32" s="22"/>
      <c r="E32" s="11"/>
      <c r="F32" s="1242" t="s">
        <v>10</v>
      </c>
      <c r="G32" s="1242"/>
      <c r="H32" s="1242"/>
      <c r="I32" s="11"/>
      <c r="J32" s="11"/>
    </row>
    <row r="33" spans="2:10">
      <c r="B33" s="11"/>
      <c r="C33" s="11"/>
      <c r="D33" s="22"/>
      <c r="E33" s="11"/>
      <c r="F33" s="11"/>
      <c r="G33" s="11"/>
      <c r="H33" s="11"/>
      <c r="I33" s="11"/>
      <c r="J33" s="11"/>
    </row>
    <row r="34" spans="2:10">
      <c r="B34" s="11"/>
      <c r="C34" s="11"/>
      <c r="D34" s="11"/>
      <c r="E34" s="11"/>
      <c r="F34" s="11"/>
      <c r="G34" s="11"/>
      <c r="H34" s="11"/>
      <c r="I34" s="11"/>
      <c r="J34" s="11"/>
    </row>
    <row r="35" spans="2:10">
      <c r="B35" s="29" t="s">
        <v>11</v>
      </c>
      <c r="C35" s="33"/>
      <c r="D35" s="34"/>
      <c r="E35" s="1255"/>
      <c r="F35" s="1255"/>
      <c r="G35" s="1255"/>
      <c r="H35" s="1255"/>
      <c r="I35" s="11"/>
      <c r="J35" s="11"/>
    </row>
    <row r="36" spans="2:10">
      <c r="B36" s="11"/>
      <c r="C36" s="11"/>
      <c r="D36" s="11"/>
      <c r="E36" s="23"/>
      <c r="F36" s="11"/>
      <c r="G36" s="11"/>
      <c r="H36" s="11"/>
      <c r="I36" s="11"/>
      <c r="J36" s="11"/>
    </row>
    <row r="37" spans="2:10">
      <c r="B37" s="28" t="s">
        <v>12</v>
      </c>
      <c r="C37" s="11"/>
      <c r="D37" s="11"/>
      <c r="E37" s="1255"/>
      <c r="F37" s="1255"/>
      <c r="G37" s="1255"/>
      <c r="H37" s="1255"/>
      <c r="I37" s="24"/>
      <c r="J37" s="24"/>
    </row>
    <row r="38" spans="2:10">
      <c r="B38" s="34"/>
      <c r="C38" s="34"/>
      <c r="D38" s="34"/>
      <c r="E38" s="34"/>
      <c r="F38" s="34"/>
      <c r="G38" s="34"/>
      <c r="H38" s="34"/>
      <c r="I38" s="34"/>
      <c r="J38" s="34"/>
    </row>
    <row r="39" spans="2:10">
      <c r="B39" s="28" t="s">
        <v>19</v>
      </c>
      <c r="C39" s="11"/>
      <c r="D39" s="11"/>
      <c r="E39" s="1255"/>
      <c r="F39" s="1255"/>
      <c r="G39" s="1255"/>
      <c r="H39" s="1255"/>
      <c r="I39" s="24"/>
      <c r="J39" s="24"/>
    </row>
    <row r="40" spans="2:10">
      <c r="B40" s="11"/>
      <c r="C40" s="11"/>
      <c r="D40" s="11"/>
      <c r="E40" s="11"/>
      <c r="F40" s="11"/>
      <c r="G40" s="11"/>
      <c r="H40" s="11"/>
      <c r="I40" s="11"/>
      <c r="J40" s="11"/>
    </row>
    <row r="41" spans="2:10">
      <c r="B41" s="22"/>
      <c r="C41" s="22"/>
      <c r="D41" s="22"/>
      <c r="E41" s="22"/>
      <c r="F41" s="22"/>
      <c r="G41" s="22"/>
      <c r="H41" s="22"/>
      <c r="I41" s="22"/>
      <c r="J41" s="22"/>
    </row>
    <row r="42" spans="2:10">
      <c r="B42" s="1265"/>
      <c r="C42" s="1265"/>
      <c r="D42" s="1265"/>
      <c r="E42" s="1265"/>
      <c r="F42" s="1265"/>
      <c r="G42" s="1265"/>
      <c r="H42" s="1265"/>
      <c r="I42" s="1265"/>
      <c r="J42" s="25"/>
    </row>
    <row r="43" spans="2:10">
      <c r="B43" s="1266"/>
      <c r="C43" s="1266"/>
      <c r="D43" s="1266"/>
      <c r="E43" s="1266"/>
      <c r="F43" s="1266"/>
      <c r="G43" s="1266"/>
      <c r="H43" s="1266"/>
      <c r="I43" s="1266"/>
      <c r="J43" s="26"/>
    </row>
    <row r="44" spans="2:10">
      <c r="B44" s="1"/>
      <c r="C44" s="1"/>
      <c r="D44" s="1"/>
      <c r="E44" s="1"/>
      <c r="F44" s="1"/>
      <c r="G44" s="1"/>
      <c r="H44" s="1"/>
      <c r="I44" s="1"/>
      <c r="J44" s="1"/>
    </row>
    <row r="45" spans="2:10">
      <c r="B45" s="1266"/>
      <c r="C45" s="1266"/>
      <c r="D45" s="1266"/>
      <c r="E45" s="1266"/>
      <c r="F45" s="1266"/>
      <c r="G45" s="1266"/>
      <c r="H45" s="1266"/>
      <c r="I45" s="1266"/>
      <c r="J45" s="1266"/>
    </row>
    <row r="46" spans="2:10">
      <c r="B46" s="1266"/>
      <c r="C46" s="1266"/>
      <c r="D46" s="1266"/>
      <c r="E46" s="1266"/>
      <c r="F46" s="1266"/>
      <c r="G46" s="1266"/>
      <c r="H46" s="1266"/>
      <c r="I46" s="1266"/>
      <c r="J46" s="1266"/>
    </row>
    <row r="47" spans="2:10">
      <c r="B47" s="1264"/>
      <c r="C47" s="1264"/>
      <c r="D47" s="1264"/>
      <c r="E47" s="1264"/>
      <c r="F47" s="1264"/>
      <c r="G47" s="1264"/>
      <c r="H47" s="1264"/>
      <c r="I47" s="1264"/>
      <c r="J47" s="1264"/>
    </row>
    <row r="48" spans="2:10">
      <c r="B48" s="1"/>
      <c r="C48" s="1"/>
      <c r="D48" s="1"/>
      <c r="E48" s="1"/>
      <c r="F48" s="1"/>
      <c r="G48" s="1"/>
      <c r="H48" s="1"/>
      <c r="I48" s="1"/>
      <c r="J48" s="1"/>
    </row>
    <row r="49" spans="2:10">
      <c r="B49" s="27"/>
      <c r="C49" s="1"/>
      <c r="D49" s="1"/>
      <c r="E49" s="1"/>
      <c r="F49" s="1"/>
      <c r="G49" s="1"/>
      <c r="H49" s="1"/>
      <c r="I49" s="1"/>
      <c r="J49" s="1"/>
    </row>
  </sheetData>
  <mergeCells count="19">
    <mergeCell ref="B47:J47"/>
    <mergeCell ref="E37:H37"/>
    <mergeCell ref="E39:H39"/>
    <mergeCell ref="B42:I42"/>
    <mergeCell ref="B43:I43"/>
    <mergeCell ref="B45:J45"/>
    <mergeCell ref="B46:J46"/>
    <mergeCell ref="E35:H35"/>
    <mergeCell ref="B2:J2"/>
    <mergeCell ref="H5:I5"/>
    <mergeCell ref="D16:G16"/>
    <mergeCell ref="F18:H18"/>
    <mergeCell ref="E20:I20"/>
    <mergeCell ref="F28:H28"/>
    <mergeCell ref="F31:H31"/>
    <mergeCell ref="F32:H32"/>
    <mergeCell ref="C5:E5"/>
    <mergeCell ref="C7:E7"/>
    <mergeCell ref="C9:E9"/>
  </mergeCells>
  <pageMargins left="0.7" right="0.7" top="0.75" bottom="0.75" header="0.3" footer="0.3"/>
  <pageSetup paperSize="9" orientation="portrait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2">
    <tabColor rgb="FF00B050"/>
  </sheetPr>
  <dimension ref="A1:J49"/>
  <sheetViews>
    <sheetView view="pageBreakPreview" zoomScale="110" zoomScaleNormal="100" zoomScaleSheetLayoutView="110" workbookViewId="0">
      <selection activeCell="B6" sqref="B6:C6"/>
    </sheetView>
  </sheetViews>
  <sheetFormatPr defaultRowHeight="14.25"/>
  <cols>
    <col min="1" max="1" width="3.46484375" customWidth="1"/>
    <col min="2" max="2" width="10.6640625" customWidth="1"/>
    <col min="8" max="8" width="10.33203125" bestFit="1" customWidth="1"/>
    <col min="10" max="10" width="7.1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 ht="25.15" thickBot="1">
      <c r="A2" s="48"/>
      <c r="B2" s="1270" t="s">
        <v>68</v>
      </c>
      <c r="C2" s="1270"/>
      <c r="D2" s="1270"/>
      <c r="E2" s="1270"/>
      <c r="F2" s="1270"/>
      <c r="G2" s="1270"/>
      <c r="H2" s="1270"/>
      <c r="I2" s="1270"/>
      <c r="J2" s="1270"/>
    </row>
    <row r="3" spans="1:10">
      <c r="A3" s="48"/>
      <c r="B3" s="49"/>
      <c r="C3" s="1240" t="s">
        <v>0</v>
      </c>
      <c r="D3" s="1240"/>
      <c r="E3" s="1240"/>
      <c r="F3" s="1240"/>
      <c r="G3" s="1240"/>
      <c r="H3" s="1240"/>
      <c r="I3" s="49"/>
      <c r="J3" s="49"/>
    </row>
    <row r="4" spans="1:10">
      <c r="A4" s="48"/>
      <c r="B4" s="49"/>
      <c r="C4" s="49"/>
      <c r="D4" s="49"/>
      <c r="E4" s="49"/>
      <c r="F4" s="49"/>
      <c r="G4" s="49"/>
      <c r="H4" s="49"/>
      <c r="I4" s="49"/>
      <c r="J4" s="49"/>
    </row>
    <row r="5" spans="1:10">
      <c r="A5" s="48"/>
      <c r="B5" s="49" t="s">
        <v>74</v>
      </c>
      <c r="C5" s="51"/>
      <c r="D5" s="51"/>
      <c r="E5" s="51"/>
      <c r="F5" s="1273" t="s">
        <v>56</v>
      </c>
      <c r="G5" s="1274"/>
      <c r="H5" s="1271">
        <f ca="1">TODAY()</f>
        <v>46054</v>
      </c>
      <c r="I5" s="1271"/>
      <c r="J5" s="49"/>
    </row>
    <row r="6" spans="1:10">
      <c r="A6" s="48"/>
      <c r="B6" s="1277" t="s">
        <v>78</v>
      </c>
      <c r="C6" s="1277"/>
      <c r="D6" s="51"/>
      <c r="E6" s="51"/>
      <c r="F6" s="1273" t="s">
        <v>57</v>
      </c>
      <c r="G6" s="1274"/>
      <c r="H6" s="77">
        <v>0.5</v>
      </c>
      <c r="I6" s="78"/>
      <c r="J6" s="49"/>
    </row>
    <row r="7" spans="1:10">
      <c r="A7" s="48"/>
      <c r="B7" s="53"/>
      <c r="C7" s="53"/>
      <c r="D7" s="53"/>
      <c r="E7" s="53"/>
      <c r="F7" s="54"/>
      <c r="G7" s="52"/>
      <c r="H7" s="55"/>
      <c r="I7" s="55"/>
      <c r="J7" s="49"/>
    </row>
    <row r="8" spans="1:10">
      <c r="A8" s="48"/>
      <c r="B8" s="54" t="s">
        <v>58</v>
      </c>
      <c r="C8" s="50" t="s">
        <v>16</v>
      </c>
      <c r="D8" s="50"/>
      <c r="E8" s="50"/>
      <c r="F8" s="50"/>
      <c r="G8" s="79"/>
      <c r="H8" s="80"/>
      <c r="I8" s="80"/>
      <c r="J8" s="49"/>
    </row>
    <row r="9" spans="1:10">
      <c r="A9" s="48"/>
      <c r="B9" s="59"/>
      <c r="C9" s="1275"/>
      <c r="D9" s="1275"/>
      <c r="E9" s="1275"/>
      <c r="F9" s="1275"/>
      <c r="G9" s="1275"/>
      <c r="H9" s="1275"/>
      <c r="I9" s="1275"/>
      <c r="J9" s="49"/>
    </row>
    <row r="10" spans="1:10">
      <c r="A10" s="48"/>
      <c r="B10" s="60"/>
      <c r="C10" s="81"/>
      <c r="D10" s="81"/>
      <c r="E10" s="81"/>
      <c r="F10" s="81"/>
      <c r="G10" s="82"/>
      <c r="H10" s="83"/>
      <c r="I10" s="83"/>
      <c r="J10" s="49"/>
    </row>
    <row r="11" spans="1:10">
      <c r="A11" s="48"/>
      <c r="B11" s="49"/>
      <c r="C11" s="49"/>
      <c r="D11" s="49"/>
      <c r="E11" s="49"/>
      <c r="F11" s="49"/>
      <c r="G11" s="49"/>
      <c r="H11" s="49"/>
      <c r="I11" s="49"/>
      <c r="J11" s="49"/>
    </row>
    <row r="12" spans="1:10">
      <c r="A12" s="48"/>
      <c r="B12" s="1276" t="s">
        <v>59</v>
      </c>
      <c r="C12" s="1276"/>
      <c r="D12" s="1276"/>
      <c r="E12" s="1276"/>
      <c r="F12" s="1276"/>
      <c r="G12" s="1276"/>
      <c r="H12" s="1276"/>
      <c r="I12" s="1276"/>
      <c r="J12" s="49"/>
    </row>
    <row r="13" spans="1:10">
      <c r="A13" s="48"/>
      <c r="B13" s="1276" t="s">
        <v>60</v>
      </c>
      <c r="C13" s="1276"/>
      <c r="D13" s="1276"/>
      <c r="E13" s="1276"/>
      <c r="F13" s="1276"/>
      <c r="G13" s="1276"/>
      <c r="H13" s="1276"/>
      <c r="I13" s="1276"/>
      <c r="J13" s="49"/>
    </row>
    <row r="14" spans="1:10">
      <c r="A14" s="48"/>
      <c r="B14" s="1276"/>
      <c r="C14" s="1276"/>
      <c r="D14" s="1276"/>
      <c r="E14" s="1276"/>
      <c r="F14" s="1276"/>
      <c r="G14" s="1276"/>
      <c r="H14" s="1276"/>
      <c r="I14" s="1276"/>
      <c r="J14" s="49"/>
    </row>
    <row r="15" spans="1:10">
      <c r="A15" s="48"/>
      <c r="B15" s="49" t="s">
        <v>61</v>
      </c>
      <c r="C15" s="49"/>
      <c r="D15" s="49"/>
      <c r="E15" s="1269" t="s">
        <v>62</v>
      </c>
      <c r="F15" s="1269"/>
      <c r="G15" s="49"/>
      <c r="H15" s="49"/>
      <c r="I15" s="49"/>
      <c r="J15" s="49"/>
    </row>
    <row r="16" spans="1:10">
      <c r="A16" s="48"/>
      <c r="B16" s="60"/>
      <c r="C16" s="60"/>
      <c r="D16" s="60"/>
      <c r="E16" s="1278" t="s">
        <v>63</v>
      </c>
      <c r="F16" s="1278"/>
      <c r="G16" s="60"/>
      <c r="H16" s="60"/>
      <c r="I16" s="60"/>
      <c r="J16" s="60"/>
    </row>
    <row r="17" spans="1:10">
      <c r="A17" s="48"/>
      <c r="B17" s="60" t="s">
        <v>64</v>
      </c>
      <c r="C17" s="60"/>
      <c r="D17" s="59"/>
      <c r="E17" s="59"/>
      <c r="F17" s="59"/>
      <c r="G17" s="59"/>
      <c r="H17" s="41"/>
      <c r="I17" s="60"/>
      <c r="J17" s="60"/>
    </row>
    <row r="18" spans="1:10">
      <c r="A18" s="48"/>
      <c r="B18" s="60" t="s">
        <v>65</v>
      </c>
      <c r="C18" s="60"/>
      <c r="D18" s="60"/>
      <c r="E18" s="60"/>
      <c r="F18" s="60"/>
      <c r="G18" s="60"/>
      <c r="H18" s="60"/>
      <c r="I18" s="60"/>
      <c r="J18" s="60"/>
    </row>
    <row r="19" spans="1:10">
      <c r="A19" s="48"/>
      <c r="B19" s="1272"/>
      <c r="C19" s="1272"/>
      <c r="D19" s="1272"/>
      <c r="E19" s="1272"/>
      <c r="F19" s="1272"/>
      <c r="G19" s="1272"/>
      <c r="H19" s="1272"/>
      <c r="I19" s="1272"/>
      <c r="J19" s="41"/>
    </row>
    <row r="20" spans="1:10">
      <c r="A20" s="48"/>
      <c r="B20" s="60"/>
      <c r="C20" s="60"/>
      <c r="D20" s="60"/>
      <c r="E20" s="60"/>
      <c r="F20" s="41"/>
      <c r="G20" s="41"/>
      <c r="H20" s="41"/>
      <c r="I20" s="41"/>
      <c r="J20" s="41"/>
    </row>
    <row r="21" spans="1:10">
      <c r="A21" s="48"/>
      <c r="B21" s="38"/>
      <c r="C21" s="38"/>
      <c r="D21" s="38"/>
      <c r="E21" s="38"/>
      <c r="F21" s="1279" t="s">
        <v>66</v>
      </c>
      <c r="G21" s="1279"/>
      <c r="H21" s="1279"/>
      <c r="I21" s="38"/>
      <c r="J21" s="41"/>
    </row>
    <row r="22" spans="1:10">
      <c r="A22" s="48"/>
      <c r="B22" s="65"/>
      <c r="C22" s="60"/>
      <c r="D22" s="60"/>
      <c r="E22" s="60"/>
      <c r="F22" s="1145" t="s">
        <v>67</v>
      </c>
      <c r="G22" s="1145"/>
      <c r="H22" s="1145"/>
      <c r="I22" s="60"/>
      <c r="J22" s="60"/>
    </row>
    <row r="23" spans="1:10">
      <c r="A23" s="48"/>
      <c r="B23" s="63"/>
      <c r="C23" s="67"/>
      <c r="D23" s="67"/>
      <c r="E23" s="41"/>
      <c r="F23" s="66"/>
      <c r="G23" s="66"/>
      <c r="H23" s="66"/>
      <c r="I23" s="66"/>
      <c r="J23" s="76"/>
    </row>
    <row r="24" spans="1:10">
      <c r="A24" s="48"/>
      <c r="B24" s="63"/>
      <c r="C24" s="67"/>
      <c r="D24" s="67"/>
      <c r="E24" s="41"/>
      <c r="F24" s="66"/>
      <c r="G24" s="66"/>
      <c r="H24" s="76"/>
      <c r="I24" s="69"/>
      <c r="J24" s="76"/>
    </row>
    <row r="25" spans="1:10">
      <c r="A25" s="48"/>
      <c r="B25" s="72"/>
      <c r="C25" s="72"/>
      <c r="D25" s="72"/>
      <c r="E25" s="72"/>
      <c r="F25" s="72"/>
      <c r="G25" s="72"/>
      <c r="H25" s="70"/>
      <c r="I25" s="71"/>
      <c r="J25" s="71"/>
    </row>
    <row r="26" spans="1:10">
      <c r="A26" s="48"/>
      <c r="B26" s="72"/>
      <c r="C26" s="72"/>
      <c r="D26" s="72"/>
      <c r="E26" s="72"/>
      <c r="F26" s="72"/>
      <c r="G26" s="72"/>
      <c r="H26" s="72"/>
      <c r="I26" s="72"/>
      <c r="J26" s="72"/>
    </row>
    <row r="27" spans="1:10">
      <c r="A27" s="48"/>
      <c r="B27" s="35"/>
      <c r="C27" s="35"/>
      <c r="D27" s="35"/>
      <c r="E27" s="35"/>
      <c r="F27" s="35"/>
      <c r="G27" s="35"/>
      <c r="H27" s="35"/>
      <c r="I27" s="35"/>
      <c r="J27" s="35"/>
    </row>
    <row r="28" spans="1:10">
      <c r="A28" s="48"/>
      <c r="B28" s="41"/>
      <c r="C28" s="41"/>
      <c r="D28" s="41"/>
      <c r="E28" s="41"/>
      <c r="F28" s="1260"/>
      <c r="G28" s="1260"/>
      <c r="H28" s="1260"/>
      <c r="I28" s="41"/>
      <c r="J28" s="41"/>
    </row>
    <row r="29" spans="1:10">
      <c r="A29" s="48"/>
      <c r="B29" s="41"/>
      <c r="C29" s="41"/>
      <c r="D29" s="41"/>
      <c r="E29" s="41"/>
      <c r="F29" s="41"/>
      <c r="G29" s="41"/>
      <c r="H29" s="41"/>
      <c r="I29" s="41"/>
      <c r="J29" s="41"/>
    </row>
    <row r="30" spans="1:10">
      <c r="A30" s="48"/>
      <c r="B30" s="49"/>
      <c r="C30" s="41"/>
      <c r="D30" s="41"/>
      <c r="E30" s="41"/>
      <c r="F30" s="41"/>
      <c r="G30" s="41"/>
      <c r="H30" s="41"/>
      <c r="I30" s="41"/>
      <c r="J30" s="41"/>
    </row>
    <row r="31" spans="1:10">
      <c r="A31" s="48"/>
      <c r="B31" s="41"/>
      <c r="C31" s="41"/>
      <c r="D31" s="41"/>
      <c r="E31" s="41"/>
      <c r="F31" s="59"/>
      <c r="G31" s="59"/>
      <c r="H31" s="59"/>
      <c r="I31" s="41"/>
      <c r="J31" s="41"/>
    </row>
    <row r="32" spans="1:10">
      <c r="A32" s="48"/>
      <c r="B32" s="41"/>
      <c r="C32" s="41"/>
      <c r="D32" s="49"/>
      <c r="E32" s="41"/>
      <c r="F32" s="1281"/>
      <c r="G32" s="1281"/>
      <c r="H32" s="1281"/>
      <c r="I32" s="41"/>
      <c r="J32" s="41"/>
    </row>
    <row r="33" spans="1:10">
      <c r="A33" s="48"/>
      <c r="B33" s="41"/>
      <c r="C33" s="41"/>
      <c r="D33" s="49"/>
      <c r="E33" s="41"/>
      <c r="F33" s="41"/>
      <c r="G33" s="41"/>
      <c r="H33" s="41"/>
      <c r="I33" s="41"/>
      <c r="J33" s="41"/>
    </row>
    <row r="34" spans="1:10">
      <c r="A34" s="48"/>
      <c r="B34" s="41"/>
      <c r="C34" s="41"/>
      <c r="D34" s="41"/>
      <c r="E34" s="41"/>
      <c r="F34" s="41"/>
      <c r="G34" s="41"/>
      <c r="H34" s="41"/>
      <c r="I34" s="41"/>
      <c r="J34" s="41"/>
    </row>
    <row r="35" spans="1:10">
      <c r="A35" s="48"/>
      <c r="B35" s="86" t="s">
        <v>69</v>
      </c>
      <c r="C35" s="74"/>
      <c r="D35" s="76"/>
      <c r="E35" s="1267">
        <v>0.5</v>
      </c>
      <c r="F35" s="1248"/>
      <c r="G35" s="59" t="s">
        <v>70</v>
      </c>
      <c r="H35" s="59"/>
      <c r="I35" s="41"/>
      <c r="J35" s="41"/>
    </row>
    <row r="36" spans="1:10">
      <c r="A36" s="48"/>
      <c r="B36" s="41"/>
      <c r="C36" s="41"/>
      <c r="D36" s="41"/>
      <c r="E36" s="75"/>
      <c r="F36" s="41"/>
      <c r="G36" s="41"/>
      <c r="H36" s="41"/>
      <c r="I36" s="41"/>
      <c r="J36" s="41"/>
    </row>
    <row r="37" spans="1:10">
      <c r="A37" s="48"/>
      <c r="B37" s="85" t="s">
        <v>71</v>
      </c>
      <c r="C37" s="41"/>
      <c r="D37" s="41"/>
      <c r="E37" s="1282">
        <v>43793</v>
      </c>
      <c r="F37" s="1248"/>
      <c r="G37" s="1248"/>
      <c r="H37" s="1248"/>
      <c r="I37" s="41"/>
      <c r="J37" s="41"/>
    </row>
    <row r="38" spans="1:10">
      <c r="A38" s="48"/>
      <c r="B38" s="76"/>
      <c r="C38" s="76"/>
      <c r="D38" s="76"/>
      <c r="E38" s="76"/>
      <c r="F38" s="76"/>
      <c r="G38" s="76"/>
      <c r="H38" s="76"/>
      <c r="I38" s="76"/>
      <c r="J38" s="76"/>
    </row>
    <row r="39" spans="1:10">
      <c r="A39" s="48"/>
      <c r="B39" s="85" t="s">
        <v>72</v>
      </c>
      <c r="C39" s="41"/>
      <c r="D39" s="41"/>
      <c r="E39" s="1248"/>
      <c r="F39" s="1248"/>
      <c r="G39" s="1248"/>
      <c r="H39" s="1248"/>
      <c r="I39" s="41"/>
      <c r="J39" s="41"/>
    </row>
    <row r="40" spans="1:10">
      <c r="A40" s="48"/>
      <c r="B40" s="41"/>
      <c r="C40" s="41"/>
      <c r="D40" s="41"/>
      <c r="E40" s="41"/>
      <c r="F40" s="1268" t="s">
        <v>73</v>
      </c>
      <c r="G40" s="1268"/>
      <c r="H40" s="41"/>
      <c r="I40" s="41"/>
      <c r="J40" s="41"/>
    </row>
    <row r="41" spans="1:10">
      <c r="A41" s="48"/>
      <c r="B41" s="87" t="s">
        <v>75</v>
      </c>
      <c r="C41" s="88"/>
      <c r="D41" s="89"/>
      <c r="E41" s="1269"/>
      <c r="F41" s="1269"/>
      <c r="G41" s="1269"/>
      <c r="H41" s="1269"/>
      <c r="I41" s="49"/>
      <c r="J41" s="49"/>
    </row>
    <row r="42" spans="1:10">
      <c r="A42" s="48"/>
      <c r="B42" s="84"/>
      <c r="C42" s="84"/>
      <c r="D42" s="84"/>
      <c r="E42" s="84"/>
      <c r="F42" s="84"/>
      <c r="G42" s="84"/>
      <c r="H42" s="84"/>
      <c r="I42" s="84"/>
      <c r="J42" s="84"/>
    </row>
    <row r="43" spans="1:10">
      <c r="A43" s="48"/>
      <c r="B43" s="1283" t="s">
        <v>76</v>
      </c>
      <c r="C43" s="1283"/>
      <c r="D43" s="1283"/>
      <c r="E43" s="1269"/>
      <c r="F43" s="1269"/>
      <c r="G43" s="1269"/>
      <c r="H43" s="1269"/>
      <c r="I43" s="84"/>
      <c r="J43" s="84"/>
    </row>
    <row r="44" spans="1:10">
      <c r="A44" s="48"/>
      <c r="B44" s="49"/>
      <c r="C44" s="49"/>
      <c r="D44" s="49"/>
      <c r="E44" s="49"/>
      <c r="F44" s="1284" t="s">
        <v>77</v>
      </c>
      <c r="G44" s="1284"/>
      <c r="H44" s="49"/>
      <c r="I44" s="49"/>
      <c r="J44" s="49"/>
    </row>
    <row r="45" spans="1:10">
      <c r="A45" s="48"/>
      <c r="B45" s="1276"/>
      <c r="C45" s="1276"/>
      <c r="D45" s="1276"/>
      <c r="E45" s="1276"/>
      <c r="F45" s="1276"/>
      <c r="G45" s="1276"/>
      <c r="H45" s="1276"/>
      <c r="I45" s="1276"/>
      <c r="J45" s="1276"/>
    </row>
    <row r="46" spans="1:10">
      <c r="A46" s="48"/>
      <c r="B46" s="1276"/>
      <c r="C46" s="1276"/>
      <c r="D46" s="1276"/>
      <c r="E46" s="1276"/>
      <c r="F46" s="1276"/>
      <c r="G46" s="1276"/>
      <c r="H46" s="1276"/>
      <c r="I46" s="1276"/>
      <c r="J46" s="1276"/>
    </row>
    <row r="47" spans="1:10">
      <c r="A47" s="48"/>
      <c r="B47" s="1280"/>
      <c r="C47" s="1280"/>
      <c r="D47" s="1280"/>
      <c r="E47" s="1280"/>
      <c r="F47" s="1280"/>
      <c r="G47" s="1280"/>
      <c r="H47" s="1280"/>
      <c r="I47" s="1280"/>
      <c r="J47" s="1280"/>
    </row>
    <row r="48" spans="1:10">
      <c r="B48" s="1"/>
      <c r="C48" s="1"/>
      <c r="D48" s="1"/>
      <c r="E48" s="1"/>
      <c r="F48" s="1"/>
      <c r="G48" s="1"/>
      <c r="H48" s="1"/>
      <c r="I48" s="1"/>
      <c r="J48" s="1"/>
    </row>
    <row r="49" spans="2:10">
      <c r="B49" s="27"/>
      <c r="C49" s="1"/>
      <c r="D49" s="1"/>
      <c r="E49" s="1"/>
      <c r="F49" s="1"/>
      <c r="G49" s="1"/>
      <c r="H49" s="1"/>
      <c r="I49" s="1"/>
      <c r="J49" s="1"/>
    </row>
  </sheetData>
  <mergeCells count="28">
    <mergeCell ref="B47:J47"/>
    <mergeCell ref="F32:H32"/>
    <mergeCell ref="E37:H37"/>
    <mergeCell ref="E39:H39"/>
    <mergeCell ref="B43:D43"/>
    <mergeCell ref="E43:H43"/>
    <mergeCell ref="F44:G44"/>
    <mergeCell ref="E16:F16"/>
    <mergeCell ref="F21:H21"/>
    <mergeCell ref="F22:H22"/>
    <mergeCell ref="B45:J45"/>
    <mergeCell ref="B46:J46"/>
    <mergeCell ref="C3:H3"/>
    <mergeCell ref="E35:F35"/>
    <mergeCell ref="F40:G40"/>
    <mergeCell ref="E41:H41"/>
    <mergeCell ref="B2:J2"/>
    <mergeCell ref="H5:I5"/>
    <mergeCell ref="F28:H28"/>
    <mergeCell ref="B19:I19"/>
    <mergeCell ref="F5:G5"/>
    <mergeCell ref="F6:G6"/>
    <mergeCell ref="C9:I9"/>
    <mergeCell ref="B12:I12"/>
    <mergeCell ref="B13:I13"/>
    <mergeCell ref="B14:I14"/>
    <mergeCell ref="B6:C6"/>
    <mergeCell ref="E15:F15"/>
  </mergeCells>
  <pageMargins left="0.7" right="0.7" top="0.75" bottom="0.75" header="0.3" footer="0.3"/>
  <pageSetup paperSize="9" orientation="portrait" horizont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3">
    <tabColor rgb="FF0070C0"/>
  </sheetPr>
  <dimension ref="B2:J52"/>
  <sheetViews>
    <sheetView view="pageBreakPreview" zoomScale="110" zoomScaleNormal="100" zoomScaleSheetLayoutView="110" workbookViewId="0">
      <selection activeCell="F11" sqref="F11"/>
    </sheetView>
  </sheetViews>
  <sheetFormatPr defaultRowHeight="14.25"/>
  <cols>
    <col min="1" max="1" width="4.6640625" customWidth="1"/>
    <col min="2" max="2" width="10.6640625" customWidth="1"/>
    <col min="10" max="10" width="7.86328125" customWidth="1"/>
  </cols>
  <sheetData>
    <row r="2" spans="2:10" ht="22.5">
      <c r="C2" s="1288" t="s">
        <v>21</v>
      </c>
      <c r="D2" s="1288"/>
      <c r="E2" s="1288"/>
      <c r="F2" s="1288"/>
      <c r="G2" s="1288"/>
      <c r="H2" s="1288"/>
    </row>
    <row r="3" spans="2:10" ht="24.75">
      <c r="B3" s="1256" t="s">
        <v>0</v>
      </c>
      <c r="C3" s="1256"/>
      <c r="D3" s="1256"/>
      <c r="E3" s="1256"/>
      <c r="F3" s="1256"/>
      <c r="G3" s="1256"/>
      <c r="H3" s="1256"/>
      <c r="I3" s="1256"/>
      <c r="J3" s="1256"/>
    </row>
    <row r="4" spans="2:10">
      <c r="B4" s="1"/>
      <c r="C4" s="1289" t="s">
        <v>33</v>
      </c>
      <c r="D4" s="1289"/>
      <c r="E4" s="1289"/>
      <c r="F4" s="1289"/>
      <c r="G4" s="1289"/>
      <c r="H4" s="1289"/>
      <c r="I4" s="1"/>
      <c r="J4" s="1"/>
    </row>
    <row r="5" spans="2:10">
      <c r="B5" s="1"/>
      <c r="C5" s="1"/>
      <c r="D5" s="1"/>
      <c r="E5" s="1"/>
      <c r="F5" s="1"/>
      <c r="G5" s="1"/>
      <c r="H5" s="1"/>
      <c r="I5" s="1"/>
      <c r="J5" s="1"/>
    </row>
    <row r="6" spans="2:10">
      <c r="B6" s="1" t="s">
        <v>14</v>
      </c>
      <c r="C6" s="1262" t="s">
        <v>43</v>
      </c>
      <c r="D6" s="1262"/>
      <c r="E6" s="1262"/>
      <c r="F6" s="42"/>
      <c r="G6" s="2" t="s">
        <v>1</v>
      </c>
      <c r="H6" s="1257">
        <f ca="1">TODAY()</f>
        <v>46054</v>
      </c>
      <c r="I6" s="1257"/>
      <c r="J6" s="1"/>
    </row>
    <row r="7" spans="2:10">
      <c r="B7" s="3"/>
      <c r="C7" s="3"/>
      <c r="D7" s="3"/>
      <c r="E7" s="3"/>
      <c r="F7" s="4"/>
      <c r="G7" s="2"/>
      <c r="H7" s="5"/>
      <c r="I7" s="5"/>
      <c r="J7" s="1"/>
    </row>
    <row r="8" spans="2:10">
      <c r="B8" s="6" t="s">
        <v>2</v>
      </c>
      <c r="C8" s="1262" t="s">
        <v>16</v>
      </c>
      <c r="D8" s="1262"/>
      <c r="E8" s="1262"/>
      <c r="F8" s="43"/>
      <c r="G8" s="2"/>
      <c r="H8" s="5"/>
      <c r="I8" s="5"/>
      <c r="J8" s="1"/>
    </row>
    <row r="9" spans="2:10">
      <c r="B9" s="7"/>
      <c r="C9" s="7"/>
      <c r="D9" s="7"/>
      <c r="E9" s="7"/>
      <c r="F9" s="7"/>
      <c r="G9" s="7"/>
      <c r="H9" s="1"/>
      <c r="I9" s="1"/>
      <c r="J9" s="1"/>
    </row>
    <row r="10" spans="2:10">
      <c r="B10" s="8" t="s">
        <v>3</v>
      </c>
      <c r="C10" s="1286" t="s">
        <v>13</v>
      </c>
      <c r="D10" s="1286"/>
      <c r="E10" s="1286"/>
      <c r="F10" s="44"/>
      <c r="G10" s="45"/>
      <c r="H10" s="8"/>
      <c r="I10" s="8"/>
      <c r="J10" s="1"/>
    </row>
    <row r="11" spans="2:10">
      <c r="B11" s="1"/>
      <c r="C11" s="1"/>
      <c r="D11" s="1"/>
      <c r="E11" s="1"/>
      <c r="F11" s="1"/>
      <c r="G11" s="1"/>
      <c r="H11" s="1"/>
      <c r="I11" s="1"/>
      <c r="J11" s="1"/>
    </row>
    <row r="12" spans="2:10">
      <c r="B12" s="1" t="s">
        <v>4</v>
      </c>
      <c r="C12" s="1"/>
      <c r="D12" s="1"/>
      <c r="E12" s="1"/>
      <c r="F12" s="1"/>
      <c r="G12" s="1"/>
      <c r="H12" s="1"/>
      <c r="I12" s="1"/>
      <c r="J12" s="1"/>
    </row>
    <row r="13" spans="2:10">
      <c r="B13" s="8"/>
      <c r="C13" s="8"/>
      <c r="D13" s="8"/>
      <c r="E13" s="8"/>
      <c r="F13" s="8"/>
      <c r="G13" s="8"/>
      <c r="H13" s="8"/>
      <c r="I13" s="8"/>
      <c r="J13" s="8"/>
    </row>
    <row r="14" spans="2:10">
      <c r="B14" s="8" t="s">
        <v>22</v>
      </c>
      <c r="C14" s="8"/>
      <c r="D14" s="7"/>
      <c r="E14" s="7"/>
      <c r="F14" s="7"/>
      <c r="G14" s="7"/>
      <c r="H14" s="11"/>
      <c r="I14" s="8"/>
      <c r="J14" s="8"/>
    </row>
    <row r="15" spans="2:10">
      <c r="B15" s="8"/>
      <c r="C15" s="8"/>
      <c r="D15" s="8"/>
      <c r="E15" s="8"/>
      <c r="F15" s="8"/>
      <c r="G15" s="8"/>
      <c r="H15" s="8"/>
      <c r="I15" s="8"/>
      <c r="J15" s="8"/>
    </row>
    <row r="16" spans="2:10">
      <c r="B16" s="1285" t="s">
        <v>23</v>
      </c>
      <c r="C16" s="1285"/>
      <c r="D16" s="1285"/>
      <c r="E16" s="1285"/>
      <c r="F16" s="1285"/>
      <c r="G16" s="1285"/>
      <c r="H16" s="1285"/>
      <c r="I16" s="1285"/>
      <c r="J16" s="11"/>
    </row>
    <row r="17" spans="2:10">
      <c r="B17" s="8"/>
      <c r="C17" s="8"/>
      <c r="D17" s="8"/>
      <c r="E17" s="8"/>
      <c r="F17" s="11"/>
      <c r="G17" s="11"/>
      <c r="H17" s="11"/>
      <c r="I17" s="11"/>
      <c r="J17" s="11"/>
    </row>
    <row r="18" spans="2:10">
      <c r="B18" s="38" t="s">
        <v>24</v>
      </c>
      <c r="C18" s="38"/>
      <c r="D18" s="1287"/>
      <c r="E18" s="1287"/>
      <c r="F18" s="1287"/>
      <c r="G18" s="1287"/>
      <c r="H18" s="1287"/>
      <c r="I18" s="1287"/>
      <c r="J18" s="11"/>
    </row>
    <row r="19" spans="2:10">
      <c r="B19" s="13"/>
      <c r="C19" s="8"/>
      <c r="D19" s="8"/>
      <c r="E19" s="8"/>
      <c r="F19" s="8"/>
      <c r="G19" s="8"/>
      <c r="H19" s="8"/>
      <c r="I19" s="8"/>
      <c r="J19" s="8"/>
    </row>
    <row r="20" spans="2:10">
      <c r="B20" s="14" t="s">
        <v>25</v>
      </c>
      <c r="C20" s="15"/>
      <c r="D20" s="15"/>
      <c r="E20" s="11"/>
      <c r="F20" s="31"/>
      <c r="G20" s="31"/>
      <c r="H20" s="31"/>
      <c r="I20" s="31"/>
      <c r="J20" s="37"/>
    </row>
    <row r="21" spans="2:10">
      <c r="B21" s="14"/>
      <c r="C21" s="15"/>
      <c r="D21" s="15"/>
      <c r="E21" s="11"/>
      <c r="F21" s="31"/>
      <c r="G21" s="31"/>
      <c r="H21" s="37"/>
      <c r="I21" s="18"/>
      <c r="J21" s="37"/>
    </row>
    <row r="22" spans="2:10">
      <c r="B22" s="11" t="s">
        <v>26</v>
      </c>
      <c r="C22" s="11"/>
      <c r="D22" s="11"/>
      <c r="E22" s="30"/>
      <c r="F22" s="30"/>
      <c r="G22" s="30"/>
      <c r="H22" s="30"/>
      <c r="I22" s="19"/>
      <c r="J22" s="19"/>
    </row>
    <row r="23" spans="2:10">
      <c r="B23" s="20" t="s">
        <v>27</v>
      </c>
      <c r="C23" s="20"/>
      <c r="D23" s="20"/>
      <c r="E23" s="20"/>
      <c r="F23" s="20"/>
      <c r="G23" s="20"/>
      <c r="H23" s="20"/>
      <c r="I23" s="20"/>
      <c r="J23" s="20"/>
    </row>
    <row r="24" spans="2:10">
      <c r="B24" s="35" t="s">
        <v>28</v>
      </c>
      <c r="C24" s="7"/>
      <c r="D24" s="7"/>
      <c r="E24" s="7"/>
      <c r="F24" s="7"/>
      <c r="G24" s="7"/>
      <c r="H24" s="7"/>
      <c r="I24" s="7" t="s">
        <v>29</v>
      </c>
      <c r="J24" s="7"/>
    </row>
    <row r="25" spans="2:10">
      <c r="B25" s="35"/>
      <c r="C25" s="7"/>
      <c r="D25" s="7"/>
      <c r="E25" s="7"/>
      <c r="F25" s="7"/>
      <c r="G25" s="7"/>
      <c r="H25" s="7"/>
      <c r="I25" s="7"/>
      <c r="J25" s="7"/>
    </row>
    <row r="26" spans="2:10">
      <c r="B26" s="21" t="s">
        <v>30</v>
      </c>
      <c r="C26" s="21"/>
      <c r="D26" s="21"/>
      <c r="E26" s="21"/>
      <c r="F26" s="21"/>
      <c r="G26" s="21"/>
      <c r="H26" s="21"/>
      <c r="I26" s="21"/>
      <c r="J26" s="21"/>
    </row>
    <row r="27" spans="2:10">
      <c r="B27" s="21"/>
      <c r="C27" s="21"/>
      <c r="D27" s="21"/>
      <c r="E27" s="21"/>
      <c r="F27" s="21"/>
      <c r="G27" s="21"/>
      <c r="H27" s="21"/>
      <c r="I27" s="21"/>
      <c r="J27" s="21"/>
    </row>
    <row r="28" spans="2:10">
      <c r="B28" s="21" t="s">
        <v>31</v>
      </c>
      <c r="C28" s="21"/>
      <c r="D28" s="21"/>
      <c r="E28" s="21"/>
      <c r="F28" s="21"/>
      <c r="G28" s="21"/>
      <c r="H28" s="21"/>
      <c r="I28" s="21"/>
      <c r="J28" s="21"/>
    </row>
    <row r="29" spans="2:10">
      <c r="B29" s="21" t="s">
        <v>32</v>
      </c>
      <c r="C29" s="21"/>
      <c r="D29" s="21"/>
      <c r="E29" s="21"/>
      <c r="F29" s="21"/>
      <c r="G29" s="21"/>
      <c r="H29" s="21"/>
      <c r="I29" s="21"/>
      <c r="J29" s="21"/>
    </row>
    <row r="30" spans="2:10">
      <c r="B30" s="21"/>
      <c r="C30" s="21"/>
      <c r="D30" s="21"/>
      <c r="E30" s="21"/>
      <c r="F30" s="21"/>
      <c r="G30" s="21"/>
      <c r="H30" s="21"/>
      <c r="I30" s="21"/>
      <c r="J30" s="21"/>
    </row>
    <row r="31" spans="2:10">
      <c r="B31" s="11"/>
      <c r="C31" s="11"/>
      <c r="D31" s="11"/>
      <c r="E31" s="11"/>
      <c r="F31" s="1260" t="s">
        <v>9</v>
      </c>
      <c r="G31" s="1260"/>
      <c r="H31" s="1260"/>
      <c r="I31" s="11"/>
      <c r="J31" s="11"/>
    </row>
    <row r="32" spans="2:10">
      <c r="B32" s="11"/>
      <c r="C32" s="11"/>
      <c r="D32" s="11"/>
      <c r="E32" s="11"/>
      <c r="F32" s="11"/>
      <c r="G32" s="11"/>
      <c r="H32" s="11"/>
      <c r="I32" s="11"/>
      <c r="J32" s="11"/>
    </row>
    <row r="33" spans="2:10">
      <c r="B33" s="22"/>
      <c r="C33" s="11"/>
      <c r="D33" s="11"/>
      <c r="E33" s="11"/>
      <c r="F33" s="11"/>
      <c r="G33" s="11"/>
      <c r="H33" s="11"/>
      <c r="I33" s="11"/>
      <c r="J33" s="11"/>
    </row>
    <row r="34" spans="2:10">
      <c r="B34" s="11"/>
      <c r="C34" s="11"/>
      <c r="D34" s="11"/>
      <c r="E34" s="11"/>
      <c r="F34" s="1255" t="s">
        <v>34</v>
      </c>
      <c r="G34" s="1255"/>
      <c r="H34" s="1255"/>
      <c r="I34" s="11"/>
      <c r="J34" s="11"/>
    </row>
    <row r="35" spans="2:10">
      <c r="B35" s="11"/>
      <c r="C35" s="11"/>
      <c r="D35" s="22"/>
      <c r="E35" s="11"/>
      <c r="F35" s="1242" t="s">
        <v>10</v>
      </c>
      <c r="G35" s="1242"/>
      <c r="H35" s="1242"/>
      <c r="I35" s="11"/>
      <c r="J35" s="11"/>
    </row>
    <row r="36" spans="2:10">
      <c r="B36" s="11"/>
      <c r="C36" s="11"/>
      <c r="D36" s="22"/>
      <c r="E36" s="11"/>
      <c r="F36" s="11"/>
      <c r="G36" s="11"/>
      <c r="H36" s="11"/>
      <c r="I36" s="11"/>
      <c r="J36" s="11"/>
    </row>
    <row r="37" spans="2:10">
      <c r="B37" s="11"/>
      <c r="C37" s="11"/>
      <c r="D37" s="11"/>
      <c r="E37" s="11"/>
      <c r="F37" s="11"/>
      <c r="G37" s="11"/>
      <c r="H37" s="11"/>
      <c r="I37" s="11"/>
      <c r="J37" s="11"/>
    </row>
    <row r="38" spans="2:10">
      <c r="B38" s="29" t="s">
        <v>11</v>
      </c>
      <c r="C38" s="36"/>
      <c r="D38" s="37"/>
      <c r="E38" s="1255"/>
      <c r="F38" s="1255"/>
      <c r="G38" s="1255"/>
      <c r="H38" s="1255"/>
      <c r="I38" s="11"/>
      <c r="J38" s="11"/>
    </row>
    <row r="39" spans="2:10">
      <c r="B39" s="11"/>
      <c r="C39" s="11"/>
      <c r="D39" s="11"/>
      <c r="E39" s="23"/>
      <c r="F39" s="11"/>
      <c r="G39" s="11"/>
      <c r="H39" s="11"/>
      <c r="I39" s="11"/>
      <c r="J39" s="11"/>
    </row>
    <row r="40" spans="2:10">
      <c r="B40" s="28" t="s">
        <v>12</v>
      </c>
      <c r="C40" s="11"/>
      <c r="D40" s="11"/>
      <c r="E40" s="1255"/>
      <c r="F40" s="1255"/>
      <c r="G40" s="1255"/>
      <c r="H40" s="1255"/>
      <c r="I40" s="24"/>
      <c r="J40" s="24"/>
    </row>
    <row r="41" spans="2:10">
      <c r="B41" s="37"/>
      <c r="C41" s="37"/>
      <c r="D41" s="37"/>
      <c r="E41" s="37"/>
      <c r="F41" s="37"/>
      <c r="G41" s="37"/>
      <c r="H41" s="37"/>
      <c r="I41" s="37"/>
      <c r="J41" s="37"/>
    </row>
    <row r="42" spans="2:10">
      <c r="B42" s="28" t="s">
        <v>19</v>
      </c>
      <c r="C42" s="11"/>
      <c r="D42" s="11"/>
      <c r="E42" s="1255"/>
      <c r="F42" s="1255"/>
      <c r="G42" s="1255"/>
      <c r="H42" s="1255"/>
      <c r="I42" s="24"/>
      <c r="J42" s="24"/>
    </row>
    <row r="43" spans="2:10">
      <c r="B43" s="11"/>
      <c r="C43" s="11"/>
      <c r="D43" s="11"/>
      <c r="E43" s="11"/>
      <c r="F43" s="11"/>
      <c r="G43" s="11"/>
      <c r="H43" s="11"/>
      <c r="I43" s="11"/>
      <c r="J43" s="11"/>
    </row>
    <row r="44" spans="2:10">
      <c r="B44" s="22"/>
      <c r="C44" s="22"/>
      <c r="D44" s="22"/>
      <c r="E44" s="22"/>
      <c r="F44" s="22"/>
      <c r="G44" s="22"/>
      <c r="H44" s="22"/>
      <c r="I44" s="22"/>
      <c r="J44" s="22"/>
    </row>
    <row r="49" spans="2:10" ht="12" customHeight="1"/>
    <row r="50" spans="2:10" ht="12" customHeight="1">
      <c r="B50" s="1264"/>
      <c r="C50" s="1264"/>
      <c r="D50" s="1264"/>
      <c r="E50" s="1264"/>
      <c r="F50" s="1264"/>
      <c r="G50" s="1264"/>
      <c r="H50" s="1264"/>
      <c r="I50" s="1264"/>
      <c r="J50" s="1264"/>
    </row>
    <row r="51" spans="2:10">
      <c r="B51" s="1"/>
      <c r="C51" s="1"/>
      <c r="D51" s="1"/>
      <c r="E51" s="1"/>
      <c r="F51" s="1"/>
      <c r="G51" s="1"/>
      <c r="H51" s="1"/>
      <c r="I51" s="1"/>
      <c r="J51" s="1"/>
    </row>
    <row r="52" spans="2:10">
      <c r="B52" s="27"/>
      <c r="C52" s="1"/>
      <c r="D52" s="1"/>
      <c r="E52" s="1"/>
      <c r="F52" s="1"/>
      <c r="G52" s="1"/>
      <c r="H52" s="1"/>
      <c r="I52" s="1"/>
      <c r="J52" s="1"/>
    </row>
  </sheetData>
  <mergeCells count="16">
    <mergeCell ref="C6:E6"/>
    <mergeCell ref="C8:E8"/>
    <mergeCell ref="C10:E10"/>
    <mergeCell ref="D18:I18"/>
    <mergeCell ref="C2:H2"/>
    <mergeCell ref="B3:J3"/>
    <mergeCell ref="C4:H4"/>
    <mergeCell ref="H6:I6"/>
    <mergeCell ref="E38:H38"/>
    <mergeCell ref="E40:H40"/>
    <mergeCell ref="E42:H42"/>
    <mergeCell ref="B50:J50"/>
    <mergeCell ref="B16:I16"/>
    <mergeCell ref="F31:H31"/>
    <mergeCell ref="F34:H34"/>
    <mergeCell ref="F35:H35"/>
  </mergeCells>
  <pageMargins left="0.7" right="0.7" top="0.75" bottom="0.75" header="0.3" footer="0.3"/>
  <pageSetup paperSize="9" orientation="portrait" horizont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C9A6-ED05-451F-9BA5-3B75B4869839}">
  <sheetPr codeName="Лист14">
    <tabColor rgb="FFFFC000"/>
  </sheetPr>
  <dimension ref="B2:J53"/>
  <sheetViews>
    <sheetView view="pageBreakPreview" topLeftCell="A13" zoomScale="110" zoomScaleNormal="100" zoomScaleSheetLayoutView="110" workbookViewId="0">
      <selection activeCell="I28" sqref="I28"/>
    </sheetView>
  </sheetViews>
  <sheetFormatPr defaultRowHeight="14.25"/>
  <cols>
    <col min="1" max="1" width="4.6640625" customWidth="1"/>
    <col min="2" max="2" width="10.6640625" customWidth="1"/>
    <col min="10" max="10" width="7.86328125" customWidth="1"/>
  </cols>
  <sheetData>
    <row r="2" spans="2:10" ht="22.5">
      <c r="B2" s="48"/>
      <c r="C2" s="1288" t="s">
        <v>21</v>
      </c>
      <c r="D2" s="1288"/>
      <c r="E2" s="1288"/>
      <c r="F2" s="1288"/>
      <c r="G2" s="1288"/>
      <c r="H2" s="1288"/>
      <c r="I2" s="48"/>
      <c r="J2" s="48"/>
    </row>
    <row r="3" spans="2:10" ht="24.75">
      <c r="B3" s="1291" t="s">
        <v>0</v>
      </c>
      <c r="C3" s="1291"/>
      <c r="D3" s="1291"/>
      <c r="E3" s="1291"/>
      <c r="F3" s="1291"/>
      <c r="G3" s="1291"/>
      <c r="H3" s="1291"/>
      <c r="I3" s="1291"/>
      <c r="J3" s="1291"/>
    </row>
    <row r="4" spans="2:10">
      <c r="B4" s="49"/>
      <c r="C4" s="1292" t="s">
        <v>40</v>
      </c>
      <c r="D4" s="1292"/>
      <c r="E4" s="1292"/>
      <c r="F4" s="1292"/>
      <c r="G4" s="1292"/>
      <c r="H4" s="1292"/>
      <c r="I4" s="49"/>
      <c r="J4" s="49"/>
    </row>
    <row r="5" spans="2:10">
      <c r="B5" s="49"/>
      <c r="C5" s="49"/>
      <c r="D5" s="49"/>
      <c r="E5" s="49"/>
      <c r="F5" s="49"/>
      <c r="G5" s="49"/>
      <c r="H5" s="49"/>
      <c r="I5" s="49"/>
      <c r="J5" s="49"/>
    </row>
    <row r="6" spans="2:10">
      <c r="B6" s="49" t="s">
        <v>53</v>
      </c>
      <c r="C6" s="50" t="s">
        <v>43</v>
      </c>
      <c r="D6" s="50"/>
      <c r="E6" s="50"/>
      <c r="F6" s="51"/>
      <c r="G6" s="310" t="s">
        <v>1</v>
      </c>
      <c r="H6" s="1293">
        <f ca="1">TODAY()</f>
        <v>46054</v>
      </c>
      <c r="I6" s="1293"/>
      <c r="J6" s="49"/>
    </row>
    <row r="7" spans="2:10">
      <c r="B7" s="53"/>
      <c r="C7" s="53"/>
      <c r="D7" s="53"/>
      <c r="E7" s="53"/>
      <c r="F7" s="54"/>
      <c r="G7" s="310"/>
      <c r="H7" s="55"/>
      <c r="I7" s="55"/>
      <c r="J7" s="49"/>
    </row>
    <row r="8" spans="2:10">
      <c r="B8" s="56" t="s">
        <v>54</v>
      </c>
      <c r="C8" s="57" t="s">
        <v>16</v>
      </c>
      <c r="D8" s="57"/>
      <c r="E8" s="57"/>
      <c r="F8" s="58"/>
      <c r="G8" s="310"/>
      <c r="H8" s="55"/>
      <c r="I8" s="55"/>
      <c r="J8" s="49"/>
    </row>
    <row r="9" spans="2:10">
      <c r="B9" s="59"/>
      <c r="C9" s="59"/>
      <c r="D9" s="59"/>
      <c r="E9" s="59"/>
      <c r="F9" s="59"/>
      <c r="G9" s="59"/>
      <c r="H9" s="49"/>
      <c r="I9" s="49"/>
      <c r="J9" s="49"/>
    </row>
    <row r="10" spans="2:10">
      <c r="B10" s="60" t="s">
        <v>55</v>
      </c>
      <c r="C10" s="61" t="s">
        <v>13</v>
      </c>
      <c r="D10" s="61"/>
      <c r="E10" s="61"/>
      <c r="F10" s="62"/>
      <c r="G10" s="28"/>
      <c r="H10" s="60"/>
      <c r="I10" s="60"/>
      <c r="J10" s="49"/>
    </row>
    <row r="11" spans="2:10">
      <c r="B11" s="49"/>
      <c r="C11" s="49"/>
      <c r="D11" s="49"/>
      <c r="E11" s="49"/>
      <c r="F11" s="49"/>
      <c r="G11" s="49"/>
      <c r="H11" s="49"/>
      <c r="I11" s="49"/>
      <c r="J11" s="49"/>
    </row>
    <row r="12" spans="2:10">
      <c r="B12" s="49" t="s">
        <v>4</v>
      </c>
      <c r="C12" s="49"/>
      <c r="D12" s="49"/>
      <c r="E12" s="49"/>
      <c r="F12" s="49"/>
      <c r="G12" s="49"/>
      <c r="H12" s="49"/>
      <c r="I12" s="49"/>
      <c r="J12" s="49"/>
    </row>
    <row r="13" spans="2:10">
      <c r="B13" s="60"/>
      <c r="C13" s="60"/>
      <c r="D13" s="60"/>
      <c r="E13" s="60"/>
      <c r="F13" s="60"/>
      <c r="G13" s="60"/>
      <c r="H13" s="60"/>
      <c r="I13" s="60"/>
      <c r="J13" s="60"/>
    </row>
    <row r="14" spans="2:10">
      <c r="B14" s="60" t="s">
        <v>38</v>
      </c>
      <c r="C14" s="60"/>
      <c r="D14" s="59"/>
      <c r="E14" s="59"/>
      <c r="F14" s="59"/>
      <c r="G14" s="59"/>
      <c r="H14" s="1294">
        <f ca="1">TODAY()</f>
        <v>46054</v>
      </c>
      <c r="I14" s="1254"/>
      <c r="J14" s="60"/>
    </row>
    <row r="15" spans="2:10">
      <c r="B15" s="60"/>
      <c r="C15" s="60"/>
      <c r="D15" s="60"/>
      <c r="E15" s="60"/>
      <c r="F15" s="60"/>
      <c r="G15" s="60"/>
      <c r="H15" s="1290" t="s">
        <v>39</v>
      </c>
      <c r="I15" s="1290"/>
      <c r="J15" s="60"/>
    </row>
    <row r="16" spans="2:10">
      <c r="B16" s="63" t="s">
        <v>8</v>
      </c>
      <c r="C16" s="64">
        <v>0.95833333333333337</v>
      </c>
      <c r="D16" s="63" t="s">
        <v>42</v>
      </c>
      <c r="E16" s="63"/>
      <c r="F16" s="63"/>
      <c r="G16" s="63"/>
      <c r="H16" s="63"/>
      <c r="I16" s="63"/>
      <c r="J16" s="41"/>
    </row>
    <row r="17" spans="2:10">
      <c r="B17" s="60"/>
      <c r="C17" s="312" t="s">
        <v>41</v>
      </c>
      <c r="D17" s="60"/>
      <c r="E17" s="60"/>
      <c r="F17" s="41"/>
      <c r="G17" s="41"/>
      <c r="H17" s="41"/>
      <c r="I17" s="41"/>
      <c r="J17" s="41"/>
    </row>
    <row r="18" spans="2:10">
      <c r="B18" s="38" t="s">
        <v>24</v>
      </c>
      <c r="C18" s="38"/>
      <c r="D18" s="1287" t="s">
        <v>35</v>
      </c>
      <c r="E18" s="1287"/>
      <c r="F18" s="1287"/>
      <c r="G18" s="1287"/>
      <c r="H18" s="1287"/>
      <c r="I18" s="1287"/>
      <c r="J18" s="41"/>
    </row>
    <row r="19" spans="2:10">
      <c r="B19" s="65"/>
      <c r="C19" s="60"/>
      <c r="D19" s="60"/>
      <c r="E19" s="60"/>
      <c r="F19" s="60"/>
      <c r="G19" s="60"/>
      <c r="H19" s="60"/>
      <c r="I19" s="60"/>
      <c r="J19" s="60"/>
    </row>
    <row r="20" spans="2:10">
      <c r="B20" s="63" t="s">
        <v>8</v>
      </c>
      <c r="C20" s="39">
        <v>1</v>
      </c>
      <c r="D20" s="40" t="s">
        <v>44</v>
      </c>
      <c r="E20" s="41"/>
      <c r="F20" s="1295">
        <f ca="1">TODAY()</f>
        <v>46054</v>
      </c>
      <c r="G20" s="1296"/>
      <c r="H20" s="1296"/>
      <c r="I20" s="66"/>
      <c r="J20" s="311"/>
    </row>
    <row r="21" spans="2:10">
      <c r="B21" s="63"/>
      <c r="C21" s="47" t="s">
        <v>41</v>
      </c>
      <c r="D21" s="67"/>
      <c r="E21" s="41"/>
      <c r="F21" s="66"/>
      <c r="G21" s="68" t="s">
        <v>39</v>
      </c>
      <c r="H21" s="311"/>
      <c r="I21" s="69"/>
      <c r="J21" s="311"/>
    </row>
    <row r="22" spans="2:10">
      <c r="B22" s="41"/>
      <c r="C22" s="41"/>
      <c r="D22" s="41"/>
      <c r="E22" s="70"/>
      <c r="F22" s="70"/>
      <c r="G22" s="70"/>
      <c r="H22" s="70"/>
      <c r="I22" s="71"/>
      <c r="J22" s="71"/>
    </row>
    <row r="23" spans="2:10">
      <c r="B23" s="72" t="s">
        <v>45</v>
      </c>
      <c r="C23" s="72"/>
      <c r="D23" s="72"/>
      <c r="E23" s="72"/>
      <c r="F23" s="72"/>
      <c r="G23" s="72"/>
      <c r="H23" s="72"/>
      <c r="I23" s="72"/>
      <c r="J23" s="72"/>
    </row>
    <row r="24" spans="2:10">
      <c r="B24" s="35" t="s">
        <v>46</v>
      </c>
      <c r="C24" s="59"/>
      <c r="D24" s="59"/>
      <c r="E24" s="59"/>
      <c r="F24" s="59"/>
      <c r="G24" s="59"/>
      <c r="H24" s="59"/>
      <c r="I24" s="59"/>
      <c r="J24" s="59"/>
    </row>
    <row r="25" spans="2:10">
      <c r="B25" s="35" t="s">
        <v>47</v>
      </c>
      <c r="C25" s="59"/>
      <c r="D25" s="59"/>
      <c r="E25" s="59"/>
      <c r="F25" s="59"/>
      <c r="G25" s="59"/>
      <c r="H25" s="59"/>
      <c r="I25" s="59"/>
      <c r="J25" s="59"/>
    </row>
    <row r="26" spans="2:10">
      <c r="B26" s="35" t="s">
        <v>48</v>
      </c>
      <c r="C26" s="1297"/>
      <c r="D26" s="1297"/>
      <c r="E26" s="1297"/>
      <c r="F26" s="1297"/>
      <c r="G26" s="73" t="s">
        <v>50</v>
      </c>
      <c r="H26" s="1298">
        <f ca="1">TODAY()</f>
        <v>46054</v>
      </c>
      <c r="I26" s="1299"/>
      <c r="J26" s="35"/>
    </row>
    <row r="27" spans="2:10">
      <c r="B27" s="35"/>
      <c r="C27" s="35"/>
      <c r="D27" s="73" t="s">
        <v>49</v>
      </c>
      <c r="E27" s="35"/>
      <c r="F27" s="35"/>
      <c r="G27" s="35"/>
      <c r="H27" s="1300" t="s">
        <v>39</v>
      </c>
      <c r="I27" s="1300"/>
      <c r="J27" s="35"/>
    </row>
    <row r="28" spans="2:10">
      <c r="B28" s="35" t="s">
        <v>51</v>
      </c>
      <c r="C28" s="35"/>
      <c r="D28" s="35"/>
      <c r="E28" s="35"/>
      <c r="F28" s="35"/>
      <c r="G28" s="35"/>
      <c r="H28" s="35"/>
      <c r="I28" s="159">
        <f ca="1">TODAY()</f>
        <v>46054</v>
      </c>
      <c r="J28" s="35"/>
    </row>
    <row r="29" spans="2:10">
      <c r="B29" s="35"/>
      <c r="C29" s="35"/>
      <c r="D29" s="35"/>
      <c r="E29" s="35"/>
      <c r="F29" s="35"/>
      <c r="G29" s="35"/>
      <c r="H29" s="35"/>
      <c r="I29" s="73" t="s">
        <v>39</v>
      </c>
      <c r="J29" s="35"/>
    </row>
    <row r="30" spans="2:10">
      <c r="B30" s="35" t="s">
        <v>52</v>
      </c>
      <c r="C30" s="35"/>
      <c r="D30" s="35"/>
      <c r="E30" s="35"/>
      <c r="F30" s="35"/>
      <c r="G30" s="35"/>
      <c r="H30" s="35"/>
      <c r="I30" s="35"/>
      <c r="J30" s="35"/>
    </row>
    <row r="31" spans="2:10">
      <c r="B31" s="35" t="s">
        <v>32</v>
      </c>
      <c r="C31" s="35"/>
      <c r="D31" s="35"/>
      <c r="E31" s="35"/>
      <c r="F31" s="35"/>
      <c r="G31" s="35"/>
      <c r="H31" s="35"/>
      <c r="I31" s="35"/>
      <c r="J31" s="35"/>
    </row>
    <row r="32" spans="2:10">
      <c r="B32" s="41"/>
      <c r="C32" s="41"/>
      <c r="D32" s="41"/>
      <c r="E32" s="41"/>
      <c r="F32" s="63"/>
      <c r="G32" s="63"/>
      <c r="H32" s="63"/>
      <c r="I32" s="41"/>
      <c r="J32" s="41"/>
    </row>
    <row r="33" spans="2:10">
      <c r="B33" s="41"/>
      <c r="C33" s="41"/>
      <c r="D33" s="41"/>
      <c r="E33" s="41"/>
      <c r="F33" s="1290" t="s">
        <v>9</v>
      </c>
      <c r="G33" s="1290"/>
      <c r="H33" s="1290"/>
      <c r="I33" s="41"/>
      <c r="J33" s="41"/>
    </row>
    <row r="34" spans="2:10">
      <c r="B34" s="49"/>
      <c r="C34" s="41"/>
      <c r="D34" s="41"/>
      <c r="E34" s="41"/>
      <c r="F34" s="41"/>
      <c r="G34" s="41"/>
      <c r="H34" s="41"/>
      <c r="I34" s="41"/>
      <c r="J34" s="41"/>
    </row>
    <row r="35" spans="2:10">
      <c r="B35" s="41"/>
      <c r="C35" s="41"/>
      <c r="D35" s="41"/>
      <c r="E35" s="41"/>
      <c r="F35" s="1248" t="s">
        <v>34</v>
      </c>
      <c r="G35" s="1248"/>
      <c r="H35" s="1248"/>
      <c r="I35" s="41"/>
      <c r="J35" s="41"/>
    </row>
    <row r="36" spans="2:10">
      <c r="B36" s="41"/>
      <c r="C36" s="41"/>
      <c r="D36" s="49"/>
      <c r="E36" s="41"/>
      <c r="F36" s="1146" t="s">
        <v>10</v>
      </c>
      <c r="G36" s="1146"/>
      <c r="H36" s="1146"/>
      <c r="I36" s="41"/>
      <c r="J36" s="41"/>
    </row>
    <row r="37" spans="2:10">
      <c r="B37" s="41"/>
      <c r="C37" s="41"/>
      <c r="D37" s="49"/>
      <c r="E37" s="41"/>
      <c r="F37" s="41"/>
      <c r="G37" s="41"/>
      <c r="H37" s="41"/>
      <c r="I37" s="41"/>
      <c r="J37" s="41"/>
    </row>
    <row r="38" spans="2:10">
      <c r="B38" s="41"/>
      <c r="C38" s="41"/>
      <c r="D38" s="41"/>
      <c r="E38" s="41"/>
      <c r="F38" s="41"/>
      <c r="G38" s="41"/>
      <c r="H38" s="41"/>
      <c r="I38" s="41"/>
      <c r="J38" s="41"/>
    </row>
    <row r="39" spans="2:10">
      <c r="B39" s="308" t="s">
        <v>11</v>
      </c>
      <c r="C39" s="74"/>
      <c r="D39" s="311"/>
      <c r="E39" s="1248"/>
      <c r="F39" s="1248"/>
      <c r="G39" s="1248"/>
      <c r="H39" s="1248"/>
      <c r="I39" s="41"/>
      <c r="J39" s="41"/>
    </row>
    <row r="40" spans="2:10">
      <c r="B40" s="41"/>
      <c r="C40" s="41"/>
      <c r="D40" s="41"/>
      <c r="E40" s="309"/>
      <c r="F40" s="41"/>
      <c r="G40" s="41"/>
      <c r="H40" s="41"/>
      <c r="I40" s="41"/>
      <c r="J40" s="41"/>
    </row>
    <row r="41" spans="2:10">
      <c r="B41" s="28" t="s">
        <v>12</v>
      </c>
      <c r="C41" s="41"/>
      <c r="D41" s="41"/>
      <c r="E41" s="1248"/>
      <c r="F41" s="1248"/>
      <c r="G41" s="1248"/>
      <c r="H41" s="1248"/>
      <c r="I41" s="41"/>
      <c r="J41" s="41"/>
    </row>
    <row r="42" spans="2:10">
      <c r="B42" s="311"/>
      <c r="C42" s="311"/>
      <c r="D42" s="311"/>
      <c r="E42" s="311"/>
      <c r="F42" s="311"/>
      <c r="G42" s="311"/>
      <c r="H42" s="311"/>
      <c r="I42" s="311"/>
      <c r="J42" s="311"/>
    </row>
    <row r="43" spans="2:10">
      <c r="B43" s="28" t="s">
        <v>19</v>
      </c>
      <c r="C43" s="41"/>
      <c r="D43" s="41"/>
      <c r="E43" s="1248"/>
      <c r="F43" s="1248"/>
      <c r="G43" s="1248"/>
      <c r="H43" s="1248"/>
      <c r="I43" s="41"/>
      <c r="J43" s="41"/>
    </row>
    <row r="44" spans="2:10">
      <c r="B44" s="41"/>
      <c r="C44" s="41"/>
      <c r="D44" s="41"/>
      <c r="E44" s="41"/>
      <c r="F44" s="41"/>
      <c r="G44" s="41"/>
      <c r="H44" s="41"/>
      <c r="I44" s="41"/>
      <c r="J44" s="41"/>
    </row>
    <row r="45" spans="2:10">
      <c r="B45" s="49"/>
      <c r="C45" s="49"/>
      <c r="D45" s="49"/>
      <c r="E45" s="49"/>
      <c r="F45" s="49"/>
      <c r="G45" s="49"/>
      <c r="H45" s="49"/>
      <c r="I45" s="49"/>
      <c r="J45" s="49"/>
    </row>
    <row r="46" spans="2:10">
      <c r="B46" s="48"/>
      <c r="C46" s="48"/>
      <c r="D46" s="48"/>
      <c r="E46" s="48"/>
      <c r="F46" s="48"/>
      <c r="G46" s="48"/>
      <c r="H46" s="48"/>
      <c r="I46" s="48"/>
      <c r="J46" s="48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8" spans="2:10">
      <c r="B48" s="48"/>
      <c r="C48" s="48"/>
      <c r="D48" s="48"/>
      <c r="E48" s="48"/>
      <c r="F48" s="48"/>
      <c r="G48" s="48"/>
      <c r="H48" s="48"/>
      <c r="I48" s="48"/>
      <c r="J48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/>
    <row r="51" spans="2:10">
      <c r="B51" s="1264"/>
      <c r="C51" s="1264"/>
      <c r="D51" s="1264"/>
      <c r="E51" s="1264"/>
      <c r="F51" s="1264"/>
      <c r="G51" s="1264"/>
      <c r="H51" s="1264"/>
      <c r="I51" s="1264"/>
      <c r="J51" s="1264"/>
    </row>
    <row r="52" spans="2:10">
      <c r="B52" s="1"/>
      <c r="C52" s="1"/>
      <c r="D52" s="1"/>
      <c r="E52" s="1"/>
      <c r="F52" s="1"/>
      <c r="G52" s="1"/>
      <c r="H52" s="1"/>
      <c r="I52" s="1"/>
      <c r="J52" s="1"/>
    </row>
    <row r="53" spans="2:10">
      <c r="B53" s="27"/>
      <c r="C53" s="1"/>
      <c r="D53" s="1"/>
      <c r="E53" s="1"/>
      <c r="F53" s="1"/>
      <c r="G53" s="1"/>
      <c r="H53" s="1"/>
      <c r="I53" s="1"/>
      <c r="J53" s="1"/>
    </row>
  </sheetData>
  <mergeCells count="18">
    <mergeCell ref="B51:J51"/>
    <mergeCell ref="D18:I18"/>
    <mergeCell ref="F20:H20"/>
    <mergeCell ref="C26:F26"/>
    <mergeCell ref="H26:I26"/>
    <mergeCell ref="H27:I27"/>
    <mergeCell ref="F33:H33"/>
    <mergeCell ref="F35:H35"/>
    <mergeCell ref="F36:H36"/>
    <mergeCell ref="E39:H39"/>
    <mergeCell ref="E41:H41"/>
    <mergeCell ref="E43:H43"/>
    <mergeCell ref="H15:I15"/>
    <mergeCell ref="C2:H2"/>
    <mergeCell ref="B3:J3"/>
    <mergeCell ref="C4:H4"/>
    <mergeCell ref="H6:I6"/>
    <mergeCell ref="H14:I14"/>
  </mergeCells>
  <pageMargins left="0.7" right="0.7" top="0.75" bottom="0.75" header="0.3" footer="0.3"/>
  <pageSetup paperSize="9" orientation="portrait" horizont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A919-256E-47F4-89D6-584F11E9D644}">
  <sheetPr codeName="Лист15">
    <tabColor rgb="FFFFC000"/>
  </sheetPr>
  <dimension ref="B2:J53"/>
  <sheetViews>
    <sheetView view="pageLayout" topLeftCell="A7" zoomScaleNormal="100" zoomScaleSheetLayoutView="110" workbookViewId="0">
      <selection activeCell="B18" sqref="B18"/>
    </sheetView>
  </sheetViews>
  <sheetFormatPr defaultRowHeight="14.25"/>
  <cols>
    <col min="1" max="1" width="4.6640625" customWidth="1"/>
    <col min="2" max="2" width="10.6640625" customWidth="1"/>
    <col min="10" max="10" width="7.86328125" customWidth="1"/>
  </cols>
  <sheetData>
    <row r="2" spans="2:10" ht="14.45" customHeight="1">
      <c r="B2" s="48"/>
      <c r="C2" s="328"/>
      <c r="D2" s="328"/>
      <c r="E2" s="49"/>
      <c r="F2" s="328"/>
      <c r="G2" s="328"/>
      <c r="H2" s="329"/>
      <c r="I2" s="48"/>
      <c r="J2" s="48"/>
    </row>
    <row r="3" spans="2:10" ht="14.45" customHeight="1">
      <c r="B3" s="49"/>
      <c r="C3" s="329"/>
      <c r="D3" s="329"/>
      <c r="E3" s="49"/>
      <c r="F3" s="329"/>
      <c r="G3" s="329"/>
      <c r="H3" s="329"/>
      <c r="I3" s="329"/>
      <c r="J3" s="329"/>
    </row>
    <row r="4" spans="2:10" ht="14.45" customHeight="1">
      <c r="B4" s="49"/>
      <c r="C4" s="326"/>
      <c r="D4" s="326"/>
      <c r="E4" s="49"/>
      <c r="F4" s="326"/>
      <c r="G4" s="326" t="s">
        <v>328</v>
      </c>
      <c r="H4" s="331"/>
      <c r="I4" s="122"/>
      <c r="J4" s="49"/>
    </row>
    <row r="5" spans="2:10">
      <c r="B5" s="49"/>
      <c r="C5" s="49"/>
      <c r="D5" s="49"/>
      <c r="E5" s="49"/>
      <c r="F5" s="49"/>
      <c r="G5" s="49"/>
      <c r="H5" s="49"/>
      <c r="I5" s="49"/>
      <c r="J5" s="49"/>
    </row>
    <row r="6" spans="2:10">
      <c r="B6" s="49"/>
      <c r="C6" s="51"/>
      <c r="D6" s="51"/>
      <c r="E6" s="51"/>
      <c r="F6" s="51"/>
      <c r="G6" s="94"/>
      <c r="H6" s="70"/>
      <c r="I6" s="70"/>
      <c r="J6" s="49"/>
    </row>
    <row r="7" spans="2:10" ht="30.4">
      <c r="B7" s="53"/>
      <c r="C7" s="1307" t="s">
        <v>329</v>
      </c>
      <c r="D7" s="1307"/>
      <c r="E7" s="1307"/>
      <c r="F7" s="1307"/>
      <c r="G7" s="1307"/>
      <c r="H7" s="55"/>
      <c r="I7" s="55"/>
      <c r="J7" s="49"/>
    </row>
    <row r="8" spans="2:10">
      <c r="B8" s="56"/>
      <c r="C8" s="58"/>
      <c r="D8" s="58"/>
      <c r="E8" s="58"/>
      <c r="F8" s="58"/>
      <c r="G8" s="94"/>
      <c r="H8" s="55"/>
      <c r="I8" s="55"/>
      <c r="J8" s="49"/>
    </row>
    <row r="9" spans="2:10">
      <c r="B9" s="59"/>
      <c r="C9" s="59"/>
      <c r="D9" s="59"/>
      <c r="E9" s="59"/>
      <c r="F9" s="59"/>
      <c r="G9" s="59"/>
      <c r="H9" s="49"/>
      <c r="I9" s="49"/>
      <c r="J9" s="49"/>
    </row>
    <row r="10" spans="2:10">
      <c r="B10" s="293" t="s">
        <v>330</v>
      </c>
      <c r="C10" s="339"/>
      <c r="D10" s="335"/>
      <c r="E10" s="61"/>
      <c r="F10" s="61"/>
      <c r="G10" s="336"/>
      <c r="H10" s="122"/>
      <c r="I10" s="122"/>
      <c r="J10" s="49"/>
    </row>
    <row r="11" spans="2:10">
      <c r="B11" s="60"/>
      <c r="D11" s="60"/>
      <c r="E11" s="60"/>
      <c r="F11" s="60"/>
      <c r="G11" s="60"/>
      <c r="H11" s="60"/>
      <c r="I11" s="60"/>
      <c r="J11" s="49"/>
    </row>
    <row r="12" spans="2:10">
      <c r="B12" s="337" t="s">
        <v>331</v>
      </c>
      <c r="C12" s="122"/>
      <c r="D12" s="122"/>
      <c r="E12" s="122"/>
      <c r="F12" s="337" t="s">
        <v>332</v>
      </c>
      <c r="G12" s="122"/>
      <c r="H12" s="122"/>
      <c r="I12" s="122"/>
      <c r="J12" s="49"/>
    </row>
    <row r="13" spans="2:10">
      <c r="B13" s="60"/>
      <c r="C13" s="60"/>
      <c r="D13" s="60"/>
      <c r="E13" s="60"/>
      <c r="F13" s="60"/>
      <c r="G13" s="60"/>
      <c r="H13" s="60"/>
      <c r="I13" s="60"/>
      <c r="J13" s="60"/>
    </row>
    <row r="14" spans="2:10">
      <c r="B14" s="337" t="s">
        <v>333</v>
      </c>
      <c r="C14" s="122"/>
      <c r="D14" s="123"/>
      <c r="E14" s="123"/>
      <c r="F14" s="334" t="s">
        <v>1</v>
      </c>
      <c r="G14" s="123"/>
      <c r="H14" s="340"/>
      <c r="I14" s="250"/>
      <c r="J14" s="60"/>
    </row>
    <row r="15" spans="2:10">
      <c r="B15" s="60"/>
      <c r="C15" s="60"/>
      <c r="D15" s="60"/>
      <c r="E15" s="60"/>
      <c r="F15" s="60"/>
      <c r="G15" s="60"/>
      <c r="H15" s="41"/>
      <c r="I15" s="41"/>
      <c r="J15" s="60"/>
    </row>
    <row r="16" spans="2:10">
      <c r="B16" s="63"/>
      <c r="C16" s="95"/>
      <c r="D16" s="63"/>
      <c r="E16" s="63"/>
      <c r="F16" s="63"/>
      <c r="G16" s="63"/>
      <c r="H16" s="63"/>
      <c r="I16" s="63"/>
      <c r="J16" s="41"/>
    </row>
    <row r="17" spans="2:10">
      <c r="B17" s="60"/>
      <c r="C17" s="327"/>
      <c r="D17" s="60"/>
      <c r="E17" s="60"/>
      <c r="F17" s="41"/>
      <c r="G17" s="41"/>
      <c r="H17" s="41"/>
      <c r="I17" s="41"/>
      <c r="J17" s="41"/>
    </row>
    <row r="18" spans="2:10" ht="15.4">
      <c r="B18" s="377" t="s">
        <v>334</v>
      </c>
      <c r="C18" s="341"/>
      <c r="D18" s="341"/>
      <c r="E18" s="341"/>
      <c r="F18" s="341"/>
      <c r="G18" s="341"/>
      <c r="H18" s="341"/>
      <c r="I18" s="341"/>
      <c r="J18" s="178"/>
    </row>
    <row r="19" spans="2:10" ht="15.4">
      <c r="B19" s="333" t="s">
        <v>335</v>
      </c>
      <c r="C19" s="332"/>
      <c r="D19" s="332"/>
      <c r="E19" s="332"/>
      <c r="F19" s="332"/>
      <c r="G19" s="332"/>
      <c r="H19" s="332"/>
      <c r="I19" s="332"/>
      <c r="J19" s="332"/>
    </row>
    <row r="20" spans="2:10" ht="15.4">
      <c r="B20" s="333" t="s">
        <v>336</v>
      </c>
      <c r="C20" s="332"/>
      <c r="D20" s="344"/>
      <c r="E20" s="178"/>
      <c r="F20" s="330"/>
      <c r="G20" s="97"/>
      <c r="H20" s="97"/>
      <c r="I20" s="66"/>
      <c r="J20" s="342"/>
    </row>
    <row r="21" spans="2:10" ht="15.4">
      <c r="B21" s="1308"/>
      <c r="C21" s="1308"/>
      <c r="D21" s="1308"/>
      <c r="E21" s="371" t="s">
        <v>337</v>
      </c>
      <c r="F21" s="372"/>
      <c r="G21" s="373" t="s">
        <v>338</v>
      </c>
      <c r="H21" s="342"/>
      <c r="I21" s="362"/>
      <c r="J21" s="342"/>
    </row>
    <row r="22" spans="2:10" ht="15.4">
      <c r="B22" s="374" t="s">
        <v>339</v>
      </c>
      <c r="C22" s="178"/>
      <c r="D22" s="178"/>
      <c r="E22" s="346"/>
      <c r="F22" s="346"/>
      <c r="G22" s="346"/>
      <c r="H22" s="346"/>
      <c r="I22" s="347"/>
      <c r="J22" s="347"/>
    </row>
    <row r="23" spans="2:10" ht="15.4">
      <c r="B23" s="375" t="s">
        <v>340</v>
      </c>
      <c r="C23" s="348"/>
      <c r="D23" s="1309"/>
      <c r="E23" s="1309"/>
      <c r="F23" s="366" t="s">
        <v>341</v>
      </c>
      <c r="G23" s="1309"/>
      <c r="H23" s="1309"/>
      <c r="I23" s="1309"/>
      <c r="J23" s="348"/>
    </row>
    <row r="24" spans="2:10">
      <c r="B24" s="349"/>
      <c r="C24" s="179"/>
      <c r="D24" s="1302"/>
      <c r="E24" s="1302"/>
      <c r="F24" s="366" t="s">
        <v>341</v>
      </c>
      <c r="G24" s="1302"/>
      <c r="H24" s="1302"/>
      <c r="I24" s="1302"/>
      <c r="J24" s="179"/>
    </row>
    <row r="25" spans="2:10">
      <c r="B25" s="349"/>
      <c r="C25" s="179"/>
      <c r="D25" s="1302"/>
      <c r="E25" s="1302"/>
      <c r="F25" s="366" t="s">
        <v>341</v>
      </c>
      <c r="G25" s="1302"/>
      <c r="H25" s="1302"/>
      <c r="I25" s="1302"/>
      <c r="J25" s="179"/>
    </row>
    <row r="26" spans="2:10" ht="15.4">
      <c r="B26" s="376" t="s">
        <v>342</v>
      </c>
      <c r="C26" s="350"/>
      <c r="D26" s="350"/>
      <c r="E26" s="350"/>
      <c r="F26" s="350"/>
      <c r="G26" s="351"/>
      <c r="H26" s="352"/>
      <c r="I26" s="350"/>
      <c r="J26" s="349"/>
    </row>
    <row r="27" spans="2:10">
      <c r="B27" s="349"/>
      <c r="C27" s="349"/>
      <c r="D27" s="351"/>
      <c r="E27" s="349"/>
      <c r="F27" s="349"/>
      <c r="G27" s="349"/>
      <c r="H27" s="350"/>
      <c r="I27" s="350"/>
      <c r="J27" s="349"/>
    </row>
    <row r="28" spans="2:10">
      <c r="B28" s="349"/>
      <c r="C28" s="349"/>
      <c r="D28" s="1303"/>
      <c r="E28" s="1303"/>
      <c r="F28" s="1303"/>
      <c r="G28" s="1303"/>
      <c r="H28" s="349"/>
      <c r="I28" s="353"/>
      <c r="J28" s="349"/>
    </row>
    <row r="29" spans="2:10">
      <c r="B29" s="349"/>
      <c r="C29" s="349"/>
      <c r="D29" s="349"/>
      <c r="E29" s="349"/>
      <c r="F29" s="349"/>
      <c r="G29" s="349"/>
      <c r="H29" s="349"/>
      <c r="I29" s="351"/>
      <c r="J29" s="349"/>
    </row>
    <row r="30" spans="2:10">
      <c r="B30" s="349"/>
      <c r="C30" s="349"/>
      <c r="D30" s="349"/>
      <c r="E30" s="349"/>
      <c r="F30" s="349"/>
      <c r="G30" s="349"/>
      <c r="H30" s="349"/>
      <c r="I30" s="349"/>
      <c r="J30" s="349"/>
    </row>
    <row r="31" spans="2:10">
      <c r="B31" s="179" t="s">
        <v>343</v>
      </c>
      <c r="C31" s="349"/>
      <c r="D31" s="349"/>
      <c r="E31" s="349"/>
      <c r="F31" s="349"/>
      <c r="G31" s="349"/>
      <c r="H31" s="349"/>
      <c r="I31" s="349"/>
      <c r="J31" s="349"/>
    </row>
    <row r="32" spans="2:10">
      <c r="B32" s="206" t="s">
        <v>344</v>
      </c>
      <c r="C32" s="178"/>
      <c r="D32" s="178"/>
      <c r="E32" s="178"/>
      <c r="F32" s="343"/>
      <c r="G32" s="343"/>
      <c r="H32" s="343"/>
      <c r="I32" s="178"/>
      <c r="J32" s="178"/>
    </row>
    <row r="33" spans="2:10">
      <c r="B33" s="178"/>
      <c r="C33" s="178"/>
      <c r="D33" s="178"/>
      <c r="E33" s="178"/>
      <c r="F33" s="178"/>
      <c r="G33" s="178"/>
      <c r="H33" s="178"/>
      <c r="I33" s="178"/>
      <c r="J33" s="178"/>
    </row>
    <row r="34" spans="2:10">
      <c r="B34" s="354"/>
      <c r="C34" s="178"/>
      <c r="D34" s="178"/>
      <c r="E34" s="178"/>
      <c r="F34" s="178"/>
      <c r="G34" s="178"/>
      <c r="H34" s="178"/>
      <c r="I34" s="178"/>
      <c r="J34" s="178"/>
    </row>
    <row r="35" spans="2:10">
      <c r="B35" s="178"/>
      <c r="C35" s="178"/>
      <c r="D35" s="178"/>
      <c r="E35" s="178"/>
      <c r="F35" s="179"/>
      <c r="G35" s="179"/>
      <c r="H35" s="179"/>
      <c r="I35" s="178"/>
      <c r="J35" s="178"/>
    </row>
    <row r="36" spans="2:10" ht="15">
      <c r="B36" s="178"/>
      <c r="C36" s="178"/>
      <c r="D36" s="354"/>
      <c r="E36" s="178"/>
      <c r="F36" s="178"/>
      <c r="G36" s="1304" t="s">
        <v>345</v>
      </c>
      <c r="H36" s="1304"/>
      <c r="I36" s="178"/>
      <c r="J36" s="178"/>
    </row>
    <row r="37" spans="2:10">
      <c r="B37" s="178"/>
      <c r="C37" s="178"/>
      <c r="D37" s="354"/>
      <c r="E37" s="178"/>
      <c r="F37" s="178"/>
      <c r="G37" s="178"/>
      <c r="H37" s="178"/>
      <c r="I37" s="178"/>
      <c r="J37" s="178"/>
    </row>
    <row r="38" spans="2:10">
      <c r="B38" s="178"/>
      <c r="C38" s="178"/>
      <c r="D38" s="178"/>
      <c r="E38" s="178"/>
      <c r="F38" s="178"/>
      <c r="G38" s="178"/>
      <c r="H38" s="178"/>
      <c r="I38" s="178"/>
      <c r="J38" s="178"/>
    </row>
    <row r="39" spans="2:10">
      <c r="B39" s="355"/>
      <c r="C39" s="356"/>
      <c r="D39" s="342"/>
      <c r="E39" s="179"/>
      <c r="F39" s="368"/>
      <c r="G39" s="368"/>
      <c r="H39" s="368"/>
      <c r="I39" s="296"/>
      <c r="J39" s="178"/>
    </row>
    <row r="40" spans="2:10">
      <c r="B40" s="178"/>
      <c r="C40" s="178"/>
      <c r="D40" s="178"/>
      <c r="E40" s="357"/>
      <c r="F40" s="178"/>
      <c r="G40" s="1305" t="s">
        <v>346</v>
      </c>
      <c r="H40" s="1305"/>
      <c r="I40" s="178"/>
      <c r="J40" s="178"/>
    </row>
    <row r="41" spans="2:10">
      <c r="B41" s="206"/>
      <c r="C41" s="178"/>
      <c r="D41" s="178"/>
      <c r="E41" s="179"/>
      <c r="F41" s="179"/>
      <c r="G41" s="179"/>
      <c r="H41" s="179"/>
      <c r="I41" s="178"/>
      <c r="J41" s="178"/>
    </row>
    <row r="42" spans="2:10">
      <c r="B42" s="338" t="s">
        <v>347</v>
      </c>
      <c r="C42" s="342"/>
      <c r="D42" s="370"/>
      <c r="E42" s="370"/>
      <c r="F42" s="370"/>
      <c r="G42" s="342"/>
      <c r="H42" s="342"/>
      <c r="I42" s="342"/>
      <c r="J42" s="342"/>
    </row>
    <row r="43" spans="2:10">
      <c r="B43" s="206"/>
      <c r="C43" s="178"/>
      <c r="D43" s="178"/>
      <c r="E43" s="179"/>
      <c r="F43" s="179"/>
      <c r="G43" s="179"/>
      <c r="H43" s="179"/>
      <c r="I43" s="178"/>
      <c r="J43" s="178"/>
    </row>
    <row r="44" spans="2:10">
      <c r="B44" s="1306" t="s">
        <v>348</v>
      </c>
      <c r="C44" s="1306"/>
      <c r="D44" s="296"/>
      <c r="E44" s="296"/>
      <c r="F44" s="296"/>
      <c r="G44" s="178"/>
      <c r="H44" s="178"/>
      <c r="I44" s="178"/>
      <c r="J44" s="178"/>
    </row>
    <row r="45" spans="2:10">
      <c r="B45" s="354"/>
      <c r="C45" s="354"/>
      <c r="D45" s="354"/>
      <c r="E45" s="354"/>
      <c r="F45" s="354"/>
      <c r="G45" s="354"/>
      <c r="H45" s="354"/>
      <c r="I45" s="354"/>
      <c r="J45" s="354"/>
    </row>
    <row r="46" spans="2:10">
      <c r="B46" s="1301" t="s">
        <v>349</v>
      </c>
      <c r="C46" s="1301"/>
      <c r="D46" s="235"/>
      <c r="E46" s="235"/>
      <c r="F46" s="235"/>
      <c r="G46" s="48"/>
      <c r="H46" s="48"/>
      <c r="I46" s="48"/>
      <c r="J46" s="48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8" spans="2:10">
      <c r="B48" s="48"/>
      <c r="C48" s="48"/>
      <c r="D48" s="48"/>
      <c r="E48" s="48"/>
      <c r="F48" s="48"/>
      <c r="G48" s="48"/>
      <c r="H48" s="48"/>
      <c r="I48" s="48"/>
      <c r="J48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358"/>
      <c r="C50" s="358"/>
      <c r="D50" s="358"/>
      <c r="E50" s="358"/>
      <c r="F50" s="358"/>
      <c r="G50" s="358"/>
      <c r="H50" s="358"/>
      <c r="I50" s="358"/>
      <c r="J50" s="358"/>
    </row>
    <row r="51" spans="2:10">
      <c r="B51" s="1264"/>
      <c r="C51" s="1264"/>
      <c r="D51" s="1264"/>
      <c r="E51" s="1264"/>
      <c r="F51" s="1264"/>
      <c r="G51" s="1264"/>
      <c r="H51" s="1264"/>
      <c r="I51" s="1264"/>
      <c r="J51" s="1264"/>
    </row>
    <row r="52" spans="2:10">
      <c r="B52" s="1"/>
      <c r="C52" s="1"/>
      <c r="D52" s="1"/>
      <c r="E52" s="1"/>
      <c r="F52" s="1"/>
      <c r="G52" s="1"/>
      <c r="H52" s="1"/>
      <c r="I52" s="1"/>
      <c r="J52" s="1"/>
    </row>
    <row r="53" spans="2:10">
      <c r="B53" s="27"/>
      <c r="C53" s="1"/>
      <c r="D53" s="1"/>
      <c r="E53" s="1"/>
      <c r="F53" s="1"/>
      <c r="G53" s="1"/>
      <c r="H53" s="1"/>
      <c r="I53" s="1"/>
      <c r="J53" s="1"/>
    </row>
  </sheetData>
  <mergeCells count="14">
    <mergeCell ref="C7:G7"/>
    <mergeCell ref="B21:D21"/>
    <mergeCell ref="D23:E23"/>
    <mergeCell ref="G23:I23"/>
    <mergeCell ref="D24:E24"/>
    <mergeCell ref="G24:I24"/>
    <mergeCell ref="B46:C46"/>
    <mergeCell ref="B51:J51"/>
    <mergeCell ref="D25:E25"/>
    <mergeCell ref="G25:I25"/>
    <mergeCell ref="D28:G28"/>
    <mergeCell ref="G36:H36"/>
    <mergeCell ref="G40:H40"/>
    <mergeCell ref="B44:C44"/>
  </mergeCells>
  <pageMargins left="0.6" right="0.83333333333333337" top="0.75" bottom="0.75" header="0.3" footer="0.3"/>
  <pageSetup paperSize="9" orientation="portrait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EB05-66A4-4A1B-8182-7442BDDBA1E5}">
  <sheetPr codeName="Лист16">
    <tabColor rgb="FFFFC000"/>
  </sheetPr>
  <dimension ref="B2:J54"/>
  <sheetViews>
    <sheetView view="pageLayout" topLeftCell="A4" zoomScaleNormal="100" zoomScaleSheetLayoutView="110" workbookViewId="0">
      <selection activeCell="E37" sqref="E37"/>
    </sheetView>
  </sheetViews>
  <sheetFormatPr defaultRowHeight="14.25"/>
  <cols>
    <col min="1" max="1" width="4.6640625" customWidth="1"/>
    <col min="2" max="2" width="10.6640625" customWidth="1"/>
    <col min="10" max="10" width="7.86328125" customWidth="1"/>
  </cols>
  <sheetData>
    <row r="2" spans="2:10" ht="14.45" customHeight="1">
      <c r="B2" s="48"/>
      <c r="C2" s="328"/>
      <c r="D2" s="328"/>
      <c r="E2" s="49"/>
      <c r="F2" s="328"/>
      <c r="G2" s="328"/>
      <c r="H2" s="329"/>
      <c r="I2" s="48"/>
      <c r="J2" s="48"/>
    </row>
    <row r="3" spans="2:10" ht="14.45" customHeight="1">
      <c r="B3" s="49"/>
      <c r="C3" s="329"/>
      <c r="D3" s="329"/>
      <c r="E3" s="49"/>
      <c r="F3" s="329"/>
      <c r="G3" s="329"/>
      <c r="H3" s="329"/>
      <c r="I3" s="329"/>
      <c r="J3" s="329"/>
    </row>
    <row r="4" spans="2:10" ht="14.45" customHeight="1">
      <c r="B4" s="49"/>
      <c r="C4" s="326"/>
      <c r="D4" s="326"/>
      <c r="E4" s="49"/>
      <c r="F4" s="326"/>
      <c r="G4" s="326" t="s">
        <v>328</v>
      </c>
      <c r="H4" s="331"/>
      <c r="I4" s="122"/>
      <c r="J4" s="49"/>
    </row>
    <row r="5" spans="2:10">
      <c r="B5" s="49"/>
      <c r="C5" s="49"/>
      <c r="D5" s="49"/>
      <c r="E5" s="49"/>
      <c r="F5" s="49"/>
      <c r="G5" s="49"/>
      <c r="H5" s="49"/>
      <c r="I5" s="49"/>
      <c r="J5" s="49"/>
    </row>
    <row r="6" spans="2:10" ht="19.899999999999999">
      <c r="B6" s="49"/>
      <c r="C6" s="51"/>
      <c r="D6" s="1310" t="s">
        <v>350</v>
      </c>
      <c r="E6" s="1310"/>
      <c r="F6" s="1310"/>
      <c r="G6" s="94"/>
      <c r="H6" s="70"/>
      <c r="I6" s="70"/>
      <c r="J6" s="49"/>
    </row>
    <row r="7" spans="2:10" ht="30.4">
      <c r="B7" s="53"/>
      <c r="C7" s="1307" t="s">
        <v>329</v>
      </c>
      <c r="D7" s="1307"/>
      <c r="E7" s="1307"/>
      <c r="F7" s="1307"/>
      <c r="G7" s="1307"/>
      <c r="H7" s="55"/>
      <c r="I7" s="55"/>
      <c r="J7" s="49"/>
    </row>
    <row r="8" spans="2:10">
      <c r="B8" s="56"/>
      <c r="C8" s="1311" t="s">
        <v>351</v>
      </c>
      <c r="D8" s="1311"/>
      <c r="E8" s="1311"/>
      <c r="F8" s="1311"/>
      <c r="G8" s="1311"/>
      <c r="H8" s="55"/>
      <c r="I8" s="55"/>
      <c r="J8" s="49"/>
    </row>
    <row r="9" spans="2:10">
      <c r="B9" s="59"/>
      <c r="C9" s="59"/>
      <c r="D9" s="59"/>
      <c r="E9" s="59"/>
      <c r="F9" s="59"/>
      <c r="G9" s="59"/>
      <c r="H9" s="49"/>
      <c r="I9" s="49"/>
      <c r="J9" s="49"/>
    </row>
    <row r="10" spans="2:10">
      <c r="B10" s="293" t="s">
        <v>330</v>
      </c>
      <c r="C10" s="339"/>
      <c r="D10" s="335"/>
      <c r="E10" s="61"/>
      <c r="F10" s="61"/>
      <c r="G10" s="336"/>
      <c r="H10" s="122"/>
      <c r="I10" s="122"/>
      <c r="J10" s="49"/>
    </row>
    <row r="11" spans="2:10">
      <c r="B11" s="60"/>
      <c r="D11" s="60"/>
      <c r="E11" s="60"/>
      <c r="F11" s="60"/>
      <c r="G11" s="60"/>
      <c r="H11" s="60"/>
      <c r="I11" s="60"/>
      <c r="J11" s="49"/>
    </row>
    <row r="12" spans="2:10">
      <c r="B12" s="337" t="s">
        <v>331</v>
      </c>
      <c r="C12" s="122"/>
      <c r="D12" s="122"/>
      <c r="E12" s="122"/>
      <c r="F12" s="337" t="s">
        <v>332</v>
      </c>
      <c r="G12" s="122"/>
      <c r="H12" s="122"/>
      <c r="I12" s="122"/>
      <c r="J12" s="49"/>
    </row>
    <row r="13" spans="2:10">
      <c r="B13" s="60"/>
      <c r="C13" s="60"/>
      <c r="D13" s="60"/>
      <c r="E13" s="60"/>
      <c r="F13" s="60"/>
      <c r="G13" s="60"/>
      <c r="H13" s="60"/>
      <c r="I13" s="60"/>
      <c r="J13" s="60"/>
    </row>
    <row r="14" spans="2:10">
      <c r="B14" s="337" t="s">
        <v>333</v>
      </c>
      <c r="C14" s="122"/>
      <c r="D14" s="123"/>
      <c r="E14" s="123"/>
      <c r="F14" s="334" t="s">
        <v>1</v>
      </c>
      <c r="G14" s="123"/>
      <c r="H14" s="340"/>
      <c r="I14" s="250"/>
      <c r="J14" s="60"/>
    </row>
    <row r="15" spans="2:10">
      <c r="B15" s="60"/>
      <c r="C15" s="60"/>
      <c r="D15" s="60"/>
      <c r="E15" s="60"/>
      <c r="F15" s="60"/>
      <c r="G15" s="60"/>
      <c r="H15" s="41"/>
      <c r="I15" s="41"/>
      <c r="J15" s="60"/>
    </row>
    <row r="16" spans="2:10">
      <c r="B16" s="63"/>
      <c r="C16" s="95"/>
      <c r="D16" s="63"/>
      <c r="E16" s="63"/>
      <c r="F16" s="63"/>
      <c r="G16" s="63"/>
      <c r="H16" s="63"/>
      <c r="I16" s="63"/>
      <c r="J16" s="41"/>
    </row>
    <row r="17" spans="2:10">
      <c r="B17" s="60"/>
      <c r="C17" s="327"/>
      <c r="D17" s="60"/>
      <c r="E17" s="60"/>
      <c r="F17" s="41"/>
      <c r="G17" s="41"/>
      <c r="H17" s="41"/>
      <c r="I17" s="41"/>
      <c r="J17" s="41"/>
    </row>
    <row r="18" spans="2:10" ht="15.4">
      <c r="B18" s="377" t="s">
        <v>334</v>
      </c>
      <c r="C18" s="341"/>
      <c r="D18" s="341"/>
      <c r="E18" s="341"/>
      <c r="F18" s="341"/>
      <c r="G18" s="341"/>
      <c r="H18" s="341"/>
      <c r="I18" s="341"/>
      <c r="J18" s="178"/>
    </row>
    <row r="19" spans="2:10" ht="15.4">
      <c r="B19" s="333" t="s">
        <v>352</v>
      </c>
      <c r="C19" s="332"/>
      <c r="D19" s="332"/>
      <c r="E19" s="332"/>
      <c r="F19" s="332"/>
      <c r="G19" s="332"/>
      <c r="H19" s="332"/>
      <c r="I19" s="378"/>
      <c r="J19" s="332"/>
    </row>
    <row r="20" spans="2:10" ht="15.4">
      <c r="B20" s="379" t="s">
        <v>337</v>
      </c>
      <c r="C20" s="378"/>
      <c r="D20" s="344" t="s">
        <v>353</v>
      </c>
      <c r="E20" s="178"/>
      <c r="F20" s="330"/>
      <c r="G20" s="97"/>
      <c r="H20" s="97"/>
      <c r="I20" s="66"/>
      <c r="J20" s="342"/>
    </row>
    <row r="21" spans="2:10" ht="15.4">
      <c r="B21" s="380" t="s">
        <v>354</v>
      </c>
      <c r="C21" s="380"/>
      <c r="D21" s="380"/>
      <c r="E21" s="371"/>
      <c r="F21" s="381"/>
      <c r="G21" s="373"/>
      <c r="H21" s="342"/>
      <c r="I21" s="345"/>
      <c r="J21" s="342"/>
    </row>
    <row r="22" spans="2:10" ht="15.4">
      <c r="B22" s="374"/>
      <c r="C22" s="178"/>
      <c r="D22" s="178"/>
      <c r="E22" s="346"/>
      <c r="F22" s="346"/>
      <c r="G22" s="346"/>
      <c r="H22" s="346"/>
      <c r="I22" s="347"/>
      <c r="J22" s="347"/>
    </row>
    <row r="23" spans="2:10" ht="15.4">
      <c r="B23" s="382"/>
      <c r="C23" s="363"/>
      <c r="D23" s="365" t="s">
        <v>337</v>
      </c>
      <c r="E23" s="363"/>
      <c r="F23" s="1312" t="s">
        <v>355</v>
      </c>
      <c r="G23" s="1312"/>
      <c r="H23" s="363"/>
      <c r="I23" s="363"/>
      <c r="J23" s="348"/>
    </row>
    <row r="24" spans="2:10">
      <c r="B24" s="349"/>
      <c r="C24" s="179"/>
      <c r="D24" s="179"/>
      <c r="E24" s="179"/>
      <c r="F24" s="366"/>
      <c r="G24" s="179"/>
      <c r="H24" s="179"/>
      <c r="I24" s="179"/>
      <c r="J24" s="179"/>
    </row>
    <row r="25" spans="2:10">
      <c r="B25" s="349" t="s">
        <v>45</v>
      </c>
      <c r="C25" s="179"/>
      <c r="D25" s="179"/>
      <c r="E25" s="179"/>
      <c r="F25" s="366"/>
      <c r="G25" s="179"/>
      <c r="H25" s="179"/>
      <c r="I25" s="179"/>
      <c r="J25" s="179"/>
    </row>
    <row r="26" spans="2:10" ht="15.4">
      <c r="B26" s="376" t="s">
        <v>356</v>
      </c>
      <c r="C26" s="350"/>
      <c r="D26" s="350"/>
      <c r="E26" s="350"/>
      <c r="F26" s="350"/>
      <c r="G26" s="351"/>
      <c r="H26" s="352"/>
      <c r="I26" s="350"/>
      <c r="J26" s="349"/>
    </row>
    <row r="27" spans="2:10">
      <c r="B27" s="349" t="s">
        <v>357</v>
      </c>
      <c r="C27" s="349"/>
      <c r="D27" s="351"/>
      <c r="E27" s="349"/>
      <c r="F27" s="349"/>
      <c r="G27" s="349"/>
      <c r="H27" s="350"/>
      <c r="I27" s="350"/>
      <c r="J27" s="349"/>
    </row>
    <row r="28" spans="2:10">
      <c r="B28" s="349" t="s">
        <v>358</v>
      </c>
      <c r="C28" s="349"/>
      <c r="D28" s="349"/>
      <c r="E28" s="367"/>
      <c r="F28" s="367"/>
      <c r="G28" s="383" t="s">
        <v>341</v>
      </c>
      <c r="H28" s="367"/>
      <c r="I28" s="384"/>
      <c r="J28" s="349"/>
    </row>
    <row r="29" spans="2:10">
      <c r="B29" s="349" t="s">
        <v>359</v>
      </c>
      <c r="C29" s="349"/>
      <c r="D29" s="349"/>
      <c r="E29" s="349"/>
      <c r="F29" s="349"/>
      <c r="G29" s="349"/>
      <c r="H29" s="349"/>
      <c r="I29" s="351"/>
      <c r="J29" s="349"/>
    </row>
    <row r="30" spans="2:10">
      <c r="B30" s="349"/>
      <c r="C30" s="349"/>
      <c r="D30" s="349"/>
      <c r="E30" s="349"/>
      <c r="F30" s="349"/>
      <c r="G30" s="349"/>
      <c r="H30" s="349"/>
      <c r="I30" s="351"/>
      <c r="J30" s="349"/>
    </row>
    <row r="31" spans="2:10">
      <c r="B31" s="349"/>
      <c r="C31" s="349"/>
      <c r="D31" s="367"/>
      <c r="E31" s="367"/>
      <c r="F31" s="367"/>
      <c r="G31" s="367"/>
      <c r="H31" s="349"/>
      <c r="I31" s="349"/>
      <c r="J31" s="349"/>
    </row>
    <row r="32" spans="2:10">
      <c r="B32" s="349"/>
      <c r="C32" s="349"/>
      <c r="D32" s="349"/>
      <c r="E32" s="349"/>
      <c r="F32" s="349"/>
      <c r="G32" s="349"/>
      <c r="H32" s="349"/>
      <c r="I32" s="349"/>
      <c r="J32" s="349"/>
    </row>
    <row r="33" spans="2:10">
      <c r="B33" s="179" t="s">
        <v>343</v>
      </c>
      <c r="C33" s="349"/>
      <c r="D33" s="349"/>
      <c r="E33" s="349"/>
      <c r="F33" s="349"/>
      <c r="G33" s="349"/>
      <c r="H33" s="349"/>
      <c r="I33" s="349"/>
      <c r="J33" s="349"/>
    </row>
    <row r="34" spans="2:10">
      <c r="B34" s="206" t="s">
        <v>344</v>
      </c>
      <c r="C34" s="178"/>
      <c r="D34" s="178"/>
      <c r="E34" s="178"/>
      <c r="F34" s="343"/>
      <c r="G34" s="343"/>
      <c r="H34" s="343"/>
      <c r="I34" s="178"/>
      <c r="J34" s="178"/>
    </row>
    <row r="35" spans="2:10">
      <c r="B35" s="178"/>
      <c r="C35" s="178"/>
      <c r="D35" s="178"/>
      <c r="E35" s="178"/>
      <c r="F35" s="178"/>
      <c r="G35" s="178"/>
      <c r="H35" s="178"/>
      <c r="I35" s="178"/>
      <c r="J35" s="178"/>
    </row>
    <row r="36" spans="2:10">
      <c r="B36" s="178"/>
      <c r="C36" s="178"/>
      <c r="D36" s="178"/>
      <c r="E36" s="178"/>
      <c r="F36" s="179"/>
      <c r="G36" s="179"/>
      <c r="H36" s="179"/>
      <c r="I36" s="178"/>
      <c r="J36" s="178"/>
    </row>
    <row r="37" spans="2:10" ht="15">
      <c r="B37" s="178"/>
      <c r="C37" s="178"/>
      <c r="D37" s="354"/>
      <c r="E37" s="178"/>
      <c r="F37" s="178"/>
      <c r="G37" s="1304" t="s">
        <v>345</v>
      </c>
      <c r="H37" s="1304"/>
      <c r="I37" s="178"/>
      <c r="J37" s="178"/>
    </row>
    <row r="38" spans="2:10">
      <c r="B38" s="178"/>
      <c r="C38" s="178"/>
      <c r="D38" s="354"/>
      <c r="E38" s="178"/>
      <c r="F38" s="178"/>
      <c r="G38" s="178"/>
      <c r="H38" s="178"/>
      <c r="I38" s="178"/>
      <c r="J38" s="178"/>
    </row>
    <row r="39" spans="2:10">
      <c r="B39" s="178"/>
      <c r="C39" s="178"/>
      <c r="D39" s="178"/>
      <c r="E39" s="178"/>
      <c r="F39" s="178"/>
      <c r="G39" s="178"/>
      <c r="H39" s="178"/>
      <c r="I39" s="178"/>
      <c r="J39" s="178"/>
    </row>
    <row r="40" spans="2:10">
      <c r="B40" s="355"/>
      <c r="C40" s="356"/>
      <c r="D40" s="342"/>
      <c r="E40" s="179"/>
      <c r="F40" s="368"/>
      <c r="G40" s="368"/>
      <c r="H40" s="368"/>
      <c r="I40" s="296"/>
      <c r="J40" s="178"/>
    </row>
    <row r="41" spans="2:10">
      <c r="B41" s="178"/>
      <c r="C41" s="178"/>
      <c r="D41" s="178"/>
      <c r="E41" s="357"/>
      <c r="F41" s="178"/>
      <c r="G41" s="1305" t="s">
        <v>346</v>
      </c>
      <c r="H41" s="1305"/>
      <c r="I41" s="178"/>
      <c r="J41" s="178"/>
    </row>
    <row r="42" spans="2:10">
      <c r="B42" s="206"/>
      <c r="C42" s="178"/>
      <c r="D42" s="178"/>
      <c r="E42" s="179"/>
      <c r="F42" s="179"/>
      <c r="G42" s="179"/>
      <c r="H42" s="179"/>
      <c r="I42" s="178"/>
      <c r="J42" s="178"/>
    </row>
    <row r="43" spans="2:10">
      <c r="B43" s="338" t="s">
        <v>347</v>
      </c>
      <c r="C43" s="342"/>
      <c r="D43" s="370"/>
      <c r="E43" s="370"/>
      <c r="F43" s="370"/>
      <c r="G43" s="342"/>
      <c r="H43" s="342"/>
      <c r="I43" s="342"/>
      <c r="J43" s="342"/>
    </row>
    <row r="44" spans="2:10">
      <c r="B44" s="206"/>
      <c r="C44" s="178"/>
      <c r="D44" s="178"/>
      <c r="E44" s="179"/>
      <c r="F44" s="179"/>
      <c r="G44" s="179"/>
      <c r="H44" s="179"/>
      <c r="I44" s="178"/>
      <c r="J44" s="178"/>
    </row>
    <row r="45" spans="2:10">
      <c r="B45" s="1306" t="s">
        <v>348</v>
      </c>
      <c r="C45" s="1306"/>
      <c r="D45" s="296"/>
      <c r="E45" s="296"/>
      <c r="F45" s="296"/>
      <c r="G45" s="178"/>
      <c r="H45" s="178"/>
      <c r="I45" s="178"/>
      <c r="J45" s="178"/>
    </row>
    <row r="46" spans="2:10">
      <c r="B46" s="354"/>
      <c r="C46" s="354"/>
      <c r="D46" s="354"/>
      <c r="E46" s="354"/>
      <c r="F46" s="354"/>
      <c r="G46" s="354"/>
      <c r="H46" s="354"/>
      <c r="I46" s="354"/>
      <c r="J46" s="354"/>
    </row>
    <row r="47" spans="2:10">
      <c r="B47" s="1301" t="s">
        <v>349</v>
      </c>
      <c r="C47" s="1301"/>
      <c r="D47" s="235"/>
      <c r="E47" s="235"/>
      <c r="F47" s="235"/>
      <c r="G47" s="48"/>
      <c r="H47" s="48"/>
      <c r="I47" s="48"/>
      <c r="J47" s="48"/>
    </row>
    <row r="48" spans="2:10">
      <c r="B48" s="48"/>
      <c r="C48" s="48"/>
      <c r="D48" s="48"/>
      <c r="E48" s="48"/>
      <c r="F48" s="48"/>
      <c r="G48" s="48"/>
      <c r="H48" s="48"/>
      <c r="I48" s="48"/>
      <c r="J48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>
      <c r="B51" s="358"/>
      <c r="C51" s="358"/>
      <c r="D51" s="358"/>
      <c r="E51" s="358"/>
      <c r="F51" s="358"/>
      <c r="G51" s="358"/>
      <c r="H51" s="358"/>
      <c r="I51" s="358"/>
      <c r="J51" s="358"/>
    </row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9">
    <mergeCell ref="B45:C45"/>
    <mergeCell ref="B47:C47"/>
    <mergeCell ref="B52:J52"/>
    <mergeCell ref="D6:F6"/>
    <mergeCell ref="C7:G7"/>
    <mergeCell ref="C8:G8"/>
    <mergeCell ref="F23:G23"/>
    <mergeCell ref="G37:H37"/>
    <mergeCell ref="G41:H41"/>
  </mergeCells>
  <pageMargins left="0.6" right="0.83333333333333337" top="0.75" bottom="0.75" header="0.3" footer="0.3"/>
  <pageSetup paperSize="9" orientation="portrait" horizont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A75B-F338-4491-B2FF-8FCB0D9BA13C}">
  <sheetPr codeName="Лист17">
    <tabColor rgb="FFFFC000"/>
  </sheetPr>
  <dimension ref="B2:J53"/>
  <sheetViews>
    <sheetView view="pageLayout" zoomScaleNormal="100" zoomScaleSheetLayoutView="110" workbookViewId="0">
      <selection activeCell="B47" sqref="B47"/>
    </sheetView>
  </sheetViews>
  <sheetFormatPr defaultRowHeight="14.25"/>
  <cols>
    <col min="1" max="1" width="4.6640625" customWidth="1"/>
    <col min="2" max="2" width="10.6640625" customWidth="1"/>
    <col min="10" max="10" width="7.86328125" customWidth="1"/>
  </cols>
  <sheetData>
    <row r="2" spans="2:10" ht="14.45" customHeight="1">
      <c r="B2" s="48"/>
      <c r="C2" s="328"/>
      <c r="D2" s="328"/>
      <c r="E2" s="49"/>
      <c r="F2" s="328"/>
      <c r="G2" s="328"/>
      <c r="H2" s="329"/>
      <c r="I2" s="48"/>
      <c r="J2" s="48"/>
    </row>
    <row r="3" spans="2:10" ht="14.45" customHeight="1">
      <c r="B3" s="49"/>
      <c r="C3" s="329"/>
      <c r="D3" s="329"/>
      <c r="E3" s="49"/>
      <c r="F3" s="329"/>
      <c r="G3" s="329"/>
      <c r="H3" s="329"/>
      <c r="I3" s="329"/>
      <c r="J3" s="329"/>
    </row>
    <row r="4" spans="2:10" ht="14.45" customHeight="1">
      <c r="B4" s="49"/>
      <c r="C4" s="326"/>
      <c r="D4" s="326"/>
      <c r="E4" s="49"/>
      <c r="F4" s="326"/>
      <c r="G4" s="326" t="s">
        <v>328</v>
      </c>
      <c r="H4" s="331"/>
      <c r="I4" s="122"/>
      <c r="J4" s="49"/>
    </row>
    <row r="5" spans="2:10">
      <c r="B5" s="49"/>
      <c r="C5" s="49"/>
      <c r="D5" s="49"/>
      <c r="E5" s="49"/>
      <c r="F5" s="49"/>
      <c r="G5" s="49"/>
      <c r="H5" s="49"/>
      <c r="I5" s="49"/>
      <c r="J5" s="49"/>
    </row>
    <row r="6" spans="2:10" ht="22.35" customHeight="1">
      <c r="B6" s="49"/>
      <c r="C6" s="1250" t="s">
        <v>360</v>
      </c>
      <c r="D6" s="1250"/>
      <c r="E6" s="1250"/>
      <c r="F6" s="1250"/>
      <c r="G6" s="1250"/>
      <c r="H6" s="70"/>
      <c r="I6" s="70"/>
      <c r="J6" s="49"/>
    </row>
    <row r="7" spans="2:10" ht="14.45" customHeight="1">
      <c r="B7" s="53"/>
      <c r="C7" s="385"/>
      <c r="D7" s="385"/>
      <c r="E7" s="385"/>
      <c r="F7" s="385"/>
      <c r="G7" s="385"/>
      <c r="H7" s="55"/>
      <c r="I7" s="55"/>
      <c r="J7" s="49"/>
    </row>
    <row r="8" spans="2:10">
      <c r="B8" s="293"/>
      <c r="C8" s="59"/>
      <c r="D8" s="59"/>
      <c r="E8" s="59"/>
      <c r="F8" s="59"/>
      <c r="G8" s="59"/>
      <c r="H8" s="49"/>
      <c r="I8" s="49"/>
      <c r="J8" s="49"/>
    </row>
    <row r="9" spans="2:10" ht="14.45" customHeight="1">
      <c r="B9" s="293" t="s">
        <v>361</v>
      </c>
      <c r="C9" s="339"/>
      <c r="D9" s="335"/>
      <c r="E9" s="61"/>
      <c r="F9" s="61"/>
      <c r="G9" s="336"/>
      <c r="H9" s="122"/>
      <c r="I9" s="122"/>
      <c r="J9" s="49"/>
    </row>
    <row r="10" spans="2:10">
      <c r="B10" s="60"/>
      <c r="D10" s="60"/>
      <c r="E10" s="60"/>
      <c r="F10" s="60"/>
      <c r="G10" s="60"/>
      <c r="H10" s="60"/>
      <c r="I10" s="60"/>
      <c r="J10" s="49"/>
    </row>
    <row r="11" spans="2:10">
      <c r="B11" s="337" t="s">
        <v>331</v>
      </c>
      <c r="C11" s="122"/>
      <c r="D11" s="122"/>
      <c r="E11" s="122"/>
      <c r="F11" s="337" t="s">
        <v>332</v>
      </c>
      <c r="G11" s="122"/>
      <c r="H11" s="122"/>
      <c r="I11" s="122"/>
      <c r="J11" s="49"/>
    </row>
    <row r="12" spans="2:10">
      <c r="B12" s="60"/>
      <c r="C12" s="60"/>
      <c r="D12" s="60"/>
      <c r="E12" s="60"/>
      <c r="F12" s="60"/>
      <c r="G12" s="60"/>
      <c r="H12" s="60"/>
      <c r="I12" s="60"/>
      <c r="J12" s="60"/>
    </row>
    <row r="13" spans="2:10">
      <c r="B13" s="337" t="s">
        <v>333</v>
      </c>
      <c r="C13" s="122"/>
      <c r="D13" s="123"/>
      <c r="E13" s="123"/>
      <c r="F13" s="334" t="s">
        <v>1</v>
      </c>
      <c r="G13" s="123"/>
      <c r="H13" s="340"/>
      <c r="I13" s="250"/>
      <c r="J13" s="60"/>
    </row>
    <row r="14" spans="2:10">
      <c r="B14" s="60"/>
      <c r="C14" s="60"/>
      <c r="D14" s="60"/>
      <c r="E14" s="60"/>
      <c r="F14" s="60"/>
      <c r="G14" s="60"/>
      <c r="H14" s="41"/>
      <c r="I14" s="41"/>
      <c r="J14" s="60"/>
    </row>
    <row r="15" spans="2:10">
      <c r="B15" s="63"/>
      <c r="C15" s="95"/>
      <c r="D15" s="63"/>
      <c r="E15" s="63"/>
      <c r="F15" s="63"/>
      <c r="G15" s="63"/>
      <c r="H15" s="63"/>
      <c r="I15" s="63"/>
      <c r="J15" s="41"/>
    </row>
    <row r="16" spans="2:10">
      <c r="B16" s="60"/>
      <c r="C16" s="327"/>
      <c r="D16" s="60"/>
      <c r="E16" s="60"/>
      <c r="F16" s="41"/>
      <c r="G16" s="41"/>
      <c r="H16" s="41"/>
      <c r="I16" s="41"/>
      <c r="J16" s="41"/>
    </row>
    <row r="17" spans="2:10" ht="15.4">
      <c r="B17" s="377" t="s">
        <v>334</v>
      </c>
      <c r="C17" s="341"/>
      <c r="D17" s="341"/>
      <c r="E17" s="341"/>
      <c r="F17" s="341"/>
      <c r="G17" s="341"/>
      <c r="H17" s="341"/>
      <c r="I17" s="341"/>
      <c r="J17" s="178"/>
    </row>
    <row r="18" spans="2:10" ht="15.4">
      <c r="B18" s="333" t="s">
        <v>362</v>
      </c>
      <c r="C18" s="332"/>
      <c r="D18" s="332"/>
      <c r="E18" s="332"/>
      <c r="F18" s="332"/>
      <c r="G18" s="332"/>
      <c r="H18" s="332"/>
      <c r="I18" s="332"/>
      <c r="J18" s="332"/>
    </row>
    <row r="19" spans="2:10" ht="15.4">
      <c r="B19" s="386" t="s">
        <v>363</v>
      </c>
      <c r="C19" s="332"/>
      <c r="D19" s="344"/>
      <c r="E19" s="178"/>
      <c r="F19" s="330"/>
      <c r="G19" s="97"/>
      <c r="H19" s="97"/>
      <c r="I19" s="66"/>
      <c r="J19" s="342"/>
    </row>
    <row r="20" spans="2:10" ht="15.4">
      <c r="B20" s="380" t="s">
        <v>364</v>
      </c>
      <c r="C20" s="380"/>
      <c r="D20" s="380"/>
      <c r="E20" s="371"/>
      <c r="F20" s="381"/>
      <c r="G20" s="373"/>
      <c r="H20" s="342"/>
      <c r="I20" s="345"/>
      <c r="J20" s="342"/>
    </row>
    <row r="21" spans="2:10" ht="15.4">
      <c r="B21" s="374" t="s">
        <v>365</v>
      </c>
      <c r="C21" s="296"/>
      <c r="D21" s="296"/>
      <c r="E21" s="341" t="s">
        <v>366</v>
      </c>
      <c r="F21" s="341"/>
      <c r="G21" s="388" t="s">
        <v>233</v>
      </c>
      <c r="H21" s="387"/>
      <c r="I21" s="389"/>
      <c r="J21" s="347"/>
    </row>
    <row r="22" spans="2:10" ht="15.4">
      <c r="B22" s="374" t="s">
        <v>365</v>
      </c>
      <c r="C22" s="296"/>
      <c r="D22" s="296"/>
      <c r="E22" s="341" t="s">
        <v>366</v>
      </c>
      <c r="F22" s="364"/>
      <c r="G22" s="388" t="s">
        <v>233</v>
      </c>
      <c r="H22" s="387"/>
      <c r="I22" s="389"/>
      <c r="J22" s="348"/>
    </row>
    <row r="23" spans="2:10" ht="15.4">
      <c r="B23" s="374" t="s">
        <v>365</v>
      </c>
      <c r="C23" s="296"/>
      <c r="D23" s="296"/>
      <c r="E23" s="341" t="s">
        <v>366</v>
      </c>
      <c r="F23" s="366"/>
      <c r="G23" s="388" t="s">
        <v>233</v>
      </c>
      <c r="H23" s="387"/>
      <c r="I23" s="389"/>
      <c r="J23" s="179"/>
    </row>
    <row r="24" spans="2:10" ht="15.4">
      <c r="B24" s="374" t="s">
        <v>365</v>
      </c>
      <c r="C24" s="296"/>
      <c r="D24" s="296"/>
      <c r="E24" s="341" t="s">
        <v>366</v>
      </c>
      <c r="F24" s="366"/>
      <c r="G24" s="388" t="s">
        <v>233</v>
      </c>
      <c r="H24" s="387"/>
      <c r="I24" s="389"/>
      <c r="J24" s="179"/>
    </row>
    <row r="25" spans="2:10" ht="15.4">
      <c r="B25" s="374" t="s">
        <v>365</v>
      </c>
      <c r="C25" s="296"/>
      <c r="D25" s="296"/>
      <c r="E25" s="341" t="s">
        <v>366</v>
      </c>
      <c r="F25" s="350"/>
      <c r="G25" s="388" t="s">
        <v>233</v>
      </c>
      <c r="H25" s="387"/>
      <c r="I25" s="389"/>
      <c r="J25" s="349"/>
    </row>
    <row r="26" spans="2:10" ht="15.4">
      <c r="B26" s="374" t="s">
        <v>365</v>
      </c>
      <c r="C26" s="296"/>
      <c r="D26" s="296"/>
      <c r="E26" s="341" t="s">
        <v>366</v>
      </c>
      <c r="F26" s="349"/>
      <c r="G26" s="388" t="s">
        <v>233</v>
      </c>
      <c r="H26" s="387"/>
      <c r="I26" s="389"/>
      <c r="J26" s="349"/>
    </row>
    <row r="27" spans="2:10">
      <c r="B27" s="349" t="s">
        <v>367</v>
      </c>
      <c r="C27" s="349"/>
      <c r="D27" s="349"/>
      <c r="E27" s="349"/>
      <c r="F27" s="349"/>
      <c r="G27" s="383"/>
      <c r="H27" s="349"/>
      <c r="I27" s="353"/>
      <c r="J27" s="349"/>
    </row>
    <row r="28" spans="2:10">
      <c r="B28" s="349"/>
      <c r="C28" s="349"/>
      <c r="D28" s="349"/>
      <c r="E28" s="349"/>
      <c r="F28" s="349"/>
      <c r="G28" s="349"/>
      <c r="H28" s="349"/>
      <c r="I28" s="351"/>
      <c r="J28" s="349"/>
    </row>
    <row r="29" spans="2:10">
      <c r="B29" s="390" t="s">
        <v>368</v>
      </c>
      <c r="C29" s="367"/>
      <c r="D29" s="367"/>
      <c r="E29" s="392"/>
      <c r="F29" s="1313" t="s">
        <v>369</v>
      </c>
      <c r="G29" s="1313"/>
      <c r="H29" s="367"/>
      <c r="I29" s="391"/>
      <c r="J29" s="349"/>
    </row>
    <row r="30" spans="2:10">
      <c r="B30" s="349"/>
      <c r="C30" s="349"/>
      <c r="D30" s="349"/>
      <c r="E30" s="349"/>
      <c r="F30" s="349"/>
      <c r="G30" s="349"/>
      <c r="H30" s="349"/>
      <c r="I30" s="349"/>
      <c r="J30" s="349"/>
    </row>
    <row r="31" spans="2:10">
      <c r="B31" s="349"/>
      <c r="C31" s="349"/>
      <c r="D31" s="349"/>
      <c r="E31" s="349"/>
      <c r="F31" s="349"/>
      <c r="G31" s="349"/>
      <c r="H31" s="349"/>
      <c r="I31" s="349"/>
      <c r="J31" s="349"/>
    </row>
    <row r="32" spans="2:10">
      <c r="B32" s="179" t="s">
        <v>370</v>
      </c>
      <c r="C32" s="349"/>
      <c r="D32" s="349"/>
      <c r="E32" s="349"/>
      <c r="F32" s="349"/>
      <c r="G32" s="349"/>
      <c r="H32" s="349"/>
      <c r="I32" s="349"/>
      <c r="J32" s="349"/>
    </row>
    <row r="33" spans="2:10">
      <c r="B33" s="206" t="s">
        <v>371</v>
      </c>
      <c r="C33" s="178"/>
      <c r="D33" s="178"/>
      <c r="E33" s="178"/>
      <c r="F33" s="343"/>
      <c r="G33" s="343"/>
      <c r="H33" s="343"/>
      <c r="I33" s="178"/>
      <c r="J33" s="178"/>
    </row>
    <row r="34" spans="2:10">
      <c r="B34" s="206" t="s">
        <v>372</v>
      </c>
      <c r="C34" s="178"/>
      <c r="D34" s="178"/>
      <c r="E34" s="178"/>
      <c r="F34" s="178"/>
      <c r="G34" s="178"/>
      <c r="H34" s="178"/>
      <c r="I34" s="178"/>
      <c r="J34" s="178"/>
    </row>
    <row r="35" spans="2:10">
      <c r="B35" s="178"/>
      <c r="C35" s="178"/>
      <c r="D35" s="178"/>
      <c r="E35" s="178"/>
      <c r="F35" s="179"/>
      <c r="G35" s="179"/>
      <c r="H35" s="179"/>
      <c r="I35" s="178"/>
      <c r="J35" s="178"/>
    </row>
    <row r="36" spans="2:10" ht="15">
      <c r="B36" s="178"/>
      <c r="C36" s="178"/>
      <c r="D36" s="354"/>
      <c r="E36" s="178"/>
      <c r="F36" s="178"/>
      <c r="G36" s="1304" t="s">
        <v>345</v>
      </c>
      <c r="H36" s="1304"/>
      <c r="I36" s="178"/>
      <c r="J36" s="178"/>
    </row>
    <row r="37" spans="2:10">
      <c r="B37" s="178"/>
      <c r="C37" s="178"/>
      <c r="D37" s="354"/>
      <c r="E37" s="178"/>
      <c r="F37" s="178"/>
      <c r="G37" s="178"/>
      <c r="H37" s="178"/>
      <c r="I37" s="178"/>
      <c r="J37" s="178"/>
    </row>
    <row r="38" spans="2:10">
      <c r="B38" s="178"/>
      <c r="C38" s="178"/>
      <c r="D38" s="178"/>
      <c r="E38" s="178"/>
      <c r="F38" s="178"/>
      <c r="G38" s="178"/>
      <c r="H38" s="178"/>
      <c r="I38" s="178"/>
      <c r="J38" s="178"/>
    </row>
    <row r="39" spans="2:10">
      <c r="B39" s="355"/>
      <c r="C39" s="356"/>
      <c r="D39" s="342"/>
      <c r="E39" s="179"/>
      <c r="F39" s="368"/>
      <c r="G39" s="368"/>
      <c r="H39" s="368"/>
      <c r="I39" s="296"/>
      <c r="J39" s="178"/>
    </row>
    <row r="40" spans="2:10">
      <c r="B40" s="178"/>
      <c r="C40" s="178"/>
      <c r="D40" s="178"/>
      <c r="E40" s="357"/>
      <c r="F40" s="178"/>
      <c r="G40" s="1305" t="s">
        <v>346</v>
      </c>
      <c r="H40" s="1305"/>
      <c r="I40" s="178"/>
      <c r="J40" s="178"/>
    </row>
    <row r="41" spans="2:10">
      <c r="B41" s="206"/>
      <c r="C41" s="178"/>
      <c r="D41" s="178"/>
      <c r="E41" s="179"/>
      <c r="F41" s="179"/>
      <c r="G41" s="179"/>
      <c r="H41" s="179"/>
      <c r="I41" s="178"/>
      <c r="J41" s="178"/>
    </row>
    <row r="42" spans="2:10">
      <c r="B42" s="1314" t="s">
        <v>373</v>
      </c>
      <c r="C42" s="1314"/>
      <c r="D42" s="370"/>
      <c r="E42" s="370"/>
      <c r="F42" s="370"/>
      <c r="G42" s="342"/>
      <c r="H42" s="342"/>
      <c r="I42" s="342"/>
      <c r="J42" s="342"/>
    </row>
    <row r="43" spans="2:10">
      <c r="B43" s="206"/>
      <c r="C43" s="178"/>
      <c r="D43" s="178"/>
      <c r="E43" s="179"/>
      <c r="F43" s="179"/>
      <c r="G43" s="179"/>
      <c r="H43" s="179"/>
      <c r="I43" s="178"/>
      <c r="J43" s="178"/>
    </row>
    <row r="44" spans="2:10">
      <c r="B44" s="1306" t="s">
        <v>348</v>
      </c>
      <c r="C44" s="1306"/>
      <c r="D44" s="296"/>
      <c r="E44" s="296"/>
      <c r="F44" s="296"/>
      <c r="G44" s="178"/>
      <c r="H44" s="178"/>
      <c r="I44" s="178"/>
      <c r="J44" s="178"/>
    </row>
    <row r="45" spans="2:10">
      <c r="B45" s="354"/>
      <c r="C45" s="354"/>
      <c r="D45" s="354"/>
      <c r="E45" s="354"/>
      <c r="F45" s="354"/>
      <c r="G45" s="354"/>
      <c r="H45" s="354"/>
      <c r="I45" s="354"/>
      <c r="J45" s="354"/>
    </row>
    <row r="46" spans="2:10">
      <c r="B46" s="1301" t="s">
        <v>349</v>
      </c>
      <c r="C46" s="1301"/>
      <c r="D46" s="235"/>
      <c r="E46" s="235"/>
      <c r="F46" s="235"/>
      <c r="G46" s="48"/>
      <c r="H46" s="48"/>
      <c r="I46" s="48"/>
      <c r="J46" s="48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8" spans="2:10">
      <c r="B48" s="48"/>
      <c r="C48" s="48"/>
      <c r="D48" s="48"/>
      <c r="E48" s="48"/>
      <c r="F48" s="48"/>
      <c r="G48" s="48"/>
      <c r="H48" s="48"/>
      <c r="I48" s="48"/>
      <c r="J48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358"/>
      <c r="C50" s="358"/>
      <c r="D50" s="358"/>
      <c r="E50" s="358"/>
      <c r="F50" s="358"/>
      <c r="G50" s="358"/>
      <c r="H50" s="358"/>
      <c r="I50" s="358"/>
      <c r="J50" s="358"/>
    </row>
    <row r="51" spans="2:10">
      <c r="B51" s="1264"/>
      <c r="C51" s="1264"/>
      <c r="D51" s="1264"/>
      <c r="E51" s="1264"/>
      <c r="F51" s="1264"/>
      <c r="G51" s="1264"/>
      <c r="H51" s="1264"/>
      <c r="I51" s="1264"/>
      <c r="J51" s="1264"/>
    </row>
    <row r="52" spans="2:10">
      <c r="B52" s="1"/>
      <c r="C52" s="1"/>
      <c r="D52" s="1"/>
      <c r="E52" s="1"/>
      <c r="F52" s="1"/>
      <c r="G52" s="1"/>
      <c r="H52" s="1"/>
      <c r="I52" s="1"/>
      <c r="J52" s="1"/>
    </row>
    <row r="53" spans="2:10">
      <c r="B53" s="27"/>
      <c r="C53" s="1"/>
      <c r="D53" s="1"/>
      <c r="E53" s="1"/>
      <c r="F53" s="1"/>
      <c r="G53" s="1"/>
      <c r="H53" s="1"/>
      <c r="I53" s="1"/>
      <c r="J53" s="1"/>
    </row>
  </sheetData>
  <mergeCells count="8">
    <mergeCell ref="B46:C46"/>
    <mergeCell ref="B51:J51"/>
    <mergeCell ref="C6:G6"/>
    <mergeCell ref="F29:G29"/>
    <mergeCell ref="G36:H36"/>
    <mergeCell ref="G40:H40"/>
    <mergeCell ref="B42:C42"/>
    <mergeCell ref="B44:C44"/>
  </mergeCells>
  <pageMargins left="0.6" right="0.83333333333333337" top="0.75" bottom="0.75" header="0.3" footer="0.3"/>
  <pageSetup paperSize="9" orientation="portrait" horizont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9D73-01B7-4BDB-A154-EC44E028F5B4}">
  <sheetPr codeName="Лист18">
    <tabColor rgb="FFFFC000"/>
  </sheetPr>
  <dimension ref="B2:J53"/>
  <sheetViews>
    <sheetView view="pageLayout" zoomScaleNormal="100" zoomScaleSheetLayoutView="110" workbookViewId="0">
      <selection activeCell="C36" sqref="C36"/>
    </sheetView>
  </sheetViews>
  <sheetFormatPr defaultRowHeight="14.25"/>
  <cols>
    <col min="1" max="1" width="4.6640625" customWidth="1"/>
    <col min="2" max="2" width="10.6640625" customWidth="1"/>
    <col min="10" max="10" width="7.86328125" customWidth="1"/>
  </cols>
  <sheetData>
    <row r="2" spans="2:10" ht="14.45" customHeight="1">
      <c r="B2" s="48"/>
      <c r="C2" s="328"/>
      <c r="D2" s="328"/>
      <c r="E2" s="49"/>
      <c r="F2" s="328"/>
      <c r="G2" s="328"/>
      <c r="H2" s="329"/>
      <c r="I2" s="48"/>
      <c r="J2" s="48"/>
    </row>
    <row r="3" spans="2:10" ht="14.45" customHeight="1">
      <c r="B3" s="49"/>
      <c r="C3" s="329"/>
      <c r="D3" s="329"/>
      <c r="E3" s="49"/>
      <c r="F3" s="329"/>
      <c r="G3" s="329"/>
      <c r="H3" s="329"/>
      <c r="I3" s="329"/>
      <c r="J3" s="329"/>
    </row>
    <row r="4" spans="2:10" ht="14.45" customHeight="1">
      <c r="B4" s="49"/>
      <c r="C4" s="326"/>
      <c r="D4" s="326"/>
      <c r="E4" s="49"/>
      <c r="F4" s="326"/>
      <c r="G4" s="326" t="s">
        <v>328</v>
      </c>
      <c r="H4" s="331"/>
      <c r="I4" s="122"/>
      <c r="J4" s="49"/>
    </row>
    <row r="5" spans="2:10">
      <c r="B5" s="49"/>
      <c r="C5" s="49"/>
      <c r="D5" s="49"/>
      <c r="E5" s="49"/>
      <c r="F5" s="49"/>
      <c r="G5" s="49"/>
      <c r="H5" s="49"/>
      <c r="I5" s="49"/>
      <c r="J5" s="49"/>
    </row>
    <row r="6" spans="2:10" ht="22.35" customHeight="1">
      <c r="B6" s="49"/>
      <c r="C6" s="1250" t="s">
        <v>374</v>
      </c>
      <c r="D6" s="1250"/>
      <c r="E6" s="1250"/>
      <c r="F6" s="1250"/>
      <c r="G6" s="1250"/>
      <c r="H6" s="70"/>
      <c r="I6" s="70"/>
      <c r="J6" s="49"/>
    </row>
    <row r="7" spans="2:10" ht="14.45" customHeight="1">
      <c r="B7" s="53"/>
      <c r="C7" s="1315" t="s">
        <v>375</v>
      </c>
      <c r="D7" s="1315"/>
      <c r="E7" s="1315"/>
      <c r="F7" s="1315"/>
      <c r="G7" s="1315"/>
      <c r="H7" s="55"/>
      <c r="I7" s="55"/>
      <c r="J7" s="49"/>
    </row>
    <row r="8" spans="2:10">
      <c r="B8" s="293"/>
      <c r="C8" s="59"/>
      <c r="D8" s="59"/>
      <c r="E8" s="59"/>
      <c r="F8" s="59"/>
      <c r="G8" s="59"/>
      <c r="H8" s="49"/>
      <c r="I8" s="49"/>
      <c r="J8" s="49"/>
    </row>
    <row r="9" spans="2:10" ht="14.45" customHeight="1">
      <c r="B9" s="293" t="s">
        <v>361</v>
      </c>
      <c r="C9" s="339"/>
      <c r="D9" s="335"/>
      <c r="E9" s="61"/>
      <c r="F9" s="61"/>
      <c r="G9" s="336"/>
      <c r="H9" s="122"/>
      <c r="I9" s="122"/>
      <c r="J9" s="49"/>
    </row>
    <row r="10" spans="2:10">
      <c r="B10" s="60"/>
      <c r="D10" s="60"/>
      <c r="E10" s="60"/>
      <c r="F10" s="60"/>
      <c r="G10" s="60"/>
      <c r="H10" s="60"/>
      <c r="I10" s="60"/>
      <c r="J10" s="49"/>
    </row>
    <row r="11" spans="2:10">
      <c r="B11" s="337" t="s">
        <v>331</v>
      </c>
      <c r="C11" s="122"/>
      <c r="D11" s="122"/>
      <c r="E11" s="122"/>
      <c r="F11" s="337" t="s">
        <v>332</v>
      </c>
      <c r="G11" s="122"/>
      <c r="H11" s="122"/>
      <c r="I11" s="122"/>
      <c r="J11" s="49"/>
    </row>
    <row r="12" spans="2:10">
      <c r="B12" s="60"/>
      <c r="C12" s="60"/>
      <c r="D12" s="60"/>
      <c r="E12" s="60"/>
      <c r="F12" s="60"/>
      <c r="G12" s="60"/>
      <c r="H12" s="60"/>
      <c r="I12" s="60"/>
      <c r="J12" s="60"/>
    </row>
    <row r="13" spans="2:10">
      <c r="B13" s="337" t="s">
        <v>333</v>
      </c>
      <c r="C13" s="122"/>
      <c r="D13" s="123"/>
      <c r="E13" s="123"/>
      <c r="F13" s="334" t="s">
        <v>1</v>
      </c>
      <c r="G13" s="123"/>
      <c r="H13" s="340"/>
      <c r="I13" s="250"/>
      <c r="J13" s="60"/>
    </row>
    <row r="14" spans="2:10">
      <c r="B14" s="60"/>
      <c r="C14" s="60"/>
      <c r="D14" s="60"/>
      <c r="E14" s="60"/>
      <c r="F14" s="60"/>
      <c r="G14" s="60"/>
      <c r="H14" s="41"/>
      <c r="I14" s="41"/>
      <c r="J14" s="60"/>
    </row>
    <row r="15" spans="2:10">
      <c r="B15" s="63"/>
      <c r="C15" s="95"/>
      <c r="D15" s="63"/>
      <c r="E15" s="63"/>
      <c r="F15" s="63"/>
      <c r="G15" s="63"/>
      <c r="H15" s="63"/>
      <c r="I15" s="63"/>
      <c r="J15" s="41"/>
    </row>
    <row r="16" spans="2:10">
      <c r="B16" s="60"/>
      <c r="C16" s="327"/>
      <c r="D16" s="60"/>
      <c r="E16" s="60"/>
      <c r="F16" s="41"/>
      <c r="G16" s="41"/>
      <c r="H16" s="41"/>
      <c r="I16" s="41"/>
      <c r="J16" s="41"/>
    </row>
    <row r="17" spans="2:10" ht="15.4">
      <c r="B17" s="377" t="s">
        <v>334</v>
      </c>
      <c r="C17" s="341"/>
      <c r="D17" s="341"/>
      <c r="E17" s="341"/>
      <c r="F17" s="341"/>
      <c r="G17" s="341"/>
      <c r="H17" s="341"/>
      <c r="I17" s="341"/>
      <c r="J17" s="178"/>
    </row>
    <row r="18" spans="2:10" ht="15.4">
      <c r="B18" s="333" t="s">
        <v>376</v>
      </c>
      <c r="C18" s="332"/>
      <c r="D18" s="332"/>
      <c r="E18" s="332"/>
      <c r="F18" s="332"/>
      <c r="G18" s="332"/>
      <c r="H18" s="332"/>
      <c r="I18" s="332"/>
      <c r="J18" s="332"/>
    </row>
    <row r="19" spans="2:10" ht="15.4">
      <c r="B19" s="386" t="s">
        <v>377</v>
      </c>
      <c r="C19" s="332"/>
      <c r="D19" s="344"/>
      <c r="E19" s="178"/>
      <c r="F19" s="330"/>
      <c r="G19" s="97"/>
      <c r="H19" s="97"/>
      <c r="I19" s="66"/>
      <c r="J19" s="342"/>
    </row>
    <row r="20" spans="2:10" ht="15.4">
      <c r="B20" s="380" t="s">
        <v>378</v>
      </c>
      <c r="C20" s="380"/>
      <c r="D20" s="380"/>
      <c r="E20" s="371"/>
      <c r="F20" s="381"/>
      <c r="G20" s="373"/>
      <c r="H20" s="342"/>
      <c r="I20" s="345"/>
      <c r="J20" s="342"/>
    </row>
    <row r="21" spans="2:10" ht="15.4">
      <c r="B21" s="374"/>
      <c r="C21" s="178"/>
      <c r="D21" s="178"/>
      <c r="E21" s="341"/>
      <c r="F21" s="341"/>
      <c r="G21" s="388"/>
      <c r="H21" s="346"/>
      <c r="I21" s="347"/>
      <c r="J21" s="347"/>
    </row>
    <row r="22" spans="2:10" ht="15.4">
      <c r="B22" s="374"/>
      <c r="C22" s="178" t="s">
        <v>379</v>
      </c>
      <c r="D22" s="178"/>
      <c r="E22" s="341"/>
      <c r="F22" s="364"/>
      <c r="G22" s="388"/>
      <c r="H22" s="346"/>
      <c r="I22" s="347"/>
      <c r="J22" s="348"/>
    </row>
    <row r="23" spans="2:10" ht="15.4">
      <c r="B23" s="374"/>
      <c r="C23" s="178" t="s">
        <v>380</v>
      </c>
      <c r="D23" s="178"/>
      <c r="E23" s="341"/>
      <c r="F23" s="366"/>
      <c r="G23" s="388"/>
      <c r="H23" s="346"/>
      <c r="I23" s="347"/>
      <c r="J23" s="179"/>
    </row>
    <row r="24" spans="2:10" ht="15.4">
      <c r="B24" s="374"/>
      <c r="C24" s="178" t="s">
        <v>381</v>
      </c>
      <c r="D24" s="178"/>
      <c r="E24" s="341"/>
      <c r="F24" s="393"/>
      <c r="G24" s="394"/>
      <c r="H24" s="395" t="s">
        <v>382</v>
      </c>
      <c r="I24" s="347"/>
      <c r="J24" s="179"/>
    </row>
    <row r="25" spans="2:10" ht="15.4">
      <c r="B25" s="374"/>
      <c r="C25" s="178"/>
      <c r="D25" s="178"/>
      <c r="E25" s="341"/>
      <c r="F25" s="350"/>
      <c r="G25" s="388"/>
      <c r="H25" s="346"/>
      <c r="I25" s="347"/>
      <c r="J25" s="349"/>
    </row>
    <row r="26" spans="2:10" ht="15.4">
      <c r="B26" s="374" t="s">
        <v>383</v>
      </c>
      <c r="C26" s="178"/>
      <c r="D26" s="178"/>
      <c r="E26" s="341"/>
      <c r="F26" s="349"/>
      <c r="G26" s="388"/>
      <c r="H26" s="346"/>
      <c r="I26" s="347"/>
      <c r="J26" s="349"/>
    </row>
    <row r="27" spans="2:10">
      <c r="B27" s="349" t="s">
        <v>384</v>
      </c>
      <c r="C27" s="349"/>
      <c r="D27" s="349"/>
      <c r="E27" s="349"/>
      <c r="F27" s="349"/>
      <c r="G27" s="383"/>
      <c r="H27" s="349"/>
      <c r="I27" s="353"/>
      <c r="J27" s="349"/>
    </row>
    <row r="28" spans="2:10">
      <c r="B28" s="349"/>
      <c r="C28" s="349"/>
      <c r="D28" s="349"/>
      <c r="E28" s="349"/>
      <c r="F28" s="349"/>
      <c r="G28" s="349"/>
      <c r="H28" s="349"/>
      <c r="I28" s="351"/>
      <c r="J28" s="349"/>
    </row>
    <row r="29" spans="2:10">
      <c r="B29" s="349" t="s">
        <v>385</v>
      </c>
      <c r="C29" s="349"/>
      <c r="D29" s="349"/>
      <c r="E29" s="350"/>
      <c r="F29" s="350"/>
      <c r="G29" s="350"/>
      <c r="H29" s="349"/>
      <c r="I29" s="351"/>
      <c r="J29" s="349"/>
    </row>
    <row r="30" spans="2:10">
      <c r="B30" s="349" t="s">
        <v>386</v>
      </c>
      <c r="C30" s="349"/>
      <c r="D30" s="349"/>
      <c r="E30" s="349"/>
      <c r="F30" s="349"/>
      <c r="G30" s="349"/>
      <c r="H30" s="349"/>
      <c r="I30" s="349"/>
      <c r="J30" s="349"/>
    </row>
    <row r="31" spans="2:10">
      <c r="B31" s="349"/>
      <c r="C31" s="349"/>
      <c r="D31" s="349"/>
      <c r="E31" s="349"/>
      <c r="F31" s="349"/>
      <c r="G31" s="349"/>
      <c r="H31" s="349"/>
      <c r="I31" s="349"/>
      <c r="J31" s="349"/>
    </row>
    <row r="32" spans="2:10">
      <c r="B32" s="179" t="s">
        <v>387</v>
      </c>
      <c r="C32" s="351"/>
      <c r="D32" s="349"/>
      <c r="E32" s="349"/>
      <c r="F32" s="349"/>
      <c r="G32" s="349"/>
      <c r="H32" s="349"/>
      <c r="I32" s="349"/>
      <c r="J32" s="349"/>
    </row>
    <row r="33" spans="2:10">
      <c r="B33" s="206"/>
      <c r="C33" s="178"/>
      <c r="D33" s="178"/>
      <c r="E33" s="178"/>
      <c r="F33" s="343"/>
      <c r="G33" s="343"/>
      <c r="H33" s="343"/>
      <c r="I33" s="178"/>
      <c r="J33" s="178"/>
    </row>
    <row r="34" spans="2:10">
      <c r="B34" s="206"/>
      <c r="C34" s="178"/>
      <c r="D34" s="178"/>
      <c r="E34" s="178"/>
      <c r="F34" s="178"/>
      <c r="G34" s="178"/>
      <c r="H34" s="178"/>
      <c r="I34" s="178"/>
      <c r="J34" s="178"/>
    </row>
    <row r="35" spans="2:10">
      <c r="B35" s="178"/>
      <c r="C35" s="178"/>
      <c r="D35" s="178"/>
      <c r="E35" s="178"/>
      <c r="F35" s="179"/>
      <c r="G35" s="179"/>
      <c r="H35" s="179"/>
      <c r="I35" s="178"/>
      <c r="J35" s="178"/>
    </row>
    <row r="36" spans="2:10" ht="15">
      <c r="B36" s="178"/>
      <c r="C36" s="178"/>
      <c r="D36" s="354"/>
      <c r="E36" s="178"/>
      <c r="F36" s="178"/>
      <c r="G36" s="1304" t="s">
        <v>345</v>
      </c>
      <c r="H36" s="1304"/>
      <c r="I36" s="178"/>
      <c r="J36" s="178"/>
    </row>
    <row r="37" spans="2:10">
      <c r="B37" s="178"/>
      <c r="C37" s="178"/>
      <c r="D37" s="354"/>
      <c r="E37" s="178"/>
      <c r="F37" s="178"/>
      <c r="G37" s="178"/>
      <c r="H37" s="178"/>
      <c r="I37" s="178"/>
      <c r="J37" s="178"/>
    </row>
    <row r="38" spans="2:10">
      <c r="B38" s="178"/>
      <c r="C38" s="178"/>
      <c r="D38" s="178"/>
      <c r="E38" s="178"/>
      <c r="F38" s="178"/>
      <c r="G38" s="178"/>
      <c r="H38" s="178"/>
      <c r="I38" s="178"/>
      <c r="J38" s="178"/>
    </row>
    <row r="39" spans="2:10">
      <c r="B39" s="355"/>
      <c r="C39" s="356"/>
      <c r="D39" s="342"/>
      <c r="E39" s="179"/>
      <c r="F39" s="368"/>
      <c r="G39" s="368"/>
      <c r="H39" s="368"/>
      <c r="I39" s="296"/>
      <c r="J39" s="178"/>
    </row>
    <row r="40" spans="2:10">
      <c r="B40" s="178"/>
      <c r="C40" s="178"/>
      <c r="D40" s="178"/>
      <c r="E40" s="357"/>
      <c r="F40" s="178"/>
      <c r="G40" s="1305" t="s">
        <v>346</v>
      </c>
      <c r="H40" s="1305"/>
      <c r="I40" s="178"/>
      <c r="J40" s="178"/>
    </row>
    <row r="41" spans="2:10">
      <c r="B41" s="206"/>
      <c r="C41" s="178"/>
      <c r="D41" s="178"/>
      <c r="E41" s="179"/>
      <c r="F41" s="179"/>
      <c r="G41" s="179"/>
      <c r="H41" s="179"/>
      <c r="I41" s="178"/>
      <c r="J41" s="178"/>
    </row>
    <row r="42" spans="2:10">
      <c r="B42" s="1314" t="s">
        <v>347</v>
      </c>
      <c r="C42" s="1314"/>
      <c r="D42" s="370"/>
      <c r="E42" s="370"/>
      <c r="F42" s="370"/>
      <c r="G42" s="342"/>
      <c r="H42" s="342"/>
      <c r="I42" s="342"/>
      <c r="J42" s="342"/>
    </row>
    <row r="43" spans="2:10">
      <c r="B43" s="206"/>
      <c r="C43" s="178"/>
      <c r="D43" s="178"/>
      <c r="E43" s="179"/>
      <c r="F43" s="179"/>
      <c r="G43" s="179"/>
      <c r="H43" s="179"/>
      <c r="I43" s="178"/>
      <c r="J43" s="178"/>
    </row>
    <row r="44" spans="2:10">
      <c r="B44" s="1306" t="s">
        <v>348</v>
      </c>
      <c r="C44" s="1306"/>
      <c r="D44" s="296"/>
      <c r="E44" s="296"/>
      <c r="F44" s="296"/>
      <c r="G44" s="178"/>
      <c r="H44" s="178"/>
      <c r="I44" s="178"/>
      <c r="J44" s="178"/>
    </row>
    <row r="45" spans="2:10">
      <c r="B45" s="354"/>
      <c r="C45" s="354"/>
      <c r="D45" s="354"/>
      <c r="E45" s="354"/>
      <c r="F45" s="354"/>
      <c r="G45" s="354"/>
      <c r="H45" s="354"/>
      <c r="I45" s="354"/>
      <c r="J45" s="354"/>
    </row>
    <row r="46" spans="2:10">
      <c r="B46" s="1301" t="s">
        <v>349</v>
      </c>
      <c r="C46" s="1301"/>
      <c r="D46" s="235"/>
      <c r="E46" s="235"/>
      <c r="F46" s="235"/>
      <c r="G46" s="48"/>
      <c r="H46" s="48"/>
      <c r="I46" s="48"/>
      <c r="J46" s="48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8" spans="2:10">
      <c r="B48" s="48"/>
      <c r="C48" s="48"/>
      <c r="D48" s="48"/>
      <c r="E48" s="48"/>
      <c r="F48" s="48"/>
      <c r="G48" s="48"/>
      <c r="H48" s="48"/>
      <c r="I48" s="48"/>
      <c r="J48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358"/>
      <c r="C50" s="358"/>
      <c r="D50" s="358"/>
      <c r="E50" s="358"/>
      <c r="F50" s="358"/>
      <c r="G50" s="358"/>
      <c r="H50" s="358"/>
      <c r="I50" s="358"/>
      <c r="J50" s="358"/>
    </row>
    <row r="51" spans="2:10">
      <c r="B51" s="1264"/>
      <c r="C51" s="1264"/>
      <c r="D51" s="1264"/>
      <c r="E51" s="1264"/>
      <c r="F51" s="1264"/>
      <c r="G51" s="1264"/>
      <c r="H51" s="1264"/>
      <c r="I51" s="1264"/>
      <c r="J51" s="1264"/>
    </row>
    <row r="52" spans="2:10">
      <c r="B52" s="1"/>
      <c r="C52" s="1"/>
      <c r="D52" s="1"/>
      <c r="E52" s="1"/>
      <c r="F52" s="1"/>
      <c r="G52" s="1"/>
      <c r="H52" s="1"/>
      <c r="I52" s="1"/>
      <c r="J52" s="1"/>
    </row>
    <row r="53" spans="2:10">
      <c r="B53" s="27"/>
      <c r="C53" s="1"/>
      <c r="D53" s="1"/>
      <c r="E53" s="1"/>
      <c r="F53" s="1"/>
      <c r="G53" s="1"/>
      <c r="H53" s="1"/>
      <c r="I53" s="1"/>
      <c r="J53" s="1"/>
    </row>
  </sheetData>
  <mergeCells count="8">
    <mergeCell ref="B46:C46"/>
    <mergeCell ref="B51:J51"/>
    <mergeCell ref="C6:G6"/>
    <mergeCell ref="C7:G7"/>
    <mergeCell ref="G36:H36"/>
    <mergeCell ref="G40:H40"/>
    <mergeCell ref="B42:C42"/>
    <mergeCell ref="B44:C44"/>
  </mergeCells>
  <pageMargins left="0.6" right="0.83333333333333337" top="0.75" bottom="0.75" header="0.3" footer="0.3"/>
  <pageSetup paperSize="9" orientation="portrait" horizont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4882-45B0-452A-8588-5AE2A7F05521}">
  <sheetPr codeName="Лист19">
    <tabColor rgb="FFFFC000"/>
  </sheetPr>
  <dimension ref="B2:J56"/>
  <sheetViews>
    <sheetView view="pageLayout" zoomScaleNormal="100" zoomScaleSheetLayoutView="110" workbookViewId="0">
      <selection activeCell="C6" sqref="C6:G6"/>
    </sheetView>
  </sheetViews>
  <sheetFormatPr defaultRowHeight="14.25"/>
  <cols>
    <col min="1" max="1" width="4.6640625" customWidth="1"/>
    <col min="2" max="2" width="10.6640625" customWidth="1"/>
    <col min="10" max="10" width="7.86328125" customWidth="1"/>
  </cols>
  <sheetData>
    <row r="2" spans="2:10" ht="14.45" customHeight="1">
      <c r="B2" s="48"/>
      <c r="C2" s="328"/>
      <c r="D2" s="328"/>
      <c r="E2" s="49"/>
      <c r="F2" s="328"/>
      <c r="G2" s="328"/>
      <c r="H2" s="329"/>
      <c r="I2" s="48"/>
      <c r="J2" s="48"/>
    </row>
    <row r="3" spans="2:10" ht="14.45" customHeight="1">
      <c r="B3" s="49"/>
      <c r="C3" s="329"/>
      <c r="D3" s="329"/>
      <c r="E3" s="49"/>
      <c r="F3" s="329"/>
      <c r="G3" s="329"/>
      <c r="H3" s="329"/>
      <c r="I3" s="329"/>
      <c r="J3" s="329"/>
    </row>
    <row r="4" spans="2:10" ht="14.45" customHeight="1">
      <c r="B4" s="49"/>
      <c r="C4" s="326"/>
      <c r="D4" s="326"/>
      <c r="E4" s="49"/>
      <c r="F4" s="326"/>
      <c r="G4" s="326" t="s">
        <v>328</v>
      </c>
      <c r="H4" s="331"/>
      <c r="I4" s="122"/>
      <c r="J4" s="49"/>
    </row>
    <row r="5" spans="2:10">
      <c r="B5" s="49"/>
      <c r="C5" s="49"/>
      <c r="D5" s="49"/>
      <c r="E5" s="49"/>
      <c r="F5" s="49"/>
      <c r="G5" s="49"/>
      <c r="H5" s="49"/>
      <c r="I5" s="49"/>
      <c r="J5" s="49"/>
    </row>
    <row r="6" spans="2:10" ht="22.35" customHeight="1">
      <c r="B6" s="49"/>
      <c r="C6" s="1250" t="s">
        <v>388</v>
      </c>
      <c r="D6" s="1250"/>
      <c r="E6" s="1250"/>
      <c r="F6" s="1250"/>
      <c r="G6" s="1250"/>
      <c r="H6" s="70"/>
      <c r="I6" s="70"/>
      <c r="J6" s="49"/>
    </row>
    <row r="7" spans="2:10" ht="14.45" customHeight="1">
      <c r="B7" s="293"/>
      <c r="C7" s="59"/>
      <c r="D7" s="59"/>
      <c r="E7" s="59"/>
      <c r="F7" s="59"/>
      <c r="G7" s="59"/>
      <c r="H7" s="49"/>
      <c r="I7" s="49"/>
      <c r="J7" s="49"/>
    </row>
    <row r="8" spans="2:10">
      <c r="B8" s="293" t="s">
        <v>361</v>
      </c>
      <c r="C8" s="339"/>
      <c r="D8" s="335"/>
      <c r="E8" s="61"/>
      <c r="F8" s="61"/>
      <c r="G8" s="336"/>
      <c r="H8" s="122"/>
      <c r="I8" s="122"/>
      <c r="J8" s="49"/>
    </row>
    <row r="9" spans="2:10" ht="14.45" customHeight="1">
      <c r="B9" s="60"/>
      <c r="D9" s="60"/>
      <c r="E9" s="60"/>
      <c r="F9" s="60"/>
      <c r="G9" s="60"/>
      <c r="H9" s="60"/>
      <c r="I9" s="60"/>
      <c r="J9" s="49"/>
    </row>
    <row r="10" spans="2:10">
      <c r="B10" s="337" t="s">
        <v>331</v>
      </c>
      <c r="C10" s="122"/>
      <c r="D10" s="122"/>
      <c r="E10" s="122"/>
      <c r="F10" s="337" t="s">
        <v>332</v>
      </c>
      <c r="G10" s="122"/>
      <c r="H10" s="122"/>
      <c r="I10" s="122"/>
      <c r="J10" s="49"/>
    </row>
    <row r="11" spans="2:10">
      <c r="B11" s="60"/>
      <c r="C11" s="60"/>
      <c r="D11" s="60"/>
      <c r="E11" s="60"/>
      <c r="F11" s="60"/>
      <c r="G11" s="60"/>
      <c r="H11" s="60"/>
      <c r="I11" s="60"/>
      <c r="J11" s="60"/>
    </row>
    <row r="12" spans="2:10">
      <c r="B12" s="337" t="s">
        <v>333</v>
      </c>
      <c r="C12" s="122"/>
      <c r="D12" s="123"/>
      <c r="E12" s="123"/>
      <c r="F12" s="334" t="s">
        <v>1</v>
      </c>
      <c r="G12" s="123"/>
      <c r="H12" s="340"/>
      <c r="I12" s="250"/>
      <c r="J12" s="60"/>
    </row>
    <row r="13" spans="2:10">
      <c r="B13" s="60"/>
      <c r="C13" s="60"/>
      <c r="D13" s="60"/>
      <c r="E13" s="60"/>
      <c r="F13" s="60"/>
      <c r="G13" s="60"/>
      <c r="H13" s="41"/>
      <c r="I13" s="41"/>
      <c r="J13" s="60"/>
    </row>
    <row r="14" spans="2:10">
      <c r="B14" s="60"/>
      <c r="C14" s="327"/>
      <c r="D14" s="60"/>
      <c r="E14" s="60"/>
      <c r="F14" s="41"/>
      <c r="G14" s="41"/>
      <c r="H14" s="41"/>
      <c r="I14" s="41"/>
      <c r="J14" s="41"/>
    </row>
    <row r="15" spans="2:10" ht="15.4">
      <c r="B15" s="377" t="s">
        <v>334</v>
      </c>
      <c r="C15" s="341"/>
      <c r="D15" s="341"/>
      <c r="E15" s="341"/>
      <c r="F15" s="341"/>
      <c r="G15" s="341"/>
      <c r="H15" s="341"/>
      <c r="I15" s="341"/>
      <c r="J15" s="178"/>
    </row>
    <row r="16" spans="2:10" ht="15.4">
      <c r="B16" s="386" t="s">
        <v>389</v>
      </c>
      <c r="C16" s="332"/>
      <c r="D16" s="332"/>
      <c r="E16" s="332"/>
      <c r="F16" s="332"/>
      <c r="G16" s="332"/>
      <c r="H16" s="378"/>
      <c r="I16" s="378"/>
      <c r="J16" s="332" t="s">
        <v>390</v>
      </c>
    </row>
    <row r="17" spans="2:10" ht="15.4">
      <c r="B17" s="386" t="s">
        <v>391</v>
      </c>
      <c r="C17" s="332"/>
      <c r="D17" s="344"/>
      <c r="E17" s="178"/>
      <c r="F17" s="330"/>
      <c r="G17" s="97"/>
      <c r="H17" s="396"/>
      <c r="I17" s="397"/>
      <c r="J17" s="356" t="s">
        <v>392</v>
      </c>
    </row>
    <row r="18" spans="2:10" ht="15.4">
      <c r="B18" s="380" t="s">
        <v>393</v>
      </c>
      <c r="C18" s="380"/>
      <c r="D18" s="380"/>
      <c r="E18" s="371"/>
      <c r="F18" s="381"/>
      <c r="G18" s="373"/>
      <c r="H18" s="342"/>
      <c r="I18" s="345"/>
      <c r="J18" s="342"/>
    </row>
    <row r="19" spans="2:10" ht="15.4">
      <c r="B19" s="380" t="s">
        <v>394</v>
      </c>
      <c r="C19" s="380"/>
      <c r="D19" s="380"/>
      <c r="E19" s="371"/>
      <c r="F19" s="381"/>
      <c r="G19" s="373"/>
      <c r="H19" s="342"/>
      <c r="I19" s="345"/>
      <c r="J19" s="342"/>
    </row>
    <row r="20" spans="2:10" ht="15.4">
      <c r="B20" s="374"/>
      <c r="C20" s="178"/>
      <c r="D20" s="178"/>
      <c r="E20" s="341"/>
      <c r="F20" s="341"/>
      <c r="G20" s="388"/>
      <c r="H20" s="346"/>
      <c r="I20" s="347"/>
      <c r="J20" s="347"/>
    </row>
    <row r="21" spans="2:10" ht="15.4">
      <c r="B21" s="374"/>
      <c r="C21" s="178" t="s">
        <v>379</v>
      </c>
      <c r="D21" s="178"/>
      <c r="E21" s="341"/>
      <c r="F21" s="364"/>
      <c r="G21" s="388"/>
      <c r="H21" s="346"/>
      <c r="I21" s="347"/>
      <c r="J21" s="348"/>
    </row>
    <row r="22" spans="2:10" ht="15.4">
      <c r="B22" s="374"/>
      <c r="C22" s="178" t="s">
        <v>380</v>
      </c>
      <c r="D22" s="178"/>
      <c r="E22" s="341"/>
      <c r="F22" s="366"/>
      <c r="G22" s="388"/>
      <c r="H22" s="346"/>
      <c r="I22" s="347"/>
      <c r="J22" s="179"/>
    </row>
    <row r="23" spans="2:10" ht="15.4">
      <c r="B23" s="374"/>
      <c r="C23" s="178" t="s">
        <v>381</v>
      </c>
      <c r="D23" s="178"/>
      <c r="E23" s="341"/>
      <c r="F23" s="393"/>
      <c r="G23" s="394"/>
      <c r="H23" s="395" t="s">
        <v>382</v>
      </c>
      <c r="I23" s="347"/>
      <c r="J23" s="179"/>
    </row>
    <row r="24" spans="2:10" ht="15.4">
      <c r="B24" s="374"/>
      <c r="C24" s="178"/>
      <c r="D24" s="178"/>
      <c r="E24" s="341"/>
      <c r="F24" s="350"/>
      <c r="G24" s="388"/>
      <c r="H24" s="346"/>
      <c r="I24" s="347"/>
      <c r="J24" s="349"/>
    </row>
    <row r="25" spans="2:10" ht="15.4">
      <c r="B25" s="374" t="s">
        <v>395</v>
      </c>
      <c r="C25" s="178"/>
      <c r="D25" s="178"/>
      <c r="E25" s="341"/>
      <c r="F25" s="349"/>
      <c r="G25" s="388"/>
      <c r="H25" s="346"/>
      <c r="I25" s="347"/>
      <c r="J25" s="349"/>
    </row>
    <row r="26" spans="2:10">
      <c r="B26" s="349"/>
      <c r="C26" s="349"/>
      <c r="D26" s="349"/>
      <c r="E26" s="349"/>
      <c r="F26" s="349"/>
      <c r="G26" s="383"/>
      <c r="H26" s="349"/>
      <c r="I26" s="353"/>
      <c r="J26" s="349"/>
    </row>
    <row r="27" spans="2:10">
      <c r="B27" s="349" t="s">
        <v>396</v>
      </c>
      <c r="C27" s="349"/>
      <c r="D27" s="349"/>
      <c r="E27" s="349"/>
      <c r="F27" s="349"/>
      <c r="G27" s="349"/>
      <c r="H27" s="349"/>
      <c r="I27" s="351"/>
      <c r="J27" s="349"/>
    </row>
    <row r="28" spans="2:10">
      <c r="B28" s="349" t="s">
        <v>397</v>
      </c>
      <c r="C28" s="349"/>
      <c r="D28" s="349"/>
      <c r="E28" s="350"/>
      <c r="F28" s="350"/>
      <c r="G28" s="350"/>
      <c r="H28" s="349"/>
      <c r="I28" s="351"/>
      <c r="J28" s="349"/>
    </row>
    <row r="29" spans="2:10">
      <c r="B29" s="349" t="s">
        <v>398</v>
      </c>
      <c r="C29" s="349"/>
      <c r="D29" s="349"/>
      <c r="E29" s="349"/>
      <c r="F29" s="349"/>
      <c r="G29" s="349"/>
      <c r="H29" s="349"/>
      <c r="I29" s="349"/>
      <c r="J29" s="349"/>
    </row>
    <row r="30" spans="2:10">
      <c r="B30" s="349"/>
      <c r="C30" s="349"/>
      <c r="D30" s="349"/>
      <c r="E30" s="349"/>
      <c r="F30" s="349"/>
      <c r="G30" s="349"/>
      <c r="H30" s="349"/>
      <c r="I30" s="349"/>
      <c r="J30" s="349"/>
    </row>
    <row r="31" spans="2:10">
      <c r="B31" s="349" t="s">
        <v>399</v>
      </c>
      <c r="C31" s="349"/>
      <c r="D31" s="349"/>
      <c r="E31" s="349"/>
      <c r="F31" s="349"/>
      <c r="G31" s="349"/>
      <c r="H31" s="349"/>
      <c r="I31" s="349"/>
      <c r="J31" s="349"/>
    </row>
    <row r="32" spans="2:10">
      <c r="B32" s="179"/>
      <c r="C32" s="351"/>
      <c r="D32" s="349"/>
      <c r="E32" s="349"/>
      <c r="F32" s="349"/>
      <c r="G32" s="349"/>
      <c r="H32" s="349"/>
      <c r="I32" s="349"/>
      <c r="J32" s="349"/>
    </row>
    <row r="33" spans="2:10">
      <c r="B33" s="206"/>
      <c r="C33" s="178"/>
      <c r="D33" s="206" t="s">
        <v>400</v>
      </c>
      <c r="E33" s="178"/>
      <c r="F33" s="343"/>
      <c r="G33" s="343"/>
      <c r="H33" s="343"/>
      <c r="I33" s="178"/>
      <c r="J33" s="178"/>
    </row>
    <row r="34" spans="2:10">
      <c r="B34" s="206"/>
      <c r="C34" s="178"/>
      <c r="D34" s="178"/>
      <c r="E34" s="178"/>
      <c r="F34" s="178"/>
      <c r="G34" s="178"/>
      <c r="H34" s="178"/>
      <c r="I34" s="178"/>
      <c r="J34" s="178"/>
    </row>
    <row r="35" spans="2:10">
      <c r="B35" s="178" t="s">
        <v>401</v>
      </c>
      <c r="C35" s="178"/>
      <c r="D35" s="178"/>
      <c r="E35" s="178"/>
      <c r="F35" s="179"/>
      <c r="G35" s="179"/>
      <c r="H35" s="179"/>
      <c r="I35" s="178"/>
      <c r="J35" s="178"/>
    </row>
    <row r="36" spans="2:10">
      <c r="B36" s="178" t="s">
        <v>402</v>
      </c>
      <c r="C36" s="178"/>
      <c r="D36" s="178"/>
      <c r="E36" s="178"/>
      <c r="F36" s="179"/>
      <c r="G36" s="179"/>
      <c r="H36" s="179"/>
      <c r="I36" s="178"/>
      <c r="J36" s="178"/>
    </row>
    <row r="37" spans="2:10">
      <c r="B37" s="178"/>
      <c r="C37" s="178" t="s">
        <v>403</v>
      </c>
      <c r="D37" s="178"/>
      <c r="E37" s="178"/>
      <c r="F37" s="179"/>
      <c r="G37" s="179"/>
      <c r="H37" s="179"/>
      <c r="I37" s="178"/>
      <c r="J37" s="178"/>
    </row>
    <row r="38" spans="2:10">
      <c r="B38" s="178" t="s">
        <v>404</v>
      </c>
      <c r="C38" s="178"/>
      <c r="D38" s="178"/>
      <c r="E38" s="178"/>
      <c r="F38" s="179"/>
      <c r="G38" s="179"/>
      <c r="H38" s="179"/>
      <c r="I38" s="178"/>
      <c r="J38" s="178"/>
    </row>
    <row r="39" spans="2:10">
      <c r="B39" s="178"/>
      <c r="C39" s="178"/>
      <c r="D39" s="178"/>
      <c r="E39" s="178"/>
      <c r="F39" s="179"/>
      <c r="G39" s="179"/>
      <c r="H39" s="179"/>
      <c r="I39" s="178"/>
      <c r="J39" s="178"/>
    </row>
    <row r="40" spans="2:10" ht="15">
      <c r="B40" s="178"/>
      <c r="C40" s="178"/>
      <c r="D40" s="354"/>
      <c r="E40" s="178"/>
      <c r="F40" s="178"/>
      <c r="G40" s="1304" t="s">
        <v>345</v>
      </c>
      <c r="H40" s="1304"/>
      <c r="I40" s="178"/>
      <c r="J40" s="178"/>
    </row>
    <row r="41" spans="2:10">
      <c r="B41" s="178"/>
      <c r="C41" s="178"/>
      <c r="D41" s="178"/>
      <c r="E41" s="178"/>
      <c r="F41" s="178"/>
      <c r="G41" s="178"/>
      <c r="H41" s="178"/>
      <c r="I41" s="178"/>
      <c r="J41" s="178"/>
    </row>
    <row r="42" spans="2:10">
      <c r="B42" s="355"/>
      <c r="C42" s="356"/>
      <c r="D42" s="342"/>
      <c r="E42" s="179"/>
      <c r="F42" s="368"/>
      <c r="G42" s="368"/>
      <c r="H42" s="368"/>
      <c r="I42" s="296"/>
      <c r="J42" s="178"/>
    </row>
    <row r="43" spans="2:10">
      <c r="B43" s="178"/>
      <c r="C43" s="178"/>
      <c r="D43" s="178"/>
      <c r="E43" s="357"/>
      <c r="F43" s="178"/>
      <c r="G43" s="1305" t="s">
        <v>346</v>
      </c>
      <c r="H43" s="1305"/>
      <c r="I43" s="178"/>
      <c r="J43" s="178"/>
    </row>
    <row r="44" spans="2:10">
      <c r="B44" s="206"/>
      <c r="C44" s="178"/>
      <c r="D44" s="178"/>
      <c r="E44" s="179"/>
      <c r="F44" s="179"/>
      <c r="G44" s="179"/>
      <c r="H44" s="179"/>
      <c r="I44" s="178"/>
      <c r="J44" s="178"/>
    </row>
    <row r="45" spans="2:10">
      <c r="B45" s="1314" t="s">
        <v>347</v>
      </c>
      <c r="C45" s="1314"/>
      <c r="D45" s="370"/>
      <c r="E45" s="370"/>
      <c r="F45" s="370"/>
      <c r="G45" s="342"/>
      <c r="H45" s="342"/>
      <c r="I45" s="342"/>
      <c r="J45" s="342"/>
    </row>
    <row r="46" spans="2:10">
      <c r="B46" s="206"/>
      <c r="C46" s="178"/>
      <c r="D46" s="178"/>
      <c r="E46" s="179"/>
      <c r="F46" s="179"/>
      <c r="G46" s="179"/>
      <c r="H46" s="179"/>
      <c r="I46" s="178"/>
      <c r="J46" s="178"/>
    </row>
    <row r="47" spans="2:10">
      <c r="B47" s="1306" t="s">
        <v>348</v>
      </c>
      <c r="C47" s="1306"/>
      <c r="D47" s="296"/>
      <c r="E47" s="296"/>
      <c r="F47" s="296"/>
      <c r="G47" s="178"/>
      <c r="H47" s="178"/>
      <c r="I47" s="178"/>
      <c r="J47" s="178"/>
    </row>
    <row r="48" spans="2:10">
      <c r="B48" s="354"/>
      <c r="C48" s="354"/>
      <c r="D48" s="354"/>
      <c r="E48" s="354"/>
      <c r="F48" s="354"/>
      <c r="G48" s="354"/>
      <c r="H48" s="354"/>
      <c r="I48" s="354"/>
      <c r="J48" s="354"/>
    </row>
    <row r="49" spans="2:10" ht="12" customHeight="1">
      <c r="B49" s="1301" t="s">
        <v>349</v>
      </c>
      <c r="C49" s="1301"/>
      <c r="D49" s="235"/>
      <c r="E49" s="235"/>
      <c r="F49" s="235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>
      <c r="B51" s="48"/>
      <c r="C51" s="48"/>
      <c r="D51" s="48"/>
      <c r="E51" s="48"/>
      <c r="F51" s="48"/>
      <c r="G51" s="48"/>
      <c r="H51" s="48"/>
      <c r="I51" s="48"/>
      <c r="J51" s="48"/>
    </row>
    <row r="52" spans="2:10">
      <c r="B52" s="48"/>
      <c r="C52" s="48"/>
      <c r="D52" s="48"/>
      <c r="E52" s="48"/>
      <c r="F52" s="48"/>
      <c r="G52" s="48"/>
      <c r="H52" s="48"/>
      <c r="I52" s="48"/>
      <c r="J52" s="48"/>
    </row>
    <row r="53" spans="2:10">
      <c r="B53" s="358"/>
      <c r="C53" s="358"/>
      <c r="D53" s="358"/>
      <c r="E53" s="358"/>
      <c r="F53" s="358"/>
      <c r="G53" s="358"/>
      <c r="H53" s="358"/>
      <c r="I53" s="358"/>
      <c r="J53" s="358"/>
    </row>
    <row r="54" spans="2:10">
      <c r="B54" s="1264"/>
      <c r="C54" s="1264"/>
      <c r="D54" s="1264"/>
      <c r="E54" s="1264"/>
      <c r="F54" s="1264"/>
      <c r="G54" s="1264"/>
      <c r="H54" s="1264"/>
      <c r="I54" s="1264"/>
      <c r="J54" s="1264"/>
    </row>
    <row r="55" spans="2:10">
      <c r="B55" s="1"/>
      <c r="C55" s="1"/>
      <c r="D55" s="1"/>
      <c r="E55" s="1"/>
      <c r="F55" s="1"/>
      <c r="G55" s="1"/>
      <c r="H55" s="1"/>
      <c r="I55" s="1"/>
      <c r="J55" s="1"/>
    </row>
    <row r="56" spans="2:10">
      <c r="B56" s="27"/>
      <c r="C56" s="1"/>
      <c r="D56" s="1"/>
      <c r="E56" s="1"/>
      <c r="F56" s="1"/>
      <c r="G56" s="1"/>
      <c r="H56" s="1"/>
      <c r="I56" s="1"/>
      <c r="J56" s="1"/>
    </row>
  </sheetData>
  <mergeCells count="7">
    <mergeCell ref="B54:J54"/>
    <mergeCell ref="C6:G6"/>
    <mergeCell ref="G40:H40"/>
    <mergeCell ref="G43:H43"/>
    <mergeCell ref="B45:C45"/>
    <mergeCell ref="B47:C47"/>
    <mergeCell ref="B49:C49"/>
  </mergeCells>
  <pageMargins left="0.6" right="0.83333333333333337" top="0.75" bottom="0.75" header="0.3" footer="0.3"/>
  <pageSetup paperSize="9" orientation="portrait" horizont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2AA1-B8C6-40E6-BAD3-CDB1D69C76F0}">
  <sheetPr codeName="Лист20">
    <tabColor rgb="FFFFC000"/>
  </sheetPr>
  <dimension ref="A1:J54"/>
  <sheetViews>
    <sheetView view="pageBreakPreview" zoomScale="110" zoomScaleNormal="100" zoomScaleSheetLayoutView="110" workbookViewId="0">
      <selection activeCell="H43" sqref="H43"/>
    </sheetView>
  </sheetViews>
  <sheetFormatPr defaultRowHeight="14.25"/>
  <cols>
    <col min="1" max="1" width="4.6640625" customWidth="1"/>
    <col min="2" max="2" width="10.6640625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 ht="14.45" customHeight="1">
      <c r="A2" s="48"/>
      <c r="B2" s="49"/>
      <c r="C2" s="732"/>
      <c r="D2" s="732"/>
      <c r="E2" s="49"/>
      <c r="F2" s="732"/>
      <c r="G2" s="732" t="s">
        <v>328</v>
      </c>
      <c r="H2" s="331"/>
      <c r="I2" s="122"/>
      <c r="J2" s="49"/>
    </row>
    <row r="3" spans="1:10" ht="14.45" customHeight="1">
      <c r="A3" s="48"/>
      <c r="B3" s="49"/>
      <c r="C3" s="49"/>
      <c r="D3" s="49"/>
      <c r="E3" s="49"/>
      <c r="F3" s="49"/>
      <c r="G3" s="49"/>
      <c r="H3" s="49"/>
      <c r="I3" s="49"/>
      <c r="J3" s="49"/>
    </row>
    <row r="4" spans="1:10" ht="14.45" customHeight="1">
      <c r="A4" s="48"/>
      <c r="B4" s="49"/>
      <c r="C4" s="1310" t="s">
        <v>405</v>
      </c>
      <c r="D4" s="1310"/>
      <c r="E4" s="1310"/>
      <c r="F4" s="1310"/>
      <c r="G4" s="1310"/>
      <c r="H4" s="70"/>
      <c r="I4" s="70"/>
      <c r="J4" s="49"/>
    </row>
    <row r="5" spans="1:10">
      <c r="A5" s="48"/>
      <c r="B5" s="293"/>
      <c r="C5" s="59"/>
      <c r="D5" s="59"/>
      <c r="E5" s="59"/>
      <c r="F5" s="59"/>
      <c r="G5" s="59"/>
      <c r="H5" s="49"/>
      <c r="I5" s="49"/>
      <c r="J5" s="49"/>
    </row>
    <row r="6" spans="1:10" ht="22.35" customHeight="1">
      <c r="A6" s="48"/>
      <c r="B6" s="293" t="s">
        <v>330</v>
      </c>
      <c r="C6" s="339"/>
      <c r="D6" s="235"/>
      <c r="E6" s="61"/>
      <c r="F6" s="61"/>
      <c r="G6" s="336"/>
      <c r="H6" s="122"/>
      <c r="I6" s="122"/>
      <c r="J6" s="49"/>
    </row>
    <row r="7" spans="1:10" ht="14.45" customHeight="1">
      <c r="A7" s="48"/>
      <c r="B7" s="60"/>
      <c r="C7" s="48"/>
      <c r="D7" s="60"/>
      <c r="E7" s="60"/>
      <c r="F7" s="60"/>
      <c r="G7" s="60"/>
      <c r="H7" s="60"/>
      <c r="I7" s="60"/>
      <c r="J7" s="49"/>
    </row>
    <row r="8" spans="1:10">
      <c r="A8" s="48"/>
      <c r="B8" s="337" t="s">
        <v>331</v>
      </c>
      <c r="C8" s="122"/>
      <c r="D8" s="122"/>
      <c r="E8" s="122"/>
      <c r="F8" s="337" t="s">
        <v>332</v>
      </c>
      <c r="G8" s="122"/>
      <c r="H8" s="122"/>
      <c r="I8" s="122"/>
      <c r="J8" s="49"/>
    </row>
    <row r="9" spans="1:10" ht="14.45" customHeight="1">
      <c r="A9" s="48"/>
      <c r="B9" s="60"/>
      <c r="C9" s="60"/>
      <c r="D9" s="60"/>
      <c r="E9" s="60"/>
      <c r="F9" s="60"/>
      <c r="G9" s="60"/>
      <c r="H9" s="60"/>
      <c r="I9" s="60"/>
      <c r="J9" s="60"/>
    </row>
    <row r="10" spans="1:10">
      <c r="A10" s="48"/>
      <c r="B10" s="337" t="s">
        <v>333</v>
      </c>
      <c r="C10" s="122"/>
      <c r="D10" s="123"/>
      <c r="E10" s="123"/>
      <c r="F10" s="334" t="s">
        <v>1</v>
      </c>
      <c r="G10" s="123"/>
      <c r="H10" s="340"/>
      <c r="I10" s="250"/>
      <c r="J10" s="60"/>
    </row>
    <row r="11" spans="1:10">
      <c r="A11" s="48"/>
      <c r="B11" s="60"/>
      <c r="C11" s="60"/>
      <c r="D11" s="60"/>
      <c r="E11" s="60"/>
      <c r="F11" s="60"/>
      <c r="G11" s="60"/>
      <c r="H11" s="41"/>
      <c r="I11" s="41"/>
      <c r="J11" s="60"/>
    </row>
    <row r="12" spans="1:10">
      <c r="A12" s="48"/>
      <c r="B12" s="60"/>
      <c r="C12" s="737"/>
      <c r="D12" s="60"/>
      <c r="E12" s="60"/>
      <c r="F12" s="41"/>
      <c r="G12" s="41"/>
      <c r="H12" s="41"/>
      <c r="I12" s="41"/>
      <c r="J12" s="41"/>
    </row>
    <row r="13" spans="1:10" ht="15.4">
      <c r="A13" s="48"/>
      <c r="B13" s="377" t="s">
        <v>334</v>
      </c>
      <c r="C13" s="341"/>
      <c r="D13" s="341"/>
      <c r="E13" s="341"/>
      <c r="F13" s="341"/>
      <c r="G13" s="341"/>
      <c r="H13" s="341"/>
      <c r="I13" s="341"/>
      <c r="J13" s="178"/>
    </row>
    <row r="14" spans="1:10">
      <c r="A14" s="48"/>
      <c r="B14" s="369" t="s">
        <v>409</v>
      </c>
      <c r="C14" s="332"/>
      <c r="D14" s="332"/>
      <c r="E14" s="332"/>
      <c r="F14" s="332"/>
      <c r="G14" s="332"/>
      <c r="H14" s="332"/>
      <c r="I14" s="332"/>
      <c r="J14" s="332"/>
    </row>
    <row r="15" spans="1:10">
      <c r="A15" s="48"/>
      <c r="B15" s="369" t="s">
        <v>408</v>
      </c>
      <c r="C15" s="332"/>
      <c r="D15" s="344"/>
      <c r="E15" s="178"/>
      <c r="F15" s="330"/>
      <c r="G15" s="97"/>
      <c r="H15" s="97"/>
      <c r="I15" s="66"/>
      <c r="J15" s="356"/>
    </row>
    <row r="16" spans="1:10">
      <c r="A16" s="48"/>
      <c r="B16" s="343"/>
      <c r="C16" s="343"/>
      <c r="D16" s="343"/>
      <c r="E16" s="360"/>
      <c r="F16" s="66"/>
      <c r="G16" s="361"/>
      <c r="H16" s="342"/>
      <c r="I16" s="345"/>
      <c r="J16" s="342"/>
    </row>
    <row r="17" spans="1:10">
      <c r="A17" s="48"/>
      <c r="B17" s="178" t="s">
        <v>406</v>
      </c>
      <c r="C17" s="343"/>
      <c r="D17" s="343"/>
      <c r="E17" s="360"/>
      <c r="F17" s="66"/>
      <c r="G17" s="361"/>
      <c r="H17" s="342"/>
      <c r="I17" s="345"/>
      <c r="J17" s="342"/>
    </row>
    <row r="18" spans="1:10">
      <c r="A18" s="48"/>
      <c r="B18" s="178" t="s">
        <v>407</v>
      </c>
      <c r="C18" s="178"/>
      <c r="D18" s="178"/>
      <c r="E18" s="341"/>
      <c r="F18" s="341"/>
      <c r="G18" s="388"/>
      <c r="H18" s="346"/>
      <c r="I18" s="347"/>
      <c r="J18" s="347"/>
    </row>
    <row r="19" spans="1:10">
      <c r="A19" s="48"/>
      <c r="B19" s="178" t="s">
        <v>410</v>
      </c>
      <c r="C19" s="178"/>
      <c r="D19" s="178"/>
      <c r="E19" s="341"/>
      <c r="F19" s="364"/>
      <c r="G19" s="388"/>
      <c r="H19" s="346"/>
      <c r="I19" s="347"/>
      <c r="J19" s="348"/>
    </row>
    <row r="20" spans="1:10">
      <c r="A20" s="48"/>
      <c r="B20" s="178"/>
      <c r="C20" s="178"/>
      <c r="D20" s="178"/>
      <c r="E20" s="341"/>
      <c r="F20" s="366"/>
      <c r="G20" s="388"/>
      <c r="H20" s="346"/>
      <c r="I20" s="347"/>
      <c r="J20" s="179"/>
    </row>
    <row r="21" spans="1:10">
      <c r="A21" s="48"/>
      <c r="B21" s="178" t="s">
        <v>411</v>
      </c>
      <c r="C21" s="178"/>
      <c r="D21" s="178"/>
      <c r="E21" s="341"/>
      <c r="F21" s="366"/>
      <c r="G21" s="388"/>
      <c r="H21" s="398"/>
      <c r="I21" s="347"/>
      <c r="J21" s="179"/>
    </row>
    <row r="22" spans="1:10">
      <c r="A22" s="48"/>
      <c r="B22" s="178" t="s">
        <v>412</v>
      </c>
      <c r="C22" s="178"/>
      <c r="D22" s="178"/>
      <c r="E22" s="341"/>
      <c r="F22" s="350"/>
      <c r="G22" s="388"/>
      <c r="H22" s="346"/>
      <c r="I22" s="347"/>
      <c r="J22" s="349"/>
    </row>
    <row r="23" spans="1:10">
      <c r="A23" s="48"/>
      <c r="B23" s="178"/>
      <c r="C23" s="178"/>
      <c r="D23" s="178"/>
      <c r="E23" s="341"/>
      <c r="F23" s="349"/>
      <c r="G23" s="388"/>
      <c r="H23" s="346"/>
      <c r="I23" s="347"/>
      <c r="J23" s="349"/>
    </row>
    <row r="24" spans="1:10">
      <c r="A24" s="48"/>
      <c r="B24" s="349"/>
      <c r="C24" s="349"/>
      <c r="D24" s="349"/>
      <c r="E24" s="179" t="s">
        <v>413</v>
      </c>
      <c r="F24" s="349"/>
      <c r="G24" s="383"/>
      <c r="H24" s="349"/>
      <c r="I24" s="353"/>
      <c r="J24" s="349"/>
    </row>
    <row r="25" spans="1:10">
      <c r="A25" s="48"/>
      <c r="B25" s="349"/>
      <c r="C25" s="349"/>
      <c r="D25" s="349"/>
      <c r="E25" s="349"/>
      <c r="F25" s="349"/>
      <c r="G25" s="349"/>
      <c r="H25" s="349"/>
      <c r="I25" s="734"/>
      <c r="J25" s="349"/>
    </row>
    <row r="26" spans="1:10">
      <c r="A26" s="48"/>
      <c r="B26" s="179" t="s">
        <v>416</v>
      </c>
      <c r="C26" s="367"/>
      <c r="D26" s="367"/>
      <c r="E26" s="392"/>
      <c r="F26" s="383" t="s">
        <v>414</v>
      </c>
      <c r="G26" s="392"/>
      <c r="H26" s="367"/>
      <c r="I26" s="391"/>
      <c r="J26" s="179" t="s">
        <v>415</v>
      </c>
    </row>
    <row r="27" spans="1:10">
      <c r="A27" s="48"/>
      <c r="B27" s="179" t="s">
        <v>416</v>
      </c>
      <c r="C27" s="367"/>
      <c r="D27" s="367"/>
      <c r="E27" s="392"/>
      <c r="F27" s="383" t="s">
        <v>414</v>
      </c>
      <c r="G27" s="392"/>
      <c r="H27" s="367"/>
      <c r="I27" s="391"/>
      <c r="J27" s="179" t="s">
        <v>415</v>
      </c>
    </row>
    <row r="28" spans="1:10">
      <c r="A28" s="48"/>
      <c r="B28" s="179" t="s">
        <v>416</v>
      </c>
      <c r="C28" s="367"/>
      <c r="D28" s="367"/>
      <c r="E28" s="392"/>
      <c r="F28" s="383" t="s">
        <v>414</v>
      </c>
      <c r="G28" s="392"/>
      <c r="H28" s="367"/>
      <c r="I28" s="391"/>
      <c r="J28" s="179" t="s">
        <v>415</v>
      </c>
    </row>
    <row r="29" spans="1:10">
      <c r="A29" s="48"/>
      <c r="B29" s="179" t="s">
        <v>416</v>
      </c>
      <c r="C29" s="367"/>
      <c r="D29" s="367"/>
      <c r="E29" s="392"/>
      <c r="F29" s="383" t="s">
        <v>414</v>
      </c>
      <c r="G29" s="392"/>
      <c r="H29" s="367"/>
      <c r="I29" s="391"/>
      <c r="J29" s="179" t="s">
        <v>415</v>
      </c>
    </row>
    <row r="30" spans="1:10">
      <c r="A30" s="48"/>
      <c r="B30" s="179"/>
      <c r="C30" s="734"/>
      <c r="D30" s="349"/>
      <c r="E30" s="349"/>
      <c r="F30" s="349"/>
      <c r="G30" s="349"/>
      <c r="H30" s="349"/>
      <c r="I30" s="349"/>
      <c r="J30" s="349"/>
    </row>
    <row r="31" spans="1:10">
      <c r="A31" s="48"/>
      <c r="B31" s="178" t="s">
        <v>418</v>
      </c>
      <c r="C31" s="178"/>
      <c r="D31" s="178"/>
      <c r="E31" s="178" t="s">
        <v>419</v>
      </c>
      <c r="F31" s="359"/>
      <c r="G31" s="343" t="s">
        <v>417</v>
      </c>
      <c r="H31" s="359"/>
      <c r="I31" s="296"/>
      <c r="J31" s="178"/>
    </row>
    <row r="32" spans="1:10">
      <c r="A32" s="48"/>
      <c r="B32" s="206"/>
      <c r="C32" s="178"/>
      <c r="D32" s="178"/>
      <c r="E32" s="178"/>
      <c r="F32" s="178"/>
      <c r="G32" s="178"/>
      <c r="H32" s="178"/>
      <c r="I32" s="178"/>
      <c r="J32" s="178"/>
    </row>
    <row r="33" spans="1:10">
      <c r="A33" s="48"/>
      <c r="B33" s="178" t="s">
        <v>420</v>
      </c>
      <c r="C33" s="178"/>
      <c r="D33" s="178"/>
      <c r="E33" s="178"/>
      <c r="F33" s="179"/>
      <c r="G33" s="179"/>
      <c r="H33" s="179"/>
      <c r="I33" s="178"/>
      <c r="J33" s="178"/>
    </row>
    <row r="34" spans="1:10">
      <c r="A34" s="48"/>
      <c r="B34" s="178" t="s">
        <v>421</v>
      </c>
      <c r="C34" s="178"/>
      <c r="D34" s="178"/>
      <c r="E34" s="178"/>
      <c r="F34" s="179"/>
      <c r="G34" s="179"/>
      <c r="H34" s="179"/>
      <c r="I34" s="178"/>
      <c r="J34" s="178"/>
    </row>
    <row r="35" spans="1:10">
      <c r="A35" s="48"/>
      <c r="B35" s="178"/>
      <c r="C35" s="178"/>
      <c r="D35" s="178"/>
      <c r="E35" s="178"/>
      <c r="F35" s="179"/>
      <c r="G35" s="179"/>
      <c r="H35" s="179"/>
      <c r="I35" s="178"/>
      <c r="J35" s="178"/>
    </row>
    <row r="36" spans="1:10">
      <c r="A36" s="48"/>
      <c r="B36" s="178" t="s">
        <v>387</v>
      </c>
      <c r="C36" s="178"/>
      <c r="D36" s="178"/>
      <c r="E36" s="178"/>
      <c r="F36" s="179"/>
      <c r="G36" s="179"/>
      <c r="H36" s="179"/>
      <c r="I36" s="178"/>
      <c r="J36" s="178"/>
    </row>
    <row r="37" spans="1:10">
      <c r="A37" s="48"/>
      <c r="B37" s="178"/>
      <c r="C37" s="178"/>
      <c r="D37" s="178"/>
      <c r="E37" s="178"/>
      <c r="F37" s="179"/>
      <c r="G37" s="179"/>
      <c r="H37" s="179"/>
      <c r="I37" s="178"/>
      <c r="J37" s="178"/>
    </row>
    <row r="38" spans="1:10" ht="15">
      <c r="A38" s="48"/>
      <c r="B38" s="178"/>
      <c r="C38" s="178"/>
      <c r="D38" s="354"/>
      <c r="E38" s="178"/>
      <c r="F38" s="178"/>
      <c r="G38" s="1304" t="s">
        <v>345</v>
      </c>
      <c r="H38" s="1304"/>
      <c r="I38" s="178"/>
      <c r="J38" s="178"/>
    </row>
    <row r="39" spans="1:10">
      <c r="A39" s="48"/>
      <c r="B39" s="178"/>
      <c r="C39" s="178"/>
      <c r="D39" s="178"/>
      <c r="E39" s="178"/>
      <c r="F39" s="178"/>
      <c r="G39" s="178"/>
      <c r="H39" s="178"/>
      <c r="I39" s="178"/>
      <c r="J39" s="178"/>
    </row>
    <row r="40" spans="1:10">
      <c r="A40" s="48"/>
      <c r="B40" s="355"/>
      <c r="C40" s="356"/>
      <c r="D40" s="342"/>
      <c r="E40" s="179"/>
      <c r="F40" s="368"/>
      <c r="G40" s="368"/>
      <c r="H40" s="368"/>
      <c r="I40" s="296"/>
      <c r="J40" s="178"/>
    </row>
    <row r="41" spans="1:10">
      <c r="A41" s="48"/>
      <c r="B41" s="178"/>
      <c r="C41" s="178"/>
      <c r="D41" s="178"/>
      <c r="E41" s="357"/>
      <c r="F41" s="178"/>
      <c r="G41" s="1305" t="s">
        <v>346</v>
      </c>
      <c r="H41" s="1305"/>
      <c r="I41" s="178"/>
      <c r="J41" s="178"/>
    </row>
    <row r="42" spans="1:10">
      <c r="A42" s="48"/>
      <c r="B42" s="206"/>
      <c r="C42" s="178"/>
      <c r="D42" s="178"/>
      <c r="E42" s="179"/>
      <c r="F42" s="179"/>
      <c r="G42" s="179"/>
      <c r="H42" s="179"/>
      <c r="I42" s="178"/>
      <c r="J42" s="178"/>
    </row>
    <row r="43" spans="1:10">
      <c r="A43" s="399"/>
      <c r="B43" s="293" t="s">
        <v>422</v>
      </c>
      <c r="C43" s="293"/>
      <c r="D43" s="342"/>
      <c r="E43" s="370"/>
      <c r="F43" s="370"/>
      <c r="G43" s="370"/>
      <c r="H43" s="342"/>
      <c r="I43" s="342"/>
      <c r="J43" s="342"/>
    </row>
    <row r="44" spans="1:10">
      <c r="A44" s="48"/>
      <c r="B44" s="206"/>
      <c r="C44" s="178"/>
      <c r="D44" s="178"/>
      <c r="E44" s="179"/>
      <c r="F44" s="179"/>
      <c r="G44" s="179"/>
      <c r="H44" s="179"/>
      <c r="I44" s="178"/>
      <c r="J44" s="178"/>
    </row>
    <row r="45" spans="1:10">
      <c r="A45" s="48"/>
      <c r="B45" s="293" t="s">
        <v>423</v>
      </c>
      <c r="C45" s="293"/>
      <c r="D45" s="178"/>
      <c r="E45" s="296"/>
      <c r="F45" s="296"/>
      <c r="G45" s="296"/>
      <c r="H45" s="178"/>
      <c r="I45" s="178"/>
      <c r="J45" s="178"/>
    </row>
    <row r="46" spans="1:10">
      <c r="A46" s="48"/>
      <c r="B46" s="354"/>
      <c r="C46" s="354"/>
      <c r="D46" s="354"/>
      <c r="E46" s="354"/>
      <c r="F46" s="354"/>
      <c r="G46" s="354"/>
      <c r="H46" s="354"/>
      <c r="I46" s="354"/>
      <c r="J46" s="354"/>
    </row>
    <row r="47" spans="1:10">
      <c r="A47" s="48"/>
      <c r="B47" s="400" t="s">
        <v>424</v>
      </c>
      <c r="C47" s="736"/>
      <c r="D47" s="401"/>
      <c r="E47" s="235"/>
      <c r="F47" s="235"/>
      <c r="G47" s="235"/>
      <c r="H47" s="48"/>
      <c r="I47" s="48"/>
      <c r="J47" s="48"/>
    </row>
    <row r="48" spans="1:10">
      <c r="B48" s="48"/>
      <c r="C48" s="48"/>
      <c r="D48" s="48"/>
      <c r="E48" s="48"/>
      <c r="F48" s="48"/>
      <c r="G48" s="48"/>
      <c r="H48" s="48"/>
      <c r="I48" s="48"/>
      <c r="J48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>
      <c r="B51" s="358"/>
      <c r="C51" s="358"/>
      <c r="D51" s="358"/>
      <c r="E51" s="358"/>
      <c r="F51" s="358"/>
      <c r="G51" s="358"/>
      <c r="H51" s="358"/>
      <c r="I51" s="358"/>
      <c r="J51" s="358"/>
    </row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4">
    <mergeCell ref="C4:G4"/>
    <mergeCell ref="G38:H38"/>
    <mergeCell ref="G41:H41"/>
    <mergeCell ref="B52:J52"/>
  </mergeCells>
  <pageMargins left="0.6" right="0.83333333333333337" top="0.75" bottom="0.54166666666666663" header="0.3" footer="0.3"/>
  <pageSetup paperSize="9" orientation="portrait" horizont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16C7-BD31-4CEF-824D-E4046F2E93DE}">
  <sheetPr codeName="Лист21">
    <tabColor rgb="FFFFC000"/>
  </sheetPr>
  <dimension ref="A1:Q54"/>
  <sheetViews>
    <sheetView view="pageLayout" zoomScaleNormal="100" zoomScaleSheetLayoutView="110" workbookViewId="0">
      <selection activeCell="B40" sqref="B40"/>
    </sheetView>
  </sheetViews>
  <sheetFormatPr defaultColWidth="8.86328125" defaultRowHeight="14.25"/>
  <cols>
    <col min="1" max="1" width="8.796875" customWidth="1"/>
    <col min="2" max="2" width="10.6640625" customWidth="1"/>
    <col min="10" max="10" width="7.86328125" customWidth="1"/>
  </cols>
  <sheetData>
    <row r="1" spans="1:13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3" ht="14.45" customHeight="1">
      <c r="A2" s="89" t="s">
        <v>333</v>
      </c>
      <c r="B2" s="122"/>
      <c r="C2" s="331"/>
      <c r="D2" s="730" t="s">
        <v>1</v>
      </c>
      <c r="E2" s="122"/>
      <c r="F2" s="331"/>
      <c r="G2" s="492"/>
      <c r="H2" s="492"/>
      <c r="I2" s="60"/>
      <c r="J2" s="60"/>
    </row>
    <row r="3" spans="1:13" ht="14.45" customHeight="1">
      <c r="A3" s="615"/>
      <c r="B3" s="60"/>
      <c r="C3" s="60"/>
      <c r="D3" s="60"/>
      <c r="E3" s="60"/>
      <c r="F3" s="60"/>
      <c r="G3" s="60"/>
      <c r="H3" s="60"/>
      <c r="I3" s="60"/>
      <c r="J3" s="60"/>
    </row>
    <row r="4" spans="1:13" ht="14.45" customHeight="1">
      <c r="A4" s="89" t="s">
        <v>569</v>
      </c>
      <c r="B4" s="122"/>
      <c r="C4" s="784"/>
      <c r="D4" s="782"/>
      <c r="E4" s="782"/>
      <c r="F4" s="782"/>
      <c r="G4" s="782"/>
      <c r="H4" s="70"/>
      <c r="I4" s="70"/>
      <c r="J4" s="60"/>
    </row>
    <row r="5" spans="1:13">
      <c r="A5" s="615"/>
      <c r="B5" s="293"/>
      <c r="C5" s="59"/>
      <c r="D5" s="59"/>
      <c r="E5" s="59"/>
      <c r="F5" s="59"/>
      <c r="G5" s="59"/>
      <c r="H5" s="60"/>
      <c r="I5" s="60"/>
      <c r="J5" s="60"/>
    </row>
    <row r="6" spans="1:13" ht="14.45" customHeight="1">
      <c r="A6" s="89" t="s">
        <v>14</v>
      </c>
      <c r="B6" s="339"/>
      <c r="C6" s="339"/>
      <c r="D6" s="615"/>
      <c r="E6" s="62"/>
      <c r="F6" s="62"/>
      <c r="G6" s="60"/>
      <c r="H6" s="60"/>
      <c r="I6" s="60"/>
      <c r="J6" s="60"/>
    </row>
    <row r="7" spans="1:13" ht="14.45" customHeight="1">
      <c r="A7" s="615"/>
      <c r="B7" s="60"/>
      <c r="C7" s="615"/>
      <c r="D7" s="60"/>
      <c r="E7" s="60"/>
      <c r="F7" s="60"/>
      <c r="G7" s="60"/>
      <c r="H7" s="60"/>
      <c r="I7" s="60"/>
      <c r="J7" s="60"/>
    </row>
    <row r="8" spans="1:13" ht="14.45" customHeight="1">
      <c r="A8" s="89" t="s">
        <v>757</v>
      </c>
      <c r="B8" s="785"/>
      <c r="C8" s="122"/>
      <c r="D8" s="730" t="s">
        <v>2</v>
      </c>
      <c r="E8" s="122"/>
      <c r="F8" s="785"/>
      <c r="G8" s="122"/>
      <c r="H8" s="60"/>
      <c r="I8" s="60"/>
      <c r="J8" s="60"/>
    </row>
    <row r="9" spans="1:13" ht="14.45" customHeight="1">
      <c r="A9" s="615"/>
      <c r="B9" s="60"/>
      <c r="C9" s="60"/>
      <c r="D9" s="60"/>
      <c r="E9" s="60"/>
      <c r="F9" s="60"/>
      <c r="G9" s="60"/>
      <c r="H9" s="60"/>
      <c r="I9" s="60"/>
      <c r="J9" s="60"/>
    </row>
    <row r="10" spans="1:13">
      <c r="A10" s="615"/>
      <c r="B10" s="337"/>
      <c r="C10" s="60"/>
      <c r="D10" s="59"/>
      <c r="E10" s="59"/>
      <c r="F10" s="334"/>
      <c r="G10" s="59"/>
      <c r="H10" s="98"/>
      <c r="I10" s="63"/>
      <c r="J10" s="60"/>
    </row>
    <row r="11" spans="1:13">
      <c r="A11" s="615"/>
      <c r="B11" s="60"/>
      <c r="C11" s="60"/>
      <c r="D11" s="60"/>
      <c r="E11" s="60"/>
      <c r="F11" s="60"/>
      <c r="G11" s="60"/>
      <c r="H11" s="41"/>
      <c r="I11" s="41"/>
      <c r="J11" s="60"/>
    </row>
    <row r="12" spans="1:13" ht="24.75">
      <c r="A12" s="615"/>
      <c r="B12" s="60"/>
      <c r="C12" s="737"/>
      <c r="D12" s="411" t="s">
        <v>758</v>
      </c>
      <c r="E12" s="787"/>
      <c r="F12" s="787"/>
      <c r="G12" s="787"/>
      <c r="H12" s="787"/>
      <c r="I12" s="787"/>
      <c r="J12" s="787"/>
      <c r="K12" s="787"/>
      <c r="L12" s="787"/>
      <c r="M12" s="787"/>
    </row>
    <row r="13" spans="1:13" ht="15.4">
      <c r="A13" s="615"/>
      <c r="B13" s="377"/>
      <c r="C13" s="341"/>
      <c r="D13" s="341"/>
      <c r="E13" s="341"/>
      <c r="F13" s="341"/>
      <c r="G13" s="341"/>
      <c r="H13" s="341"/>
      <c r="I13" s="341"/>
      <c r="J13" s="178"/>
    </row>
    <row r="14" spans="1:13">
      <c r="A14" s="615"/>
      <c r="B14" s="369"/>
      <c r="C14" s="332"/>
      <c r="D14" s="332"/>
      <c r="E14" s="332"/>
      <c r="F14" s="332"/>
      <c r="G14" s="332"/>
      <c r="H14" s="332"/>
      <c r="I14" s="332"/>
      <c r="J14" s="332"/>
    </row>
    <row r="15" spans="1:13">
      <c r="A15" s="615"/>
      <c r="B15" s="369"/>
      <c r="C15" s="332"/>
      <c r="D15" s="344"/>
      <c r="E15" s="178"/>
      <c r="F15" s="330"/>
      <c r="G15" s="97"/>
      <c r="H15" s="97"/>
      <c r="I15" s="66"/>
      <c r="J15" s="356"/>
    </row>
    <row r="16" spans="1:13">
      <c r="A16" s="615"/>
      <c r="B16" s="343"/>
      <c r="C16" s="343"/>
      <c r="D16" s="343"/>
      <c r="E16" s="360"/>
      <c r="F16" s="66"/>
      <c r="G16" s="361"/>
      <c r="H16" s="342"/>
      <c r="I16" s="345"/>
      <c r="J16" s="342"/>
    </row>
    <row r="17" spans="1:10">
      <c r="A17" s="615"/>
      <c r="B17" s="786" t="s">
        <v>4</v>
      </c>
      <c r="C17" s="26"/>
      <c r="D17" s="343"/>
      <c r="E17" s="360"/>
      <c r="F17" s="66"/>
      <c r="G17" s="361"/>
      <c r="H17" s="342"/>
      <c r="I17" s="345"/>
      <c r="J17" s="342"/>
    </row>
    <row r="18" spans="1:10">
      <c r="A18" s="615"/>
      <c r="B18" s="178"/>
      <c r="C18" s="178"/>
      <c r="D18" s="178"/>
      <c r="E18" s="341"/>
      <c r="F18" s="341"/>
      <c r="G18" s="388"/>
      <c r="H18" s="346"/>
      <c r="I18" s="347"/>
      <c r="J18" s="347"/>
    </row>
    <row r="19" spans="1:10">
      <c r="A19" s="615"/>
      <c r="B19" s="1316" t="s">
        <v>759</v>
      </c>
      <c r="C19" s="1316"/>
      <c r="D19" s="1316"/>
      <c r="E19" s="1316"/>
      <c r="F19" s="1316"/>
      <c r="G19" s="1316"/>
      <c r="H19" s="1316"/>
      <c r="I19" s="347"/>
      <c r="J19" s="348"/>
    </row>
    <row r="20" spans="1:10">
      <c r="A20" s="615"/>
      <c r="B20" s="178"/>
      <c r="C20" s="178"/>
      <c r="D20" s="178"/>
      <c r="E20" s="341"/>
      <c r="F20" s="366"/>
      <c r="G20" s="388"/>
      <c r="H20" s="346"/>
      <c r="I20" s="347"/>
      <c r="J20" s="179"/>
    </row>
    <row r="21" spans="1:10">
      <c r="A21" s="615"/>
      <c r="B21" s="178"/>
      <c r="C21" s="178"/>
      <c r="D21" s="178"/>
      <c r="E21" s="341"/>
      <c r="F21" s="366"/>
      <c r="G21" s="388"/>
      <c r="H21" s="398"/>
      <c r="I21" s="347"/>
      <c r="J21" s="179"/>
    </row>
    <row r="22" spans="1:10">
      <c r="A22" s="615"/>
      <c r="B22" s="178"/>
      <c r="C22" s="178"/>
      <c r="D22" s="178"/>
      <c r="E22" s="341"/>
      <c r="F22" s="350"/>
      <c r="G22" s="388"/>
      <c r="H22" s="346"/>
      <c r="I22" s="347"/>
      <c r="J22" s="349"/>
    </row>
    <row r="23" spans="1:10">
      <c r="A23" s="615"/>
      <c r="B23" s="1317"/>
      <c r="C23" s="1317"/>
      <c r="D23" s="1317"/>
      <c r="E23" s="1317"/>
      <c r="F23" s="1317"/>
      <c r="G23" s="388"/>
      <c r="H23" s="1" t="s">
        <v>760</v>
      </c>
      <c r="I23" s="347"/>
      <c r="J23" s="349"/>
    </row>
    <row r="24" spans="1:10">
      <c r="A24" s="615"/>
      <c r="B24" s="349"/>
      <c r="C24" s="349"/>
      <c r="D24" s="349"/>
      <c r="E24" s="179"/>
      <c r="F24" s="349"/>
      <c r="G24" s="383"/>
      <c r="H24" s="349"/>
      <c r="I24" s="353"/>
      <c r="J24" s="349"/>
    </row>
    <row r="25" spans="1:10">
      <c r="A25" s="615"/>
      <c r="B25" s="1318"/>
      <c r="C25" s="1318"/>
      <c r="D25" s="1318"/>
      <c r="E25" s="1318"/>
      <c r="F25" s="1318"/>
      <c r="G25" s="349"/>
      <c r="H25" s="1" t="s">
        <v>761</v>
      </c>
      <c r="I25" s="734"/>
      <c r="J25" s="349"/>
    </row>
    <row r="26" spans="1:10">
      <c r="A26" s="615"/>
      <c r="B26" s="179"/>
      <c r="C26" s="349"/>
      <c r="D26" s="349"/>
      <c r="E26" s="350"/>
      <c r="F26" s="383"/>
      <c r="G26" s="350"/>
      <c r="H26" s="349"/>
      <c r="I26" s="734"/>
      <c r="J26" s="179"/>
    </row>
    <row r="27" spans="1:10">
      <c r="A27" s="615"/>
      <c r="B27" s="1319"/>
      <c r="C27" s="1319"/>
      <c r="D27" s="1319"/>
      <c r="E27" s="1319"/>
      <c r="F27" s="1319"/>
      <c r="G27" s="350"/>
      <c r="H27" s="1" t="s">
        <v>762</v>
      </c>
      <c r="I27" s="734"/>
      <c r="J27" s="179"/>
    </row>
    <row r="28" spans="1:10">
      <c r="A28" s="615"/>
      <c r="B28" s="179"/>
      <c r="C28" s="349"/>
      <c r="D28" s="349"/>
      <c r="E28" s="350"/>
      <c r="F28" s="383"/>
      <c r="G28" s="350"/>
      <c r="H28" s="349"/>
      <c r="I28" s="734"/>
      <c r="J28" s="179"/>
    </row>
    <row r="29" spans="1:10">
      <c r="A29" s="615"/>
      <c r="B29" s="1319"/>
      <c r="C29" s="1319"/>
      <c r="D29" s="1319"/>
      <c r="E29" s="1319"/>
      <c r="F29" s="1319"/>
      <c r="G29" s="350"/>
      <c r="H29" s="786" t="s">
        <v>763</v>
      </c>
      <c r="I29" s="734"/>
      <c r="J29" s="179"/>
    </row>
    <row r="30" spans="1:10">
      <c r="A30" s="615"/>
      <c r="B30" s="179"/>
      <c r="C30" s="734"/>
      <c r="D30" s="349"/>
      <c r="E30" s="349"/>
      <c r="F30" s="349"/>
      <c r="G30" s="349"/>
      <c r="H30" s="349"/>
      <c r="I30" s="349"/>
      <c r="J30" s="349"/>
    </row>
    <row r="31" spans="1:10">
      <c r="A31" s="615"/>
      <c r="B31" s="178"/>
      <c r="C31" s="178"/>
      <c r="D31" s="178"/>
      <c r="E31" s="178"/>
      <c r="F31" s="343"/>
      <c r="G31" s="343"/>
      <c r="H31" s="343"/>
      <c r="I31" s="178"/>
      <c r="J31" s="178"/>
    </row>
    <row r="32" spans="1:10">
      <c r="A32" s="615"/>
      <c r="B32" s="1320" t="s">
        <v>764</v>
      </c>
      <c r="C32" s="1320"/>
      <c r="D32" s="1320"/>
      <c r="E32" s="1320"/>
      <c r="F32" s="1320"/>
      <c r="G32" s="1317"/>
      <c r="H32" s="1317"/>
      <c r="I32" s="1317"/>
      <c r="J32" s="178"/>
    </row>
    <row r="33" spans="1:17">
      <c r="A33" s="615"/>
      <c r="B33" s="178"/>
      <c r="C33" s="178"/>
      <c r="D33" s="178"/>
      <c r="E33" s="178"/>
      <c r="F33" s="179"/>
      <c r="G33" s="179"/>
      <c r="H33" s="1321" t="s">
        <v>765</v>
      </c>
      <c r="I33" s="1321"/>
      <c r="J33" s="1321"/>
    </row>
    <row r="34" spans="1:17">
      <c r="A34" s="615"/>
      <c r="B34" s="789" t="s">
        <v>766</v>
      </c>
      <c r="C34" s="789"/>
      <c r="D34" s="789"/>
      <c r="E34" s="789"/>
      <c r="F34" s="790"/>
      <c r="G34" s="179"/>
      <c r="H34" s="179"/>
      <c r="I34" s="178"/>
      <c r="J34" s="178"/>
    </row>
    <row r="35" spans="1:17">
      <c r="A35" s="615"/>
      <c r="B35" s="178"/>
      <c r="C35" s="178"/>
      <c r="D35" s="178"/>
      <c r="E35" s="178"/>
      <c r="F35" s="179"/>
      <c r="G35" s="179"/>
      <c r="H35" s="179"/>
      <c r="I35" s="178"/>
      <c r="J35" s="178"/>
    </row>
    <row r="36" spans="1:17">
      <c r="A36" s="615"/>
      <c r="B36" s="178"/>
      <c r="C36" s="178"/>
      <c r="D36" s="178"/>
      <c r="E36" s="178"/>
      <c r="F36" s="179"/>
      <c r="G36" s="179"/>
      <c r="H36" s="179"/>
      <c r="I36" s="178"/>
      <c r="J36" s="178"/>
    </row>
    <row r="37" spans="1:17">
      <c r="A37" s="615"/>
      <c r="B37" s="178"/>
      <c r="C37" s="178"/>
      <c r="D37" s="178"/>
      <c r="E37" s="178"/>
      <c r="F37" s="179"/>
      <c r="G37" s="179"/>
      <c r="H37" s="179"/>
      <c r="I37" s="178"/>
      <c r="J37" s="178"/>
    </row>
    <row r="38" spans="1:17" ht="15">
      <c r="A38" s="615"/>
      <c r="B38" s="178"/>
      <c r="C38" s="178"/>
      <c r="D38" s="332"/>
      <c r="E38" s="178"/>
      <c r="F38" s="178"/>
      <c r="G38" s="783"/>
      <c r="H38" s="783"/>
      <c r="I38" s="178"/>
      <c r="J38" s="178"/>
    </row>
    <row r="39" spans="1:17">
      <c r="A39" s="615"/>
      <c r="B39" s="178"/>
      <c r="C39" s="178"/>
      <c r="D39" s="178"/>
      <c r="E39" s="178"/>
      <c r="F39" s="178"/>
      <c r="G39" s="88" t="s">
        <v>767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spans="1:17">
      <c r="A40" s="615"/>
      <c r="B40" s="355"/>
      <c r="C40" s="356"/>
      <c r="D40" s="342"/>
      <c r="E40" s="179"/>
      <c r="F40" s="179"/>
      <c r="G40" s="179"/>
      <c r="H40" s="179"/>
      <c r="I40" s="178"/>
      <c r="J40" s="178"/>
    </row>
    <row r="41" spans="1:17">
      <c r="A41" s="615"/>
      <c r="B41" s="178"/>
      <c r="C41" s="178"/>
      <c r="D41" s="178"/>
      <c r="E41" s="357"/>
      <c r="F41" s="178"/>
      <c r="G41" s="293"/>
      <c r="H41" s="293"/>
      <c r="I41" s="178"/>
      <c r="J41" s="178"/>
    </row>
    <row r="42" spans="1:17">
      <c r="A42" s="615"/>
      <c r="B42" s="206"/>
      <c r="C42" s="178"/>
      <c r="D42" s="178"/>
      <c r="E42" s="1243"/>
      <c r="F42" s="1243"/>
      <c r="G42" s="1243"/>
      <c r="H42" s="1243"/>
      <c r="I42" s="1243"/>
      <c r="J42" s="178"/>
      <c r="K42" s="292"/>
    </row>
    <row r="43" spans="1:17">
      <c r="A43" s="97"/>
      <c r="B43" s="293"/>
      <c r="C43" s="293"/>
      <c r="D43" s="342"/>
      <c r="E43" s="342"/>
      <c r="F43" s="342"/>
      <c r="G43" s="791" t="s">
        <v>768</v>
      </c>
      <c r="H43" s="791"/>
      <c r="I43" s="791"/>
      <c r="J43" s="11"/>
      <c r="K43" s="11"/>
    </row>
    <row r="44" spans="1:17">
      <c r="A44" s="615"/>
      <c r="B44" s="206"/>
      <c r="C44" s="178"/>
      <c r="D44" s="178"/>
      <c r="E44" s="179"/>
      <c r="F44" s="179"/>
      <c r="G44" s="179"/>
      <c r="H44" s="179"/>
      <c r="I44" s="178"/>
      <c r="J44" s="178"/>
    </row>
    <row r="45" spans="1:17">
      <c r="A45" s="615"/>
      <c r="B45" s="293"/>
      <c r="C45" s="293"/>
      <c r="D45" s="178"/>
      <c r="E45" s="786" t="s">
        <v>288</v>
      </c>
      <c r="F45" s="296"/>
      <c r="G45" s="296"/>
      <c r="H45" s="296"/>
      <c r="I45" s="178"/>
      <c r="J45" s="178"/>
    </row>
    <row r="46" spans="1:17">
      <c r="A46" s="615"/>
      <c r="B46" s="332"/>
      <c r="C46" s="332"/>
      <c r="D46" s="332"/>
      <c r="E46" s="332"/>
      <c r="F46" s="332"/>
      <c r="G46" s="332"/>
      <c r="H46" s="332"/>
      <c r="I46" s="332"/>
      <c r="J46" s="332"/>
    </row>
    <row r="47" spans="1:17">
      <c r="A47" s="615"/>
      <c r="B47" s="726"/>
      <c r="C47" s="735"/>
      <c r="D47" s="401"/>
      <c r="E47" s="786" t="s">
        <v>769</v>
      </c>
      <c r="F47" s="235"/>
      <c r="G47" s="235"/>
      <c r="H47" s="235"/>
      <c r="I47" s="615"/>
      <c r="J47" s="615"/>
    </row>
    <row r="48" spans="1:17">
      <c r="A48" s="615"/>
      <c r="B48" s="615"/>
      <c r="C48" s="615"/>
      <c r="D48" s="615"/>
      <c r="E48" s="615"/>
      <c r="F48" s="615"/>
      <c r="G48" s="615"/>
      <c r="H48" s="615"/>
      <c r="I48" s="615"/>
      <c r="J48" s="615"/>
    </row>
    <row r="49" spans="1:10" ht="12" customHeight="1">
      <c r="A49" s="615"/>
      <c r="B49" s="615"/>
      <c r="C49" s="615"/>
      <c r="D49" s="615"/>
      <c r="E49" s="615"/>
      <c r="F49" s="615"/>
      <c r="G49" s="615"/>
      <c r="H49" s="615"/>
      <c r="I49" s="615"/>
      <c r="J49" s="615"/>
    </row>
    <row r="50" spans="1:10" ht="12" customHeight="1">
      <c r="A50" s="292"/>
      <c r="B50" s="615"/>
      <c r="C50" s="615"/>
      <c r="D50" s="615"/>
      <c r="E50" s="615"/>
      <c r="F50" s="615"/>
      <c r="G50" s="615"/>
      <c r="H50" s="615"/>
      <c r="I50" s="615"/>
      <c r="J50" s="615"/>
    </row>
    <row r="51" spans="1:10">
      <c r="A51" s="292"/>
      <c r="B51" s="781"/>
      <c r="C51" s="781"/>
      <c r="D51" s="781"/>
      <c r="E51" s="781"/>
      <c r="F51" s="781"/>
      <c r="G51" s="781"/>
      <c r="H51" s="781"/>
      <c r="I51" s="781"/>
      <c r="J51" s="781"/>
    </row>
    <row r="52" spans="1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0">
    <mergeCell ref="B52:J52"/>
    <mergeCell ref="B19:H19"/>
    <mergeCell ref="B23:F23"/>
    <mergeCell ref="B25:F25"/>
    <mergeCell ref="B27:F27"/>
    <mergeCell ref="B29:F29"/>
    <mergeCell ref="B32:F32"/>
    <mergeCell ref="G32:I32"/>
    <mergeCell ref="H33:J33"/>
    <mergeCell ref="E42:I42"/>
  </mergeCells>
  <conditionalFormatting sqref="D8">
    <cfRule type="cellIs" dxfId="0" priority="1" stopIfTrue="1" operator="equal">
      <formula>0</formula>
    </cfRule>
  </conditionalFormatting>
  <pageMargins left="0.57499999999999996" right="0.4" top="0.75" bottom="0.54166666666666663" header="0.3" footer="0.3"/>
  <pageSetup paperSize="9" orientation="portrait" horizont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2">
    <tabColor theme="8" tint="0.39997558519241921"/>
  </sheetPr>
  <dimension ref="B2:J54"/>
  <sheetViews>
    <sheetView view="pageBreakPreview" topLeftCell="A13" zoomScale="110" zoomScaleNormal="100" zoomScaleSheetLayoutView="110" workbookViewId="0">
      <selection activeCell="G45" sqref="G45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323" t="s">
        <v>85</v>
      </c>
      <c r="D10" s="1323"/>
      <c r="E10" s="1323"/>
      <c r="F10" s="1323"/>
      <c r="G10" s="1323"/>
      <c r="H10" s="1323"/>
      <c r="I10" s="60"/>
      <c r="J10" s="60"/>
    </row>
    <row r="11" spans="2:10">
      <c r="B11" s="60"/>
      <c r="C11" s="101"/>
      <c r="D11" s="101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25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128"/>
      <c r="C19" s="1324" t="s">
        <v>88</v>
      </c>
      <c r="D19" s="1324"/>
      <c r="E19" s="1324"/>
      <c r="F19" s="1324"/>
      <c r="G19" s="1324"/>
      <c r="H19" s="1324"/>
      <c r="I19" s="1324"/>
      <c r="J19" s="1324"/>
    </row>
    <row r="20" spans="2:10">
      <c r="B20" s="1323" t="s">
        <v>89</v>
      </c>
      <c r="C20" s="1323"/>
      <c r="D20" s="1323"/>
      <c r="E20" s="1323"/>
      <c r="F20" s="1323"/>
      <c r="G20" s="106"/>
      <c r="H20" s="106"/>
      <c r="I20" s="106"/>
      <c r="J20" s="106"/>
    </row>
    <row r="21" spans="2:10">
      <c r="B21" s="144" t="s">
        <v>90</v>
      </c>
      <c r="C21" s="144"/>
      <c r="D21" s="144"/>
      <c r="E21" s="144"/>
      <c r="F21" s="144"/>
      <c r="G21" s="144"/>
      <c r="H21" s="144"/>
      <c r="I21" s="144"/>
      <c r="J21" s="129"/>
    </row>
    <row r="22" spans="2:10">
      <c r="B22" s="99" t="s">
        <v>91</v>
      </c>
      <c r="C22" s="132"/>
      <c r="D22" s="133"/>
      <c r="E22" s="127"/>
      <c r="F22" s="131"/>
      <c r="G22" s="134"/>
      <c r="H22" s="129"/>
      <c r="I22" s="135"/>
      <c r="J22" s="129"/>
    </row>
    <row r="23" spans="2:10">
      <c r="B23" s="99" t="s">
        <v>92</v>
      </c>
      <c r="C23" s="127"/>
      <c r="D23" s="127"/>
      <c r="E23" s="109"/>
      <c r="F23" s="109"/>
      <c r="G23" s="109"/>
      <c r="H23" s="109"/>
      <c r="I23" s="136"/>
      <c r="J23" s="136"/>
    </row>
    <row r="24" spans="2:10">
      <c r="B24" s="99" t="s">
        <v>93</v>
      </c>
      <c r="C24" s="137"/>
      <c r="D24" s="137"/>
      <c r="E24" s="137"/>
      <c r="F24" s="137"/>
      <c r="G24" s="137"/>
      <c r="H24" s="137"/>
      <c r="I24" s="137"/>
      <c r="J24" s="137"/>
    </row>
    <row r="25" spans="2:10">
      <c r="B25" s="100" t="s">
        <v>94</v>
      </c>
      <c r="C25" s="139"/>
      <c r="D25" s="139"/>
      <c r="E25" s="139"/>
      <c r="F25" s="139"/>
      <c r="G25" s="139"/>
      <c r="H25" s="139"/>
      <c r="I25" s="139"/>
      <c r="J25" s="139"/>
    </row>
    <row r="26" spans="2:10">
      <c r="B26" s="138"/>
      <c r="C26" s="139"/>
      <c r="D26" s="139"/>
      <c r="E26" s="139"/>
      <c r="F26" s="139"/>
      <c r="G26" s="139"/>
      <c r="H26" s="139"/>
      <c r="I26" s="139"/>
      <c r="J26" s="139"/>
    </row>
    <row r="27" spans="2:10">
      <c r="B27" s="100" t="s">
        <v>95</v>
      </c>
      <c r="C27" s="140"/>
      <c r="D27" s="140"/>
      <c r="E27" s="140"/>
      <c r="F27" s="140"/>
      <c r="G27" s="141"/>
      <c r="H27" s="142"/>
      <c r="I27" s="140"/>
      <c r="J27" s="138"/>
    </row>
    <row r="28" spans="2:10">
      <c r="B28" s="99" t="s">
        <v>96</v>
      </c>
      <c r="C28" s="138"/>
      <c r="D28" s="141"/>
      <c r="E28" s="138"/>
      <c r="F28" s="138"/>
      <c r="G28" s="138"/>
      <c r="H28" s="140"/>
      <c r="I28" s="140"/>
      <c r="J28" s="138"/>
    </row>
    <row r="29" spans="2:10">
      <c r="B29" s="100" t="s">
        <v>97</v>
      </c>
      <c r="C29" s="138"/>
      <c r="D29" s="138"/>
      <c r="E29" s="138"/>
      <c r="F29" s="138"/>
      <c r="G29" s="138"/>
      <c r="H29" s="138"/>
      <c r="I29" s="143"/>
      <c r="J29" s="138"/>
    </row>
    <row r="30" spans="2:10">
      <c r="B30" s="138"/>
      <c r="C30" s="138"/>
      <c r="D30" s="138"/>
      <c r="E30" s="138"/>
      <c r="F30" s="138"/>
      <c r="G30" s="138"/>
      <c r="H30" s="138"/>
      <c r="I30" s="141"/>
      <c r="J30" s="138"/>
    </row>
    <row r="31" spans="2:10">
      <c r="B31" s="100" t="s">
        <v>99</v>
      </c>
      <c r="C31" s="138"/>
      <c r="D31" s="138"/>
      <c r="E31" s="138"/>
      <c r="F31" s="138"/>
      <c r="G31" s="138"/>
      <c r="H31" s="138"/>
      <c r="I31" s="138"/>
      <c r="J31" s="138"/>
    </row>
    <row r="32" spans="2:10">
      <c r="B32" s="138"/>
      <c r="C32" s="138"/>
      <c r="D32" s="138"/>
      <c r="E32" s="138"/>
      <c r="F32" s="138"/>
      <c r="G32" s="138"/>
      <c r="H32" s="138"/>
      <c r="I32" s="138"/>
      <c r="J32" s="138"/>
    </row>
    <row r="33" spans="2:10">
      <c r="B33" s="127"/>
      <c r="C33" s="127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0">
    <mergeCell ref="B9:H9"/>
    <mergeCell ref="C10:H10"/>
    <mergeCell ref="B52:J52"/>
    <mergeCell ref="C19:J19"/>
    <mergeCell ref="B20:F20"/>
    <mergeCell ref="B43:F43"/>
    <mergeCell ref="F34:G34"/>
    <mergeCell ref="F36:H36"/>
    <mergeCell ref="F37:H37"/>
    <mergeCell ref="B42:F42"/>
  </mergeCells>
  <pageMargins left="0.7" right="0.39166666666666666" top="0.75" bottom="0.75" header="0.3" footer="0.3"/>
  <pageSetup paperSize="9" orientation="portrait" horizont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9DEB-B784-4BD2-B774-58AAE35C96E2}">
  <sheetPr codeName="Лист23">
    <tabColor theme="8" tint="0.39997558519241921"/>
  </sheetPr>
  <dimension ref="B2:J54"/>
  <sheetViews>
    <sheetView view="pageBreakPreview" topLeftCell="A4" zoomScale="110" zoomScaleNormal="100" zoomScaleSheetLayoutView="110" workbookViewId="0">
      <selection activeCell="B43" sqref="B43:F43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5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118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1"/>
      <c r="D11" s="101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25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128"/>
      <c r="C19" s="1324" t="s">
        <v>103</v>
      </c>
      <c r="D19" s="1324"/>
      <c r="E19" s="1324"/>
      <c r="F19" s="1324"/>
      <c r="G19" s="1324"/>
      <c r="H19" s="1324"/>
      <c r="I19" s="1324"/>
      <c r="J19" s="1324"/>
    </row>
    <row r="20" spans="2:10">
      <c r="B20" s="100" t="s">
        <v>104</v>
      </c>
      <c r="C20" s="100"/>
      <c r="D20" s="100"/>
      <c r="E20" s="100"/>
      <c r="F20" s="100"/>
      <c r="G20" s="106"/>
      <c r="H20" s="106"/>
      <c r="I20" s="106"/>
      <c r="J20" s="106"/>
    </row>
    <row r="21" spans="2:10">
      <c r="B21" s="100" t="s">
        <v>105</v>
      </c>
      <c r="C21" s="144"/>
      <c r="D21" s="144"/>
      <c r="E21" s="144"/>
      <c r="F21" s="144"/>
      <c r="G21" s="144"/>
      <c r="H21" s="144"/>
      <c r="I21" s="144"/>
      <c r="J21" s="129"/>
    </row>
    <row r="22" spans="2:10">
      <c r="B22" s="99" t="s">
        <v>106</v>
      </c>
      <c r="C22" s="132"/>
      <c r="D22" s="133"/>
      <c r="E22" s="127"/>
      <c r="F22" s="131"/>
      <c r="G22" s="134"/>
      <c r="H22" s="129"/>
      <c r="I22" s="135"/>
      <c r="J22" s="129"/>
    </row>
    <row r="23" spans="2:10">
      <c r="B23" s="99" t="s">
        <v>107</v>
      </c>
      <c r="C23" s="127"/>
      <c r="D23" s="127"/>
      <c r="E23" s="109"/>
      <c r="F23" s="109"/>
      <c r="G23" s="109"/>
      <c r="H23" s="109"/>
      <c r="I23" s="136"/>
      <c r="J23" s="136"/>
    </row>
    <row r="24" spans="2:10">
      <c r="B24" s="99" t="s">
        <v>108</v>
      </c>
      <c r="C24" s="137"/>
      <c r="D24" s="137"/>
      <c r="E24" s="137"/>
      <c r="F24" s="137"/>
      <c r="G24" s="137"/>
      <c r="H24" s="137"/>
      <c r="I24" s="137"/>
      <c r="J24" s="137"/>
    </row>
    <row r="25" spans="2:10">
      <c r="B25" s="100"/>
      <c r="C25" s="139"/>
      <c r="D25" s="139"/>
      <c r="E25" s="139"/>
      <c r="F25" s="139"/>
      <c r="G25" s="139"/>
      <c r="H25" s="139"/>
      <c r="I25" s="139"/>
      <c r="J25" s="139"/>
    </row>
    <row r="26" spans="2:10">
      <c r="B26" s="138"/>
      <c r="C26" s="99" t="s">
        <v>109</v>
      </c>
      <c r="D26" s="139"/>
      <c r="E26" s="139"/>
      <c r="F26" s="139"/>
      <c r="G26" s="139"/>
      <c r="H26" s="139"/>
      <c r="I26" s="139"/>
      <c r="J26" s="139"/>
    </row>
    <row r="27" spans="2:10">
      <c r="B27" s="99" t="s">
        <v>110</v>
      </c>
      <c r="C27" s="140"/>
      <c r="D27" s="140"/>
      <c r="E27" s="140"/>
      <c r="F27" s="140"/>
      <c r="G27" s="141"/>
      <c r="H27" s="142"/>
      <c r="I27" s="140"/>
      <c r="J27" s="138"/>
    </row>
    <row r="28" spans="2:10">
      <c r="B28" s="100" t="s">
        <v>111</v>
      </c>
      <c r="C28" s="138"/>
      <c r="D28" s="141"/>
      <c r="E28" s="138"/>
      <c r="F28" s="138"/>
      <c r="G28" s="138"/>
      <c r="H28" s="140"/>
      <c r="I28" s="140"/>
      <c r="J28" s="138"/>
    </row>
    <row r="29" spans="2:10">
      <c r="B29" s="100"/>
      <c r="C29" s="99" t="s">
        <v>98</v>
      </c>
      <c r="D29" s="138"/>
      <c r="E29" s="138"/>
      <c r="F29" s="138"/>
      <c r="G29" s="138"/>
      <c r="H29" s="138"/>
      <c r="I29" s="143"/>
      <c r="J29" s="138"/>
    </row>
    <row r="30" spans="2:10">
      <c r="B30" s="138"/>
      <c r="C30" s="138"/>
      <c r="D30" s="138"/>
      <c r="E30" s="138"/>
      <c r="F30" s="138"/>
      <c r="G30" s="138"/>
      <c r="H30" s="138"/>
      <c r="I30" s="141"/>
      <c r="J30" s="138"/>
    </row>
    <row r="31" spans="2:10">
      <c r="B31" s="100"/>
      <c r="C31" s="138"/>
      <c r="D31" s="138"/>
      <c r="E31" s="138"/>
      <c r="F31" s="138"/>
      <c r="G31" s="138"/>
      <c r="H31" s="138"/>
      <c r="I31" s="138"/>
      <c r="J31" s="138"/>
    </row>
    <row r="32" spans="2:10">
      <c r="B32" s="138"/>
      <c r="C32" s="138"/>
      <c r="D32" s="138"/>
      <c r="E32" s="138"/>
      <c r="F32" s="138"/>
      <c r="G32" s="138"/>
      <c r="H32" s="138"/>
      <c r="I32" s="138"/>
      <c r="J32" s="138"/>
    </row>
    <row r="33" spans="2:10">
      <c r="B33" s="127"/>
      <c r="C33" s="127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8">
    <mergeCell ref="F37:H37"/>
    <mergeCell ref="B42:F42"/>
    <mergeCell ref="B43:F43"/>
    <mergeCell ref="B52:J52"/>
    <mergeCell ref="B9:H9"/>
    <mergeCell ref="C19:J19"/>
    <mergeCell ref="F34:G34"/>
    <mergeCell ref="F36:H36"/>
  </mergeCells>
  <pageMargins left="0.7" right="0.7" top="0.75" bottom="0.75" header="0.3" footer="0.3"/>
  <pageSetup paperSize="9" orientation="portrait" horizont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52BE-2EC5-4D01-BC66-49F2F69E23AF}">
  <sheetPr codeName="Лист24">
    <tabColor theme="8" tint="0.39997558519241921"/>
  </sheetPr>
  <dimension ref="B2:J54"/>
  <sheetViews>
    <sheetView view="pageBreakPreview" topLeftCell="A9" zoomScale="110" zoomScaleNormal="100" zoomScaleSheetLayoutView="110" workbookViewId="0">
      <selection activeCell="B43" sqref="B43:F43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119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1"/>
      <c r="D11" s="101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25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128"/>
      <c r="C19" s="1324" t="s">
        <v>112</v>
      </c>
      <c r="D19" s="1324"/>
      <c r="E19" s="1324"/>
      <c r="F19" s="1324"/>
      <c r="G19" s="1324"/>
      <c r="H19" s="1324"/>
      <c r="I19" s="1324"/>
      <c r="J19" s="1324"/>
    </row>
    <row r="20" spans="2:10">
      <c r="B20" s="100" t="s">
        <v>113</v>
      </c>
      <c r="C20" s="100"/>
      <c r="D20" s="100"/>
      <c r="E20" s="100"/>
      <c r="F20" s="100"/>
      <c r="G20" s="106"/>
      <c r="H20" s="106"/>
      <c r="I20" s="106"/>
      <c r="J20" s="106"/>
    </row>
    <row r="21" spans="2:10">
      <c r="B21" s="100" t="s">
        <v>114</v>
      </c>
      <c r="C21" s="144"/>
      <c r="D21" s="144"/>
      <c r="E21" s="144"/>
      <c r="F21" s="144"/>
      <c r="G21" s="144"/>
      <c r="H21" s="144"/>
      <c r="I21" s="144"/>
      <c r="J21" s="129"/>
    </row>
    <row r="22" spans="2:10">
      <c r="B22" s="99" t="s">
        <v>115</v>
      </c>
      <c r="C22" s="132"/>
      <c r="D22" s="133"/>
      <c r="E22" s="127"/>
      <c r="F22" s="131"/>
      <c r="G22" s="134"/>
      <c r="H22" s="129"/>
      <c r="I22" s="135"/>
      <c r="J22" s="129"/>
    </row>
    <row r="23" spans="2:10">
      <c r="B23" s="99"/>
      <c r="C23" s="127"/>
      <c r="D23" s="127"/>
      <c r="E23" s="109"/>
      <c r="F23" s="109"/>
      <c r="G23" s="109"/>
      <c r="H23" s="109"/>
      <c r="I23" s="136"/>
      <c r="J23" s="136"/>
    </row>
    <row r="24" spans="2:10">
      <c r="B24" s="99"/>
      <c r="C24" s="99" t="s">
        <v>116</v>
      </c>
      <c r="D24" s="137"/>
      <c r="E24" s="137"/>
      <c r="F24" s="137"/>
      <c r="G24" s="137"/>
      <c r="H24" s="137"/>
      <c r="I24" s="137"/>
      <c r="J24" s="137"/>
    </row>
    <row r="25" spans="2:10">
      <c r="B25" s="100" t="s">
        <v>117</v>
      </c>
      <c r="C25" s="139"/>
      <c r="D25" s="139"/>
      <c r="E25" s="139"/>
      <c r="F25" s="139"/>
      <c r="G25" s="139"/>
      <c r="H25" s="139"/>
      <c r="I25" s="139"/>
      <c r="J25" s="139"/>
    </row>
    <row r="26" spans="2:10">
      <c r="B26" s="138"/>
      <c r="C26" s="99"/>
      <c r="D26" s="139"/>
      <c r="E26" s="139"/>
      <c r="F26" s="139"/>
      <c r="G26" s="139"/>
      <c r="H26" s="139"/>
      <c r="I26" s="139"/>
      <c r="J26" s="139"/>
    </row>
    <row r="27" spans="2:10">
      <c r="B27" s="99"/>
      <c r="C27" s="99" t="s">
        <v>109</v>
      </c>
      <c r="D27" s="140"/>
      <c r="E27" s="140"/>
      <c r="F27" s="140"/>
      <c r="G27" s="141"/>
      <c r="H27" s="142"/>
      <c r="I27" s="140"/>
      <c r="J27" s="138"/>
    </row>
    <row r="28" spans="2:10">
      <c r="B28" s="99" t="s">
        <v>110</v>
      </c>
      <c r="C28" s="138"/>
      <c r="D28" s="141"/>
      <c r="E28" s="138"/>
      <c r="F28" s="138"/>
      <c r="G28" s="138"/>
      <c r="H28" s="140"/>
      <c r="I28" s="140"/>
      <c r="J28" s="138"/>
    </row>
    <row r="29" spans="2:10">
      <c r="B29" s="100" t="s">
        <v>111</v>
      </c>
      <c r="C29" s="99"/>
      <c r="D29" s="138"/>
      <c r="E29" s="138"/>
      <c r="F29" s="138"/>
      <c r="G29" s="138"/>
      <c r="H29" s="138"/>
      <c r="I29" s="143"/>
      <c r="J29" s="138"/>
    </row>
    <row r="30" spans="2:10">
      <c r="B30" s="138"/>
      <c r="C30" s="99" t="s">
        <v>98</v>
      </c>
      <c r="D30" s="138"/>
      <c r="E30" s="138"/>
      <c r="F30" s="138"/>
      <c r="G30" s="138"/>
      <c r="H30" s="138"/>
      <c r="I30" s="141"/>
      <c r="J30" s="138"/>
    </row>
    <row r="31" spans="2:10">
      <c r="B31" s="100"/>
      <c r="C31" s="138"/>
      <c r="D31" s="138"/>
      <c r="E31" s="138"/>
      <c r="F31" s="138"/>
      <c r="G31" s="138"/>
      <c r="H31" s="138"/>
      <c r="I31" s="138"/>
      <c r="J31" s="138"/>
    </row>
    <row r="32" spans="2:10">
      <c r="B32" s="138"/>
      <c r="C32" s="138"/>
      <c r="D32" s="138"/>
      <c r="E32" s="138"/>
      <c r="F32" s="138"/>
      <c r="G32" s="138"/>
      <c r="H32" s="138"/>
      <c r="I32" s="138"/>
      <c r="J32" s="138"/>
    </row>
    <row r="33" spans="2:10">
      <c r="B33" s="127"/>
      <c r="C33" s="127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8">
    <mergeCell ref="B43:F43"/>
    <mergeCell ref="B52:J52"/>
    <mergeCell ref="B9:H9"/>
    <mergeCell ref="C19:J19"/>
    <mergeCell ref="F34:G34"/>
    <mergeCell ref="F36:H36"/>
    <mergeCell ref="F37:H37"/>
    <mergeCell ref="B42:F42"/>
  </mergeCells>
  <pageMargins left="0.7" right="0.46666666666666667" top="0.75" bottom="0.75" header="0.3" footer="0.3"/>
  <pageSetup paperSize="9" orientation="portrait" horizont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A52B-34EB-4177-8DD2-8872864E6898}">
  <sheetPr codeName="Лист25">
    <tabColor theme="8" tint="0.39997558519241921"/>
  </sheetPr>
  <dimension ref="B2:J54"/>
  <sheetViews>
    <sheetView view="pageBreakPreview" topLeftCell="A18" zoomScale="110" zoomScaleNormal="100" zoomScaleSheetLayoutView="110" workbookViewId="0">
      <selection activeCell="B43" sqref="B43:F43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">
      <c r="B9" s="1328" t="s">
        <v>120</v>
      </c>
      <c r="C9" s="1328"/>
      <c r="D9" s="1328"/>
      <c r="E9" s="1328"/>
      <c r="F9" s="1328"/>
      <c r="G9" s="1328"/>
      <c r="H9" s="1328"/>
      <c r="I9" s="60"/>
      <c r="J9" s="60"/>
    </row>
    <row r="10" spans="2:10">
      <c r="B10" s="60"/>
      <c r="C10" s="101"/>
      <c r="D10" s="101"/>
      <c r="E10" s="101"/>
      <c r="F10" s="101"/>
      <c r="G10" s="101"/>
      <c r="H10" s="101"/>
      <c r="I10" s="60"/>
      <c r="J10" s="60"/>
    </row>
    <row r="11" spans="2:10">
      <c r="B11" s="60"/>
      <c r="C11" s="100"/>
      <c r="D11" s="60"/>
      <c r="E11" s="60"/>
      <c r="F11" s="60"/>
      <c r="G11" s="60"/>
      <c r="H11" s="60"/>
      <c r="I11" s="60"/>
      <c r="J11" s="60"/>
    </row>
    <row r="12" spans="2:10">
      <c r="B12" s="124" t="s">
        <v>86</v>
      </c>
      <c r="C12" s="122"/>
      <c r="D12" s="122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3"/>
      <c r="E13" s="59"/>
      <c r="F13" s="59"/>
      <c r="G13" s="59"/>
      <c r="H13" s="98"/>
      <c r="I13" s="63"/>
      <c r="J13" s="60"/>
    </row>
    <row r="14" spans="2:10" ht="15" customHeight="1">
      <c r="B14" s="60" t="s">
        <v>16</v>
      </c>
      <c r="C14" s="60"/>
      <c r="D14" s="60"/>
      <c r="E14" s="60"/>
      <c r="F14" s="60"/>
      <c r="G14" s="60"/>
      <c r="H14" s="41"/>
      <c r="I14" s="41"/>
      <c r="J14" s="60"/>
    </row>
    <row r="15" spans="2:10" ht="15" customHeight="1">
      <c r="B15" s="60"/>
      <c r="C15" s="60"/>
      <c r="D15" s="60"/>
      <c r="E15" s="60"/>
      <c r="F15" s="60"/>
      <c r="G15" s="60"/>
      <c r="H15" s="41"/>
      <c r="I15" s="41"/>
      <c r="J15" s="60"/>
    </row>
    <row r="16" spans="2:10">
      <c r="B16" s="63"/>
      <c r="C16" s="95"/>
      <c r="D16" s="63"/>
      <c r="E16" s="63"/>
      <c r="F16" s="63"/>
      <c r="G16" s="63"/>
      <c r="H16" s="63"/>
      <c r="I16" s="63"/>
      <c r="J16" s="41"/>
    </row>
    <row r="17" spans="2:10">
      <c r="B17" s="125" t="s">
        <v>87</v>
      </c>
      <c r="C17" s="126"/>
      <c r="D17" s="106"/>
      <c r="E17" s="106"/>
      <c r="F17" s="127"/>
      <c r="G17" s="127"/>
      <c r="H17" s="127"/>
      <c r="I17" s="127"/>
      <c r="J17" s="127"/>
    </row>
    <row r="18" spans="2:10">
      <c r="B18" s="128"/>
      <c r="C18" s="1324" t="s">
        <v>121</v>
      </c>
      <c r="D18" s="1324"/>
      <c r="E18" s="1324"/>
      <c r="F18" s="1324"/>
      <c r="G18" s="1324"/>
      <c r="H18" s="1324"/>
      <c r="I18" s="1324"/>
      <c r="J18" s="1324"/>
    </row>
    <row r="19" spans="2:10">
      <c r="B19" s="100" t="s">
        <v>122</v>
      </c>
      <c r="C19" s="100"/>
      <c r="D19" s="100"/>
      <c r="E19" s="100"/>
      <c r="F19" s="100"/>
      <c r="G19" s="106"/>
      <c r="H19" s="106"/>
      <c r="I19" s="106"/>
      <c r="J19" s="106"/>
    </row>
    <row r="20" spans="2:10">
      <c r="B20" s="100" t="s">
        <v>123</v>
      </c>
      <c r="C20" s="144"/>
      <c r="D20" s="144"/>
      <c r="E20" s="144"/>
      <c r="F20" s="144"/>
      <c r="G20" s="144"/>
      <c r="H20" s="144"/>
      <c r="I20" s="144"/>
      <c r="J20" s="129"/>
    </row>
    <row r="21" spans="2:10">
      <c r="B21" s="99"/>
      <c r="C21" s="132"/>
      <c r="D21" s="133"/>
      <c r="E21" s="127"/>
      <c r="F21" s="131"/>
      <c r="G21" s="134"/>
      <c r="H21" s="129"/>
      <c r="I21" s="135"/>
      <c r="J21" s="129"/>
    </row>
    <row r="22" spans="2:10">
      <c r="B22" s="99"/>
      <c r="C22" s="147" t="s">
        <v>124</v>
      </c>
      <c r="D22" s="127"/>
      <c r="E22" s="109"/>
      <c r="F22" s="109"/>
      <c r="G22" s="109"/>
      <c r="H22" s="109"/>
      <c r="I22" s="136"/>
      <c r="J22" s="136"/>
    </row>
    <row r="23" spans="2:10">
      <c r="B23" s="99"/>
      <c r="C23" s="99"/>
      <c r="D23" s="137"/>
      <c r="E23" s="137"/>
      <c r="F23" s="137"/>
      <c r="G23" s="137"/>
      <c r="H23" s="137"/>
      <c r="I23" s="137"/>
      <c r="J23" s="137"/>
    </row>
    <row r="24" spans="2:10" ht="15.4">
      <c r="B24" s="148" t="s">
        <v>126</v>
      </c>
      <c r="C24" s="99" t="s">
        <v>125</v>
      </c>
      <c r="D24" s="139"/>
      <c r="E24" s="139"/>
      <c r="F24" s="139"/>
      <c r="G24" s="139"/>
      <c r="H24" s="149"/>
      <c r="I24" s="149"/>
      <c r="J24" s="139"/>
    </row>
    <row r="25" spans="2:10" ht="15.4">
      <c r="B25" s="148" t="s">
        <v>126</v>
      </c>
      <c r="C25" s="99" t="s">
        <v>127</v>
      </c>
      <c r="D25" s="139"/>
      <c r="E25" s="139"/>
      <c r="F25" s="139"/>
      <c r="G25" s="139"/>
      <c r="H25" s="150"/>
      <c r="I25" s="150"/>
      <c r="J25" s="139"/>
    </row>
    <row r="26" spans="2:10" ht="15.4">
      <c r="B26" s="148" t="s">
        <v>126</v>
      </c>
      <c r="C26" s="99" t="s">
        <v>128</v>
      </c>
      <c r="D26" s="140"/>
      <c r="E26" s="140"/>
      <c r="F26" s="140"/>
      <c r="G26" s="141"/>
      <c r="H26" s="151"/>
      <c r="I26" s="152"/>
      <c r="J26" s="138"/>
    </row>
    <row r="27" spans="2:10" ht="15.4">
      <c r="B27" s="148" t="s">
        <v>126</v>
      </c>
      <c r="C27" s="99" t="s">
        <v>129</v>
      </c>
      <c r="D27" s="141"/>
      <c r="E27" s="138"/>
      <c r="F27" s="138"/>
      <c r="G27" s="138"/>
      <c r="H27" s="152"/>
      <c r="I27" s="152"/>
      <c r="J27" s="138"/>
    </row>
    <row r="28" spans="2:10" ht="15.4">
      <c r="B28" s="148" t="s">
        <v>126</v>
      </c>
      <c r="C28" s="99" t="s">
        <v>130</v>
      </c>
      <c r="D28" s="138"/>
      <c r="E28" s="138"/>
      <c r="F28" s="138"/>
      <c r="G28" s="138"/>
      <c r="H28" s="153"/>
      <c r="I28" s="154"/>
      <c r="J28" s="138"/>
    </row>
    <row r="29" spans="2:10">
      <c r="B29" s="138"/>
      <c r="C29" s="99" t="s">
        <v>131</v>
      </c>
      <c r="D29" s="138"/>
      <c r="E29" s="138"/>
      <c r="F29" s="138"/>
      <c r="G29" s="138"/>
      <c r="H29" s="138"/>
      <c r="I29" s="141"/>
      <c r="J29" s="138"/>
    </row>
    <row r="30" spans="2:10">
      <c r="B30" s="99" t="s">
        <v>132</v>
      </c>
      <c r="C30" s="138"/>
      <c r="D30" s="138"/>
      <c r="E30" s="138"/>
      <c r="F30" s="138"/>
      <c r="G30" s="138"/>
      <c r="H30" s="138"/>
      <c r="I30" s="138"/>
      <c r="J30" s="138"/>
    </row>
    <row r="31" spans="2:10">
      <c r="B31" s="100" t="s">
        <v>133</v>
      </c>
      <c r="C31" s="138"/>
      <c r="D31" s="138"/>
      <c r="E31" s="138"/>
      <c r="F31" s="138"/>
      <c r="G31" s="138"/>
      <c r="H31" s="138"/>
      <c r="I31" s="138"/>
      <c r="J31" s="138"/>
    </row>
    <row r="32" spans="2:10">
      <c r="B32" s="127"/>
      <c r="C32" s="99" t="s">
        <v>98</v>
      </c>
      <c r="D32" s="127"/>
      <c r="E32" s="127"/>
      <c r="F32" s="130"/>
      <c r="G32" s="130"/>
      <c r="H32" s="130"/>
      <c r="I32" s="127"/>
      <c r="J32" s="127"/>
    </row>
    <row r="33" spans="2:10">
      <c r="B33" s="127"/>
      <c r="C33" s="99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8">
    <mergeCell ref="B42:F42"/>
    <mergeCell ref="B43:F43"/>
    <mergeCell ref="B52:J52"/>
    <mergeCell ref="B9:H9"/>
    <mergeCell ref="C18:J18"/>
    <mergeCell ref="F34:G34"/>
    <mergeCell ref="F36:H36"/>
    <mergeCell ref="F37:H37"/>
  </mergeCells>
  <pageMargins left="0.7" right="0.46666666666666667" top="0.75" bottom="0.75" header="0.3" footer="0.3"/>
  <pageSetup paperSize="9" orientation="portrait" horizont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0613-1933-4F38-B527-B7C1AAFF4174}">
  <sheetPr codeName="Лист26">
    <tabColor theme="8" tint="0.39997558519241921"/>
  </sheetPr>
  <dimension ref="B2:J54"/>
  <sheetViews>
    <sheetView view="pageBreakPreview" topLeftCell="A13" zoomScale="110" zoomScaleNormal="100" zoomScaleSheetLayoutView="110" workbookViewId="0">
      <selection activeCell="D33" sqref="D33"/>
    </sheetView>
  </sheetViews>
  <sheetFormatPr defaultRowHeight="14.25"/>
  <cols>
    <col min="1" max="1" width="2.796875" customWidth="1"/>
    <col min="2" max="2" width="10.6640625" customWidth="1"/>
    <col min="6" max="6" width="12.796875" customWidth="1"/>
    <col min="10" max="10" width="8.1992187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134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0" t="s">
        <v>135</v>
      </c>
      <c r="D11" s="101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25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128"/>
      <c r="C19" s="1324" t="s">
        <v>136</v>
      </c>
      <c r="D19" s="1324"/>
      <c r="E19" s="1324"/>
      <c r="F19" s="1324"/>
      <c r="G19" s="1324"/>
      <c r="H19" s="1324"/>
      <c r="I19" s="1324"/>
      <c r="J19" s="1324"/>
    </row>
    <row r="20" spans="2:10">
      <c r="B20" s="100" t="s">
        <v>137</v>
      </c>
      <c r="C20" s="100"/>
      <c r="D20" s="100"/>
      <c r="E20" s="100"/>
      <c r="F20" s="100"/>
      <c r="G20" s="106"/>
      <c r="H20" s="106"/>
      <c r="I20" s="106"/>
      <c r="J20" s="106"/>
    </row>
    <row r="21" spans="2:10">
      <c r="B21" s="100" t="s">
        <v>138</v>
      </c>
      <c r="C21" s="144"/>
      <c r="D21" s="144"/>
      <c r="E21" s="144"/>
      <c r="F21" s="144"/>
      <c r="G21" s="144"/>
      <c r="H21" s="144"/>
      <c r="I21" s="144"/>
      <c r="J21" s="129"/>
    </row>
    <row r="22" spans="2:10">
      <c r="B22" s="155" t="s">
        <v>126</v>
      </c>
      <c r="C22" s="103" t="s">
        <v>139</v>
      </c>
      <c r="D22" s="133"/>
      <c r="E22" s="127"/>
      <c r="F22" s="131"/>
      <c r="G22" s="134"/>
      <c r="H22" s="129"/>
      <c r="I22" s="135"/>
      <c r="J22" s="129"/>
    </row>
    <row r="23" spans="2:10">
      <c r="B23" s="155"/>
      <c r="C23" s="103" t="s">
        <v>140</v>
      </c>
      <c r="D23" s="127"/>
      <c r="E23" s="109"/>
      <c r="F23" s="109"/>
      <c r="G23" s="109"/>
      <c r="H23" s="109"/>
      <c r="I23" s="136"/>
      <c r="J23" s="136"/>
    </row>
    <row r="24" spans="2:10">
      <c r="B24" s="155" t="s">
        <v>126</v>
      </c>
      <c r="C24" s="125" t="s">
        <v>141</v>
      </c>
      <c r="D24" s="137"/>
      <c r="E24" s="137"/>
      <c r="F24" s="137"/>
      <c r="G24" s="137"/>
      <c r="H24" s="137"/>
      <c r="I24" s="137"/>
      <c r="J24" s="137"/>
    </row>
    <row r="25" spans="2:10">
      <c r="B25" s="155" t="s">
        <v>126</v>
      </c>
      <c r="C25" s="125" t="s">
        <v>142</v>
      </c>
      <c r="D25" s="139"/>
      <c r="E25" s="139"/>
      <c r="F25" s="139"/>
      <c r="G25" s="139"/>
      <c r="H25" s="139"/>
      <c r="I25" s="139"/>
      <c r="J25" s="139"/>
    </row>
    <row r="26" spans="2:10">
      <c r="B26" s="155" t="s">
        <v>126</v>
      </c>
      <c r="C26" s="100" t="s">
        <v>143</v>
      </c>
      <c r="D26" s="139"/>
      <c r="E26" s="139"/>
      <c r="F26" s="139"/>
      <c r="G26" s="139"/>
      <c r="H26" s="139"/>
      <c r="I26" s="139"/>
      <c r="J26" s="139"/>
    </row>
    <row r="27" spans="2:10">
      <c r="B27" s="99"/>
      <c r="C27" s="99"/>
      <c r="D27" s="140"/>
      <c r="E27" s="140"/>
      <c r="F27" s="140"/>
      <c r="G27" s="141"/>
      <c r="H27" s="142"/>
      <c r="I27" s="140"/>
      <c r="J27" s="138"/>
    </row>
    <row r="28" spans="2:10">
      <c r="B28" s="99"/>
      <c r="C28" s="100" t="s">
        <v>144</v>
      </c>
      <c r="D28" s="141"/>
      <c r="E28" s="138"/>
      <c r="F28" s="138"/>
      <c r="G28" s="138"/>
      <c r="H28" s="140"/>
      <c r="I28" s="140"/>
      <c r="J28" s="138"/>
    </row>
    <row r="29" spans="2:10">
      <c r="B29" s="100" t="s">
        <v>145</v>
      </c>
      <c r="C29" s="99"/>
      <c r="D29" s="138"/>
      <c r="E29" s="138"/>
      <c r="F29" s="138"/>
      <c r="G29" s="138"/>
      <c r="H29" s="138"/>
      <c r="I29" s="143"/>
      <c r="J29" s="138"/>
    </row>
    <row r="30" spans="2:10">
      <c r="B30" s="138"/>
      <c r="C30" s="156" t="s">
        <v>146</v>
      </c>
      <c r="D30" s="138"/>
      <c r="E30" s="138"/>
      <c r="F30" s="138"/>
      <c r="G30" s="138"/>
      <c r="H30" s="138"/>
      <c r="I30" s="141"/>
      <c r="J30" s="138"/>
    </row>
    <row r="31" spans="2:10">
      <c r="B31" s="99" t="s">
        <v>147</v>
      </c>
      <c r="C31" s="138"/>
      <c r="D31" s="138"/>
      <c r="E31" s="138"/>
      <c r="F31" s="138"/>
      <c r="G31" s="138"/>
      <c r="H31" s="138"/>
      <c r="I31" s="138"/>
      <c r="J31" s="138"/>
    </row>
    <row r="32" spans="2:10">
      <c r="B32" s="138"/>
      <c r="C32" s="100" t="s">
        <v>148</v>
      </c>
      <c r="D32" s="138"/>
      <c r="E32" s="138"/>
      <c r="F32" s="138"/>
      <c r="G32" s="138"/>
      <c r="H32" s="138"/>
      <c r="I32" s="138"/>
      <c r="J32" s="138"/>
    </row>
    <row r="33" spans="2:10">
      <c r="B33" s="127"/>
      <c r="C33" s="100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8">
    <mergeCell ref="B43:F43"/>
    <mergeCell ref="B52:J52"/>
    <mergeCell ref="B9:H9"/>
    <mergeCell ref="C19:J19"/>
    <mergeCell ref="F34:G34"/>
    <mergeCell ref="F36:H36"/>
    <mergeCell ref="F37:H37"/>
    <mergeCell ref="B42:F42"/>
  </mergeCells>
  <pageMargins left="0.7" right="0.41666666666666669" top="0.75" bottom="0.75" header="0.3" footer="0.3"/>
  <pageSetup paperSize="9" orientation="portrait" horizont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497E-D855-40B4-A0FF-8719863BA9FF}">
  <sheetPr codeName="Лист27">
    <tabColor theme="8" tint="0.39997558519241921"/>
  </sheetPr>
  <dimension ref="B2:J54"/>
  <sheetViews>
    <sheetView view="pageBreakPreview" topLeftCell="A9" zoomScale="110" zoomScaleNormal="100" zoomScaleSheetLayoutView="110" workbookViewId="0">
      <selection activeCell="C34" sqref="C34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149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1"/>
      <c r="D11" s="101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25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38"/>
      <c r="C19" s="1324" t="s">
        <v>150</v>
      </c>
      <c r="D19" s="1324"/>
      <c r="E19" s="1324"/>
      <c r="F19" s="1324"/>
      <c r="G19" s="1324"/>
      <c r="H19" s="1324"/>
      <c r="I19" s="1324"/>
      <c r="J19" s="1324"/>
    </row>
    <row r="20" spans="2:10">
      <c r="B20" s="100" t="s">
        <v>151</v>
      </c>
      <c r="C20" s="100"/>
      <c r="D20" s="100"/>
      <c r="E20" s="100"/>
      <c r="F20" s="100"/>
      <c r="G20" s="60"/>
      <c r="H20" s="60"/>
      <c r="I20" s="60"/>
      <c r="J20" s="60"/>
    </row>
    <row r="21" spans="2:10">
      <c r="B21" s="100" t="s">
        <v>152</v>
      </c>
      <c r="C21" s="144"/>
      <c r="D21" s="144"/>
      <c r="E21" s="144"/>
      <c r="F21" s="144"/>
      <c r="G21" s="144"/>
      <c r="H21" s="144"/>
      <c r="I21" s="144"/>
      <c r="J21" s="91"/>
    </row>
    <row r="22" spans="2:10">
      <c r="B22" s="99"/>
      <c r="C22" s="47"/>
      <c r="D22" s="67"/>
      <c r="E22" s="41"/>
      <c r="F22" s="157"/>
      <c r="G22" s="158"/>
      <c r="H22" s="91"/>
      <c r="I22" s="69"/>
      <c r="J22" s="91"/>
    </row>
    <row r="23" spans="2:10">
      <c r="B23" s="99"/>
      <c r="C23" s="99" t="s">
        <v>153</v>
      </c>
      <c r="D23" s="41"/>
      <c r="E23" s="70"/>
      <c r="F23" s="70"/>
      <c r="G23" s="70"/>
      <c r="H23" s="70"/>
      <c r="I23" s="71"/>
      <c r="J23" s="71"/>
    </row>
    <row r="24" spans="2:10">
      <c r="B24" s="100" t="s">
        <v>154</v>
      </c>
      <c r="C24" s="99"/>
      <c r="D24" s="72"/>
      <c r="E24" s="72"/>
      <c r="F24" s="72"/>
      <c r="G24" s="72"/>
      <c r="H24" s="72"/>
      <c r="I24" s="72"/>
      <c r="J24" s="72"/>
    </row>
    <row r="25" spans="2:10">
      <c r="B25" s="100" t="s">
        <v>155</v>
      </c>
      <c r="C25" s="59"/>
      <c r="D25" s="59"/>
      <c r="E25" s="59"/>
      <c r="F25" s="59"/>
      <c r="G25" s="59"/>
      <c r="H25" s="59"/>
      <c r="I25" s="59"/>
      <c r="J25" s="59"/>
    </row>
    <row r="26" spans="2:10">
      <c r="B26" s="100"/>
      <c r="C26" s="99"/>
      <c r="D26" s="59"/>
      <c r="E26" s="59"/>
      <c r="F26" s="59"/>
      <c r="G26" s="59"/>
      <c r="H26" s="59"/>
      <c r="I26" s="59"/>
      <c r="J26" s="59"/>
    </row>
    <row r="27" spans="2:10">
      <c r="B27" s="99"/>
      <c r="C27" s="99" t="s">
        <v>109</v>
      </c>
      <c r="D27" s="120"/>
      <c r="E27" s="120"/>
      <c r="F27" s="120"/>
      <c r="G27" s="73"/>
      <c r="H27" s="121"/>
      <c r="I27" s="120"/>
      <c r="J27" s="35"/>
    </row>
    <row r="28" spans="2:10">
      <c r="B28" s="99" t="s">
        <v>156</v>
      </c>
      <c r="C28" s="35"/>
      <c r="D28" s="73"/>
      <c r="E28" s="35"/>
      <c r="F28" s="35"/>
      <c r="G28" s="35"/>
      <c r="H28" s="120"/>
      <c r="I28" s="120"/>
      <c r="J28" s="35"/>
    </row>
    <row r="29" spans="2:10">
      <c r="B29" s="100" t="s">
        <v>157</v>
      </c>
      <c r="C29" s="99"/>
      <c r="D29" s="35"/>
      <c r="E29" s="35"/>
      <c r="F29" s="35"/>
      <c r="G29" s="35"/>
      <c r="H29" s="35"/>
      <c r="I29" s="96"/>
      <c r="J29" s="35"/>
    </row>
    <row r="30" spans="2:10">
      <c r="B30" s="35"/>
      <c r="C30" s="99"/>
      <c r="D30" s="35"/>
      <c r="E30" s="35"/>
      <c r="F30" s="35"/>
      <c r="G30" s="35"/>
      <c r="H30" s="35"/>
      <c r="I30" s="73"/>
      <c r="J30" s="35"/>
    </row>
    <row r="31" spans="2:10">
      <c r="B31" s="100"/>
      <c r="C31" s="35" t="s">
        <v>158</v>
      </c>
      <c r="D31" s="35"/>
      <c r="E31" s="35"/>
      <c r="F31" s="35"/>
      <c r="G31" s="35"/>
      <c r="H31" s="35"/>
      <c r="I31" s="35"/>
      <c r="J31" s="35"/>
    </row>
    <row r="32" spans="2:10">
      <c r="B32" s="138"/>
      <c r="C32" s="138"/>
      <c r="D32" s="138"/>
      <c r="E32" s="138"/>
      <c r="F32" s="138"/>
      <c r="G32" s="138"/>
      <c r="H32" s="138"/>
      <c r="I32" s="138"/>
      <c r="J32" s="138"/>
    </row>
    <row r="33" spans="2:10">
      <c r="B33" s="127"/>
      <c r="C33" s="127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8">
    <mergeCell ref="B43:F43"/>
    <mergeCell ref="B52:J52"/>
    <mergeCell ref="B9:H9"/>
    <mergeCell ref="C19:J19"/>
    <mergeCell ref="F34:G34"/>
    <mergeCell ref="F36:H36"/>
    <mergeCell ref="F37:H37"/>
    <mergeCell ref="B42:F42"/>
  </mergeCells>
  <pageMargins left="0.7" right="0.42499999999999999" top="0.75" bottom="0.75" header="0.3" footer="0.3"/>
  <pageSetup paperSize="9" orientation="portrait" horizont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7BCB-0ED1-4747-9E88-88A9848051F9}">
  <sheetPr codeName="Лист28">
    <tabColor theme="8" tint="0.39997558519241921"/>
  </sheetPr>
  <dimension ref="B2:J54"/>
  <sheetViews>
    <sheetView view="pageBreakPreview" topLeftCell="A8" zoomScale="110" zoomScaleNormal="100" zoomScaleSheetLayoutView="110" workbookViewId="0">
      <selection activeCell="B39" sqref="B39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159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1"/>
      <c r="D11" s="99" t="s">
        <v>160</v>
      </c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25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38"/>
      <c r="C19" s="1324" t="s">
        <v>161</v>
      </c>
      <c r="D19" s="1324"/>
      <c r="E19" s="1324"/>
      <c r="F19" s="1324"/>
      <c r="G19" s="1324"/>
      <c r="H19" s="1324"/>
      <c r="I19" s="1324"/>
      <c r="J19" s="1324"/>
    </row>
    <row r="20" spans="2:10">
      <c r="B20" s="99" t="s">
        <v>162</v>
      </c>
      <c r="C20" s="100"/>
      <c r="D20" s="100"/>
      <c r="E20" s="100"/>
      <c r="F20" s="100"/>
      <c r="G20" s="60"/>
      <c r="H20" s="60"/>
      <c r="I20" s="60"/>
      <c r="J20" s="60"/>
    </row>
    <row r="21" spans="2:10">
      <c r="B21" s="99" t="s">
        <v>163</v>
      </c>
      <c r="C21" s="144"/>
      <c r="D21" s="144"/>
      <c r="E21" s="144"/>
      <c r="F21" s="144"/>
      <c r="G21" s="144"/>
      <c r="H21" s="144"/>
      <c r="I21" s="144"/>
      <c r="J21" s="91"/>
    </row>
    <row r="22" spans="2:10">
      <c r="B22" s="99" t="s">
        <v>164</v>
      </c>
      <c r="C22" s="47"/>
      <c r="D22" s="67"/>
      <c r="E22" s="41"/>
      <c r="F22" s="157"/>
      <c r="G22" s="158"/>
      <c r="H22" s="91"/>
      <c r="I22" s="69"/>
      <c r="J22" s="91"/>
    </row>
    <row r="23" spans="2:10">
      <c r="B23" s="100" t="s">
        <v>165</v>
      </c>
      <c r="C23" s="99"/>
      <c r="D23" s="41"/>
      <c r="E23" s="70"/>
      <c r="F23" s="70"/>
      <c r="G23" s="70"/>
      <c r="H23" s="70"/>
      <c r="I23" s="71"/>
      <c r="J23" s="71"/>
    </row>
    <row r="24" spans="2:10">
      <c r="B24" s="100"/>
      <c r="C24" s="99"/>
      <c r="D24" s="72"/>
      <c r="E24" s="72"/>
      <c r="F24" s="72"/>
      <c r="G24" s="72"/>
      <c r="H24" s="72"/>
      <c r="I24" s="72"/>
      <c r="J24" s="72"/>
    </row>
    <row r="25" spans="2:10">
      <c r="B25" s="100"/>
      <c r="C25" s="99" t="s">
        <v>166</v>
      </c>
      <c r="D25" s="59"/>
      <c r="E25" s="59"/>
      <c r="F25" s="59"/>
      <c r="G25" s="59"/>
      <c r="H25" s="59"/>
      <c r="I25" s="59"/>
      <c r="J25" s="59"/>
    </row>
    <row r="26" spans="2:10">
      <c r="B26" s="99" t="s">
        <v>167</v>
      </c>
      <c r="C26" s="99"/>
      <c r="D26" s="59"/>
      <c r="E26" s="59"/>
      <c r="F26" s="59"/>
      <c r="G26" s="59"/>
      <c r="H26" s="59"/>
      <c r="I26" s="59"/>
      <c r="J26" s="59"/>
    </row>
    <row r="27" spans="2:10">
      <c r="B27" s="99" t="s">
        <v>168</v>
      </c>
      <c r="C27" s="99"/>
      <c r="D27" s="120"/>
      <c r="E27" s="120"/>
      <c r="F27" s="120"/>
      <c r="G27" s="73"/>
      <c r="H27" s="121"/>
      <c r="I27" s="120"/>
      <c r="J27" s="35"/>
    </row>
    <row r="28" spans="2:10">
      <c r="B28" s="100" t="s">
        <v>169</v>
      </c>
      <c r="C28" s="35"/>
      <c r="D28" s="73"/>
      <c r="E28" s="35"/>
      <c r="F28" s="35"/>
      <c r="G28" s="35"/>
      <c r="H28" s="120"/>
      <c r="I28" s="120"/>
      <c r="J28" s="35"/>
    </row>
    <row r="29" spans="2:10">
      <c r="B29" s="100"/>
      <c r="C29" s="99" t="s">
        <v>170</v>
      </c>
      <c r="D29" s="35"/>
      <c r="E29" s="35"/>
      <c r="F29" s="35"/>
      <c r="G29" s="35"/>
      <c r="H29" s="35"/>
      <c r="I29" s="96"/>
      <c r="J29" s="35"/>
    </row>
    <row r="30" spans="2:10">
      <c r="B30" s="35" t="s">
        <v>171</v>
      </c>
      <c r="C30" s="99"/>
      <c r="D30" s="35"/>
      <c r="E30" s="35"/>
      <c r="F30" s="35"/>
      <c r="G30" s="35"/>
      <c r="H30" s="35"/>
      <c r="I30" s="73"/>
      <c r="J30" s="35"/>
    </row>
    <row r="31" spans="2:10">
      <c r="B31" s="100" t="s">
        <v>172</v>
      </c>
      <c r="C31" s="35"/>
      <c r="D31" s="35"/>
      <c r="E31" s="35"/>
      <c r="F31" s="35"/>
      <c r="G31" s="35"/>
      <c r="H31" s="35"/>
      <c r="I31" s="35"/>
      <c r="J31" s="35"/>
    </row>
    <row r="32" spans="2:10">
      <c r="B32" s="138"/>
      <c r="C32" s="35" t="s">
        <v>158</v>
      </c>
      <c r="D32" s="138"/>
      <c r="E32" s="138"/>
      <c r="F32" s="138"/>
      <c r="G32" s="138"/>
      <c r="H32" s="138"/>
      <c r="I32" s="138"/>
      <c r="J32" s="138"/>
    </row>
    <row r="33" spans="2:10">
      <c r="B33" s="127"/>
      <c r="C33" s="127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8">
    <mergeCell ref="B43:F43"/>
    <mergeCell ref="B52:J52"/>
    <mergeCell ref="B9:H9"/>
    <mergeCell ref="C19:J19"/>
    <mergeCell ref="F34:G34"/>
    <mergeCell ref="F36:H36"/>
    <mergeCell ref="F37:H37"/>
    <mergeCell ref="B42:F42"/>
  </mergeCells>
  <pageMargins left="0.7" right="0.47499999999999998" top="0.75" bottom="0.75" header="0.3" footer="0.3"/>
  <pageSetup paperSize="9" orientation="portrait" horizont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DDA7-3D0C-44E1-B24C-845A8C42FF75}">
  <sheetPr codeName="Лист29">
    <tabColor theme="8" tint="0.39997558519241921"/>
  </sheetPr>
  <dimension ref="B2:J54"/>
  <sheetViews>
    <sheetView view="pageBreakPreview" topLeftCell="A10" zoomScale="110" zoomScaleNormal="100" zoomScaleSheetLayoutView="110" workbookViewId="0">
      <selection activeCell="F11" sqref="F11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181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1"/>
      <c r="D11" s="99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25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38"/>
      <c r="C19" s="1324" t="s">
        <v>173</v>
      </c>
      <c r="D19" s="1324"/>
      <c r="E19" s="1324"/>
      <c r="F19" s="1324"/>
      <c r="G19" s="1324"/>
      <c r="H19" s="1324"/>
      <c r="I19" s="1324"/>
      <c r="J19" s="1324"/>
    </row>
    <row r="20" spans="2:10">
      <c r="B20" s="99" t="s">
        <v>174</v>
      </c>
      <c r="C20" s="100"/>
      <c r="D20" s="100"/>
      <c r="E20" s="100"/>
      <c r="F20" s="100"/>
      <c r="G20" s="60"/>
      <c r="H20" s="60"/>
      <c r="I20" s="60"/>
      <c r="J20" s="60"/>
    </row>
    <row r="21" spans="2:10">
      <c r="B21" s="100" t="s">
        <v>175</v>
      </c>
      <c r="C21" s="144"/>
      <c r="D21" s="144"/>
      <c r="E21" s="144"/>
      <c r="F21" s="144"/>
      <c r="G21" s="144"/>
      <c r="H21" s="144"/>
      <c r="I21" s="144"/>
      <c r="J21" s="91"/>
    </row>
    <row r="22" spans="2:10">
      <c r="B22" s="100" t="s">
        <v>176</v>
      </c>
      <c r="C22" s="47"/>
      <c r="D22" s="67"/>
      <c r="E22" s="41"/>
      <c r="F22" s="157"/>
      <c r="G22" s="158"/>
      <c r="H22" s="91"/>
      <c r="I22" s="69"/>
      <c r="J22" s="91"/>
    </row>
    <row r="23" spans="2:10">
      <c r="B23" s="100"/>
      <c r="C23" s="99"/>
      <c r="D23" s="41"/>
      <c r="E23" s="70"/>
      <c r="F23" s="70"/>
      <c r="G23" s="70"/>
      <c r="H23" s="70"/>
      <c r="I23" s="71"/>
      <c r="J23" s="71"/>
    </row>
    <row r="24" spans="2:10">
      <c r="B24" s="100"/>
      <c r="C24" s="99" t="s">
        <v>177</v>
      </c>
      <c r="D24" s="72"/>
      <c r="E24" s="72"/>
      <c r="F24" s="72"/>
      <c r="G24" s="72"/>
      <c r="H24" s="72"/>
      <c r="I24" s="72"/>
      <c r="J24" s="72"/>
    </row>
    <row r="25" spans="2:10">
      <c r="B25" s="100" t="s">
        <v>178</v>
      </c>
      <c r="C25" s="99"/>
      <c r="D25" s="59"/>
      <c r="E25" s="59"/>
      <c r="F25" s="59"/>
      <c r="G25" s="59"/>
      <c r="H25" s="59"/>
      <c r="I25" s="59"/>
      <c r="J25" s="59"/>
    </row>
    <row r="26" spans="2:10">
      <c r="B26" s="100" t="s">
        <v>179</v>
      </c>
      <c r="C26" s="99"/>
      <c r="D26" s="59"/>
      <c r="E26" s="59"/>
      <c r="F26" s="59"/>
      <c r="G26" s="59"/>
      <c r="H26" s="59"/>
      <c r="I26" s="59"/>
      <c r="J26" s="59"/>
    </row>
    <row r="27" spans="2:10">
      <c r="B27" s="99"/>
      <c r="C27" s="99"/>
      <c r="D27" s="120"/>
      <c r="E27" s="120"/>
      <c r="F27" s="120"/>
      <c r="G27" s="73"/>
      <c r="H27" s="121"/>
      <c r="I27" s="120"/>
      <c r="J27" s="35"/>
    </row>
    <row r="28" spans="2:10">
      <c r="B28" s="100"/>
      <c r="C28" s="99" t="s">
        <v>109</v>
      </c>
      <c r="D28" s="73"/>
      <c r="E28" s="35"/>
      <c r="F28" s="35"/>
      <c r="G28" s="35"/>
      <c r="H28" s="120"/>
      <c r="I28" s="120"/>
      <c r="J28" s="35"/>
    </row>
    <row r="29" spans="2:10">
      <c r="B29" s="99" t="s">
        <v>180</v>
      </c>
      <c r="C29" s="99"/>
      <c r="D29" s="35"/>
      <c r="E29" s="35"/>
      <c r="F29" s="35"/>
      <c r="G29" s="35"/>
      <c r="H29" s="35"/>
      <c r="I29" s="96"/>
      <c r="J29" s="35"/>
    </row>
    <row r="30" spans="2:10">
      <c r="B30" s="100" t="s">
        <v>111</v>
      </c>
      <c r="C30" s="99"/>
      <c r="D30" s="35"/>
      <c r="E30" s="35"/>
      <c r="F30" s="35"/>
      <c r="G30" s="35"/>
      <c r="H30" s="35"/>
      <c r="I30" s="73"/>
      <c r="J30" s="35"/>
    </row>
    <row r="31" spans="2:10">
      <c r="B31" s="100"/>
      <c r="C31" s="35"/>
      <c r="D31" s="35"/>
      <c r="E31" s="35"/>
      <c r="F31" s="35"/>
      <c r="G31" s="35"/>
      <c r="H31" s="35"/>
      <c r="I31" s="35"/>
      <c r="J31" s="35"/>
    </row>
    <row r="32" spans="2:10">
      <c r="B32" s="138"/>
      <c r="C32" s="35" t="s">
        <v>158</v>
      </c>
      <c r="D32" s="138"/>
      <c r="E32" s="138"/>
      <c r="F32" s="138"/>
      <c r="G32" s="138"/>
      <c r="H32" s="138"/>
      <c r="I32" s="138"/>
      <c r="J32" s="138"/>
    </row>
    <row r="33" spans="2:10">
      <c r="B33" s="127"/>
      <c r="C33" s="127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8">
    <mergeCell ref="B43:F43"/>
    <mergeCell ref="B52:J52"/>
    <mergeCell ref="B9:H9"/>
    <mergeCell ref="C19:J19"/>
    <mergeCell ref="F34:G34"/>
    <mergeCell ref="F36:H36"/>
    <mergeCell ref="F37:H37"/>
    <mergeCell ref="B42:F42"/>
  </mergeCells>
  <pageMargins left="0.7" right="0.35833333333333334" top="0.75" bottom="0.75" header="0.3" footer="0.3"/>
  <pageSetup paperSize="9" orientation="portrait" horizont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25BB-97CF-4723-87C4-FCE04A0EBB32}">
  <sheetPr codeName="Лист30">
    <tabColor theme="8" tint="0.39997558519241921"/>
  </sheetPr>
  <dimension ref="B2:J52"/>
  <sheetViews>
    <sheetView view="pageBreakPreview" topLeftCell="A7" zoomScale="110" zoomScaleNormal="100" zoomScaleSheetLayoutView="110" workbookViewId="0">
      <selection activeCell="B18" sqref="B18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182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1"/>
      <c r="D11" s="99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00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38"/>
      <c r="C19" s="1324" t="s">
        <v>183</v>
      </c>
      <c r="D19" s="1324"/>
      <c r="E19" s="1324"/>
      <c r="F19" s="1324"/>
      <c r="G19" s="1324"/>
      <c r="H19" s="1324"/>
      <c r="I19" s="1324"/>
      <c r="J19" s="1324"/>
    </row>
    <row r="20" spans="2:10">
      <c r="B20" s="160" t="s">
        <v>184</v>
      </c>
      <c r="C20" s="100"/>
      <c r="D20" s="100"/>
      <c r="E20" s="100"/>
      <c r="F20" s="100"/>
      <c r="G20" s="60"/>
      <c r="H20" s="60"/>
      <c r="I20" s="60"/>
      <c r="J20" s="60"/>
    </row>
    <row r="21" spans="2:10">
      <c r="B21" s="100" t="s">
        <v>185</v>
      </c>
      <c r="C21" s="144"/>
      <c r="D21" s="144"/>
      <c r="E21" s="144"/>
      <c r="F21" s="144"/>
      <c r="G21" s="144"/>
      <c r="H21" s="144"/>
      <c r="I21" s="144"/>
      <c r="J21" s="91"/>
    </row>
    <row r="22" spans="2:10">
      <c r="B22" s="100" t="s">
        <v>186</v>
      </c>
      <c r="C22" s="47"/>
      <c r="D22" s="67"/>
      <c r="E22" s="41"/>
      <c r="F22" s="157"/>
      <c r="G22" s="158"/>
      <c r="H22" s="91"/>
      <c r="I22" s="69"/>
      <c r="J22" s="91"/>
    </row>
    <row r="23" spans="2:10">
      <c r="B23" s="160" t="s">
        <v>187</v>
      </c>
      <c r="C23" s="99"/>
      <c r="D23" s="41"/>
      <c r="E23" s="70"/>
      <c r="F23" s="70"/>
      <c r="G23" s="70"/>
      <c r="H23" s="70"/>
      <c r="I23" s="71"/>
      <c r="J23" s="71"/>
    </row>
    <row r="24" spans="2:10">
      <c r="B24" s="161" t="s">
        <v>188</v>
      </c>
      <c r="C24" s="99"/>
      <c r="D24" s="72"/>
      <c r="E24" s="72"/>
      <c r="F24" s="72"/>
      <c r="G24" s="72"/>
      <c r="H24" s="72"/>
      <c r="I24" s="72"/>
      <c r="J24" s="72"/>
    </row>
    <row r="25" spans="2:10">
      <c r="B25" s="100"/>
      <c r="C25" s="99"/>
      <c r="D25" s="59"/>
      <c r="E25" s="59"/>
      <c r="F25" s="59"/>
      <c r="G25" s="59"/>
      <c r="H25" s="59"/>
      <c r="I25" s="59"/>
      <c r="J25" s="59"/>
    </row>
    <row r="26" spans="2:10">
      <c r="B26" s="100"/>
      <c r="C26" s="99" t="s">
        <v>109</v>
      </c>
      <c r="D26" s="59"/>
      <c r="E26" s="59"/>
      <c r="F26" s="59"/>
      <c r="G26" s="59"/>
      <c r="H26" s="59"/>
      <c r="I26" s="59"/>
      <c r="J26" s="59"/>
    </row>
    <row r="27" spans="2:10">
      <c r="B27" s="99" t="s">
        <v>156</v>
      </c>
      <c r="C27" s="99"/>
      <c r="D27" s="120"/>
      <c r="E27" s="120"/>
      <c r="F27" s="120"/>
      <c r="G27" s="73"/>
      <c r="H27" s="121"/>
      <c r="I27" s="120"/>
      <c r="J27" s="35"/>
    </row>
    <row r="28" spans="2:10">
      <c r="B28" s="99" t="s">
        <v>157</v>
      </c>
      <c r="C28" s="99"/>
      <c r="D28" s="73"/>
      <c r="E28" s="35"/>
      <c r="F28" s="35"/>
      <c r="G28" s="35"/>
      <c r="H28" s="120"/>
      <c r="I28" s="120"/>
      <c r="J28" s="35"/>
    </row>
    <row r="29" spans="2:10">
      <c r="B29" s="99"/>
      <c r="C29" s="99"/>
      <c r="D29" s="35"/>
      <c r="E29" s="35"/>
      <c r="F29" s="35"/>
      <c r="G29" s="35"/>
      <c r="H29" s="35"/>
      <c r="I29" s="96"/>
      <c r="J29" s="35"/>
    </row>
    <row r="30" spans="2:10">
      <c r="B30" s="138"/>
      <c r="C30" s="35" t="s">
        <v>158</v>
      </c>
      <c r="D30" s="138"/>
      <c r="E30" s="138"/>
      <c r="F30" s="138"/>
      <c r="G30" s="138"/>
      <c r="H30" s="138"/>
      <c r="I30" s="138"/>
      <c r="J30" s="138"/>
    </row>
    <row r="31" spans="2:10">
      <c r="B31" s="127"/>
      <c r="C31" s="127"/>
      <c r="D31" s="127"/>
      <c r="E31" s="127"/>
      <c r="F31" s="130"/>
      <c r="G31" s="130"/>
      <c r="H31" s="130"/>
      <c r="I31" s="127"/>
      <c r="J31" s="127"/>
    </row>
    <row r="32" spans="2:10">
      <c r="B32" s="127"/>
      <c r="C32" s="127"/>
      <c r="D32" s="127"/>
      <c r="E32" s="127"/>
      <c r="F32" s="1323" t="s">
        <v>100</v>
      </c>
      <c r="G32" s="1323"/>
      <c r="H32" s="127"/>
      <c r="I32" s="127"/>
      <c r="J32" s="127"/>
    </row>
    <row r="33" spans="2:10">
      <c r="B33" s="60"/>
      <c r="C33" s="41"/>
      <c r="D33" s="41"/>
      <c r="E33" s="41"/>
      <c r="F33" s="100"/>
      <c r="G33" s="41"/>
      <c r="H33" s="41"/>
      <c r="I33" s="41"/>
      <c r="J33" s="41"/>
    </row>
    <row r="34" spans="2:10">
      <c r="B34" s="41"/>
      <c r="C34" s="41"/>
      <c r="D34" s="41"/>
      <c r="E34" s="41"/>
      <c r="F34" s="1326"/>
      <c r="G34" s="1326"/>
      <c r="H34" s="1326"/>
      <c r="I34" s="41"/>
      <c r="J34" s="41"/>
    </row>
    <row r="35" spans="2:10">
      <c r="B35" s="41"/>
      <c r="C35" s="41"/>
      <c r="D35" s="60"/>
      <c r="E35" s="41"/>
      <c r="F35" s="1116" t="s">
        <v>101</v>
      </c>
      <c r="G35" s="1116"/>
      <c r="H35" s="1116"/>
      <c r="I35" s="41"/>
      <c r="J35" s="41"/>
    </row>
    <row r="36" spans="2:10">
      <c r="B36" s="41"/>
      <c r="C36" s="41"/>
      <c r="D36" s="60"/>
      <c r="E36" s="41"/>
      <c r="F36" s="41"/>
      <c r="G36" s="41"/>
      <c r="H36" s="41"/>
      <c r="I36" s="41"/>
      <c r="J36" s="41"/>
    </row>
    <row r="37" spans="2:10">
      <c r="B37" s="41"/>
      <c r="C37" s="41"/>
      <c r="D37" s="41"/>
      <c r="E37" s="41"/>
      <c r="F37" s="41"/>
      <c r="G37" s="41"/>
      <c r="H37" s="41"/>
      <c r="I37" s="41"/>
      <c r="J37" s="41"/>
    </row>
    <row r="38" spans="2:10">
      <c r="B38" s="90"/>
      <c r="C38" s="74"/>
      <c r="D38" s="91"/>
      <c r="E38" s="59"/>
      <c r="F38" s="59"/>
      <c r="G38" s="59"/>
      <c r="H38" s="59"/>
      <c r="I38" s="41"/>
      <c r="J38" s="41"/>
    </row>
    <row r="39" spans="2:10">
      <c r="B39" s="146"/>
      <c r="C39" s="146"/>
      <c r="D39" s="146"/>
      <c r="E39" s="146"/>
      <c r="F39" s="146"/>
      <c r="G39" s="41"/>
      <c r="H39" s="41"/>
      <c r="I39" s="41"/>
      <c r="J39" s="41"/>
    </row>
    <row r="40" spans="2:10">
      <c r="B40" s="1327"/>
      <c r="C40" s="1327"/>
      <c r="D40" s="1327"/>
      <c r="E40" s="1327"/>
      <c r="F40" s="1327"/>
      <c r="G40" s="59"/>
      <c r="H40" s="59"/>
      <c r="I40" s="41"/>
      <c r="J40" s="41"/>
    </row>
    <row r="41" spans="2:10">
      <c r="B41" s="1325" t="s">
        <v>102</v>
      </c>
      <c r="C41" s="1325"/>
      <c r="D41" s="1325"/>
      <c r="E41" s="1325"/>
      <c r="F41" s="1325"/>
      <c r="G41" s="91"/>
      <c r="H41" s="91"/>
      <c r="I41" s="91"/>
      <c r="J41" s="91"/>
    </row>
    <row r="42" spans="2:10">
      <c r="B42" s="28"/>
      <c r="C42" s="41"/>
      <c r="D42" s="41"/>
      <c r="E42" s="59"/>
      <c r="F42" s="59"/>
      <c r="G42" s="59"/>
      <c r="H42" s="59"/>
      <c r="I42" s="41"/>
      <c r="J42" s="41"/>
    </row>
    <row r="43" spans="2:10">
      <c r="B43" s="41"/>
      <c r="C43" s="41"/>
      <c r="D43" s="41"/>
      <c r="E43" s="41"/>
      <c r="F43" s="41"/>
      <c r="G43" s="41"/>
      <c r="H43" s="41"/>
      <c r="I43" s="41"/>
      <c r="J43" s="41"/>
    </row>
    <row r="44" spans="2:10">
      <c r="B44" s="49"/>
      <c r="C44" s="49"/>
      <c r="D44" s="49"/>
      <c r="E44" s="49"/>
      <c r="F44" s="49"/>
      <c r="G44" s="49"/>
      <c r="H44" s="49"/>
      <c r="I44" s="49"/>
      <c r="J44" s="49"/>
    </row>
    <row r="45" spans="2:10">
      <c r="B45" s="48"/>
      <c r="C45" s="48"/>
      <c r="D45" s="48"/>
      <c r="E45" s="48"/>
      <c r="F45" s="48"/>
      <c r="G45" s="48"/>
      <c r="H45" s="48"/>
      <c r="I45" s="48"/>
      <c r="J45" s="48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8" spans="2:10">
      <c r="B48" s="48"/>
      <c r="C48" s="48"/>
      <c r="D48" s="48"/>
      <c r="E48" s="48"/>
      <c r="F48" s="48"/>
      <c r="G48" s="48"/>
      <c r="H48" s="48"/>
      <c r="I48" s="48"/>
      <c r="J48" s="48"/>
    </row>
    <row r="49" spans="2:10" ht="12" customHeight="1"/>
    <row r="50" spans="2:10" ht="12" customHeight="1">
      <c r="B50" s="1264"/>
      <c r="C50" s="1264"/>
      <c r="D50" s="1264"/>
      <c r="E50" s="1264"/>
      <c r="F50" s="1264"/>
      <c r="G50" s="1264"/>
      <c r="H50" s="1264"/>
      <c r="I50" s="1264"/>
      <c r="J50" s="1264"/>
    </row>
    <row r="51" spans="2:10" ht="15" customHeight="1">
      <c r="B51" s="1"/>
      <c r="C51" s="1"/>
      <c r="D51" s="1"/>
      <c r="E51" s="1"/>
      <c r="F51" s="1"/>
      <c r="G51" s="1"/>
      <c r="H51" s="1"/>
      <c r="I51" s="1"/>
      <c r="J51" s="1"/>
    </row>
    <row r="52" spans="2:10">
      <c r="B52" s="27"/>
      <c r="C52" s="1"/>
      <c r="D52" s="1"/>
      <c r="E52" s="1"/>
      <c r="F52" s="1"/>
      <c r="G52" s="1"/>
      <c r="H52" s="1"/>
      <c r="I52" s="1"/>
      <c r="J52" s="1"/>
    </row>
  </sheetData>
  <mergeCells count="8">
    <mergeCell ref="B41:F41"/>
    <mergeCell ref="B50:J50"/>
    <mergeCell ref="B9:H9"/>
    <mergeCell ref="C19:J19"/>
    <mergeCell ref="F32:G32"/>
    <mergeCell ref="F34:H34"/>
    <mergeCell ref="F35:H35"/>
    <mergeCell ref="B40:F40"/>
  </mergeCells>
  <pageMargins left="0.7" right="0.5" top="0.75" bottom="0.75" header="0.3" footer="0.3"/>
  <pageSetup paperSize="9" orientation="portrait" horizont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2354-94F3-471C-B928-63828B750343}">
  <sheetPr codeName="Лист31">
    <tabColor theme="8" tint="0.39997558519241921"/>
  </sheetPr>
  <dimension ref="B2:J53"/>
  <sheetViews>
    <sheetView view="pageBreakPreview" topLeftCell="A10" zoomScale="110" zoomScaleNormal="100" zoomScaleSheetLayoutView="110" workbookViewId="0">
      <selection activeCell="D12" sqref="D12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182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1"/>
      <c r="D11" s="99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00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38"/>
      <c r="C19" s="1324" t="s">
        <v>189</v>
      </c>
      <c r="D19" s="1324"/>
      <c r="E19" s="1324"/>
      <c r="F19" s="1324"/>
      <c r="G19" s="1324"/>
      <c r="H19" s="1324"/>
      <c r="I19" s="1324"/>
      <c r="J19" s="1324"/>
    </row>
    <row r="20" spans="2:10">
      <c r="B20" s="160" t="s">
        <v>190</v>
      </c>
      <c r="C20" s="100"/>
      <c r="D20" s="100"/>
      <c r="E20" s="100"/>
      <c r="F20" s="100"/>
      <c r="G20" s="60"/>
      <c r="H20" s="60"/>
      <c r="I20" s="60"/>
      <c r="J20" s="60"/>
    </row>
    <row r="21" spans="2:10">
      <c r="B21" s="145" t="s">
        <v>191</v>
      </c>
      <c r="C21" s="162"/>
      <c r="D21" s="162"/>
      <c r="E21" s="162"/>
      <c r="F21" s="162"/>
      <c r="G21" s="162"/>
      <c r="H21" s="162"/>
      <c r="I21" s="162"/>
      <c r="J21" s="91"/>
    </row>
    <row r="22" spans="2:10">
      <c r="B22" s="145" t="s">
        <v>192</v>
      </c>
      <c r="C22" s="163"/>
      <c r="D22" s="164"/>
      <c r="E22" s="165"/>
      <c r="F22" s="166"/>
      <c r="G22" s="167"/>
      <c r="H22" s="168"/>
      <c r="I22" s="169"/>
      <c r="J22" s="91"/>
    </row>
    <row r="23" spans="2:10">
      <c r="B23" s="175" t="s">
        <v>193</v>
      </c>
      <c r="C23" s="170"/>
      <c r="D23" s="165"/>
      <c r="E23" s="171"/>
      <c r="F23" s="171"/>
      <c r="G23" s="171"/>
      <c r="H23" s="171"/>
      <c r="I23" s="172"/>
      <c r="J23" s="71"/>
    </row>
    <row r="24" spans="2:10">
      <c r="B24" s="176" t="s">
        <v>194</v>
      </c>
      <c r="C24" s="170"/>
      <c r="D24" s="173"/>
      <c r="E24" s="173"/>
      <c r="F24" s="173"/>
      <c r="G24" s="173"/>
      <c r="H24" s="173"/>
      <c r="I24" s="173"/>
      <c r="J24" s="72"/>
    </row>
    <row r="25" spans="2:10">
      <c r="B25" s="145" t="s">
        <v>195</v>
      </c>
      <c r="C25" s="170"/>
      <c r="D25" s="174"/>
      <c r="E25" s="174"/>
      <c r="F25" s="174"/>
      <c r="G25" s="174"/>
      <c r="H25" s="174"/>
      <c r="I25" s="174"/>
      <c r="J25" s="59"/>
    </row>
    <row r="26" spans="2:10">
      <c r="B26" s="100"/>
      <c r="C26" s="99"/>
      <c r="D26" s="59"/>
      <c r="E26" s="59"/>
      <c r="F26" s="59"/>
      <c r="G26" s="59"/>
      <c r="H26" s="59"/>
      <c r="I26" s="59"/>
      <c r="J26" s="59"/>
    </row>
    <row r="27" spans="2:10">
      <c r="B27" s="99"/>
      <c r="C27" s="99" t="s">
        <v>131</v>
      </c>
      <c r="D27" s="120"/>
      <c r="E27" s="120"/>
      <c r="F27" s="120"/>
      <c r="G27" s="73"/>
      <c r="H27" s="121"/>
      <c r="I27" s="120"/>
      <c r="J27" s="35"/>
    </row>
    <row r="28" spans="2:10">
      <c r="B28" s="99" t="s">
        <v>180</v>
      </c>
      <c r="C28" s="99"/>
      <c r="D28" s="73"/>
      <c r="E28" s="35"/>
      <c r="F28" s="35"/>
      <c r="G28" s="35"/>
      <c r="H28" s="120"/>
      <c r="I28" s="120"/>
      <c r="J28" s="35"/>
    </row>
    <row r="29" spans="2:10">
      <c r="B29" s="100" t="s">
        <v>196</v>
      </c>
      <c r="C29" s="99"/>
      <c r="D29" s="35"/>
      <c r="E29" s="35"/>
      <c r="F29" s="35"/>
      <c r="G29" s="35"/>
      <c r="H29" s="35"/>
      <c r="I29" s="96"/>
      <c r="J29" s="35"/>
    </row>
    <row r="30" spans="2:10">
      <c r="B30" s="100"/>
      <c r="C30" s="35"/>
      <c r="D30" s="35"/>
      <c r="E30" s="35"/>
      <c r="F30" s="35"/>
      <c r="G30" s="35"/>
      <c r="H30" s="35"/>
      <c r="I30" s="35"/>
      <c r="J30" s="35"/>
    </row>
    <row r="31" spans="2:10">
      <c r="B31" s="138"/>
      <c r="C31" s="35" t="s">
        <v>158</v>
      </c>
      <c r="D31" s="138"/>
      <c r="E31" s="138"/>
      <c r="F31" s="138"/>
      <c r="G31" s="138"/>
      <c r="H31" s="138"/>
      <c r="I31" s="138"/>
      <c r="J31" s="138"/>
    </row>
    <row r="32" spans="2:10">
      <c r="B32" s="127"/>
      <c r="C32" s="127"/>
      <c r="D32" s="127"/>
      <c r="E32" s="127"/>
      <c r="F32" s="130"/>
      <c r="G32" s="130"/>
      <c r="H32" s="130"/>
      <c r="I32" s="127"/>
      <c r="J32" s="127"/>
    </row>
    <row r="33" spans="2:10">
      <c r="B33" s="127"/>
      <c r="C33" s="127"/>
      <c r="D33" s="127"/>
      <c r="E33" s="127"/>
      <c r="F33" s="1323" t="s">
        <v>100</v>
      </c>
      <c r="G33" s="1323"/>
      <c r="H33" s="127"/>
      <c r="I33" s="127"/>
      <c r="J33" s="127"/>
    </row>
    <row r="34" spans="2:10">
      <c r="B34" s="60"/>
      <c r="C34" s="41"/>
      <c r="D34" s="41"/>
      <c r="E34" s="41"/>
      <c r="F34" s="100"/>
      <c r="G34" s="41"/>
      <c r="H34" s="41"/>
      <c r="I34" s="41"/>
      <c r="J34" s="41"/>
    </row>
    <row r="35" spans="2:10">
      <c r="B35" s="41"/>
      <c r="C35" s="41"/>
      <c r="D35" s="41"/>
      <c r="E35" s="41"/>
      <c r="F35" s="1326"/>
      <c r="G35" s="1326"/>
      <c r="H35" s="1326"/>
      <c r="I35" s="41"/>
      <c r="J35" s="41"/>
    </row>
    <row r="36" spans="2:10">
      <c r="B36" s="41"/>
      <c r="C36" s="41"/>
      <c r="D36" s="60"/>
      <c r="E36" s="41"/>
      <c r="F36" s="1116" t="s">
        <v>101</v>
      </c>
      <c r="G36" s="1116"/>
      <c r="H36" s="1116"/>
      <c r="I36" s="41"/>
      <c r="J36" s="41"/>
    </row>
    <row r="37" spans="2:10">
      <c r="B37" s="41"/>
      <c r="C37" s="41"/>
      <c r="D37" s="60"/>
      <c r="E37" s="41"/>
      <c r="F37" s="41"/>
      <c r="G37" s="41"/>
      <c r="H37" s="41"/>
      <c r="I37" s="41"/>
      <c r="J37" s="41"/>
    </row>
    <row r="38" spans="2:10">
      <c r="B38" s="41"/>
      <c r="C38" s="41"/>
      <c r="D38" s="41"/>
      <c r="E38" s="41"/>
      <c r="F38" s="41"/>
      <c r="G38" s="41"/>
      <c r="H38" s="41"/>
      <c r="I38" s="41"/>
      <c r="J38" s="41"/>
    </row>
    <row r="39" spans="2:10">
      <c r="B39" s="90"/>
      <c r="C39" s="74"/>
      <c r="D39" s="91"/>
      <c r="E39" s="59"/>
      <c r="F39" s="59"/>
      <c r="G39" s="59"/>
      <c r="H39" s="59"/>
      <c r="I39" s="41"/>
      <c r="J39" s="41"/>
    </row>
    <row r="40" spans="2:10">
      <c r="B40" s="146"/>
      <c r="C40" s="146"/>
      <c r="D40" s="146"/>
      <c r="E40" s="146"/>
      <c r="F40" s="146"/>
      <c r="G40" s="41"/>
      <c r="H40" s="41"/>
      <c r="I40" s="41"/>
      <c r="J40" s="41"/>
    </row>
    <row r="41" spans="2:10">
      <c r="B41" s="1327"/>
      <c r="C41" s="1327"/>
      <c r="D41" s="1327"/>
      <c r="E41" s="1327"/>
      <c r="F41" s="1327"/>
      <c r="G41" s="59"/>
      <c r="H41" s="59"/>
      <c r="I41" s="41"/>
      <c r="J41" s="41"/>
    </row>
    <row r="42" spans="2:10">
      <c r="B42" s="1325" t="s">
        <v>102</v>
      </c>
      <c r="C42" s="1325"/>
      <c r="D42" s="1325"/>
      <c r="E42" s="1325"/>
      <c r="F42" s="1325"/>
      <c r="G42" s="91"/>
      <c r="H42" s="91"/>
      <c r="I42" s="91"/>
      <c r="J42" s="91"/>
    </row>
    <row r="43" spans="2:10">
      <c r="B43" s="28"/>
      <c r="C43" s="41"/>
      <c r="D43" s="41"/>
      <c r="E43" s="59"/>
      <c r="F43" s="59"/>
      <c r="G43" s="59"/>
      <c r="H43" s="59"/>
      <c r="I43" s="41"/>
      <c r="J43" s="41"/>
    </row>
    <row r="44" spans="2:10">
      <c r="B44" s="41"/>
      <c r="C44" s="41"/>
      <c r="D44" s="41"/>
      <c r="E44" s="41"/>
      <c r="F44" s="41"/>
      <c r="G44" s="41"/>
      <c r="H44" s="41"/>
      <c r="I44" s="41"/>
      <c r="J44" s="41"/>
    </row>
    <row r="45" spans="2:10">
      <c r="B45" s="49"/>
      <c r="C45" s="49"/>
      <c r="D45" s="49"/>
      <c r="E45" s="49"/>
      <c r="F45" s="49"/>
      <c r="G45" s="49"/>
      <c r="H45" s="49"/>
      <c r="I45" s="49"/>
      <c r="J45" s="49"/>
    </row>
    <row r="46" spans="2:10">
      <c r="B46" s="48"/>
      <c r="C46" s="48"/>
      <c r="D46" s="48"/>
      <c r="E46" s="48"/>
      <c r="F46" s="48"/>
      <c r="G46" s="48"/>
      <c r="H46" s="48"/>
      <c r="I46" s="48"/>
      <c r="J46" s="48"/>
    </row>
    <row r="48" spans="2:10">
      <c r="B48" s="48"/>
      <c r="C48" s="48"/>
      <c r="D48" s="48"/>
      <c r="E48" s="48"/>
      <c r="F48" s="48"/>
      <c r="G48" s="48"/>
      <c r="H48" s="48"/>
      <c r="I48" s="48"/>
      <c r="J48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/>
    <row r="51" spans="2:10" ht="15" customHeight="1">
      <c r="B51" s="1264"/>
      <c r="C51" s="1264"/>
      <c r="D51" s="1264"/>
      <c r="E51" s="1264"/>
      <c r="F51" s="1264"/>
      <c r="G51" s="1264"/>
      <c r="H51" s="1264"/>
      <c r="I51" s="1264"/>
      <c r="J51" s="1264"/>
    </row>
    <row r="52" spans="2:10">
      <c r="B52" s="1"/>
      <c r="C52" s="1"/>
      <c r="D52" s="1"/>
      <c r="E52" s="1"/>
      <c r="F52" s="1"/>
      <c r="G52" s="1"/>
      <c r="H52" s="1"/>
      <c r="I52" s="1"/>
      <c r="J52" s="1"/>
    </row>
    <row r="53" spans="2:10">
      <c r="B53" s="27"/>
      <c r="C53" s="1"/>
      <c r="D53" s="1"/>
      <c r="E53" s="1"/>
      <c r="F53" s="1"/>
      <c r="G53" s="1"/>
      <c r="H53" s="1"/>
      <c r="I53" s="1"/>
      <c r="J53" s="1"/>
    </row>
  </sheetData>
  <mergeCells count="8">
    <mergeCell ref="B42:F42"/>
    <mergeCell ref="B51:J51"/>
    <mergeCell ref="B9:H9"/>
    <mergeCell ref="C19:J19"/>
    <mergeCell ref="F33:G33"/>
    <mergeCell ref="F35:H35"/>
    <mergeCell ref="F36:H36"/>
    <mergeCell ref="B41:F41"/>
  </mergeCells>
  <pageMargins left="0.7" right="0.39166666666666666" top="0.75" bottom="0.75" header="0.3" footer="0.3"/>
  <pageSetup paperSize="9" orientation="portrait" horizont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3AA4-97DC-482A-B2E1-70C8496875B2}">
  <sheetPr codeName="Лист32">
    <tabColor theme="8" tint="0.39997558519241921"/>
  </sheetPr>
  <dimension ref="B2:J54"/>
  <sheetViews>
    <sheetView view="pageLayout" topLeftCell="A14" zoomScaleNormal="100" zoomScaleSheetLayoutView="110" workbookViewId="0">
      <selection activeCell="F24" sqref="F24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197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1"/>
      <c r="D11" s="99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25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128"/>
      <c r="C19" s="1329" t="s">
        <v>198</v>
      </c>
      <c r="D19" s="1329"/>
      <c r="E19" s="1329"/>
      <c r="F19" s="1329"/>
      <c r="G19" s="1329"/>
      <c r="H19" s="1329"/>
      <c r="I19" s="1329"/>
      <c r="J19" s="1329"/>
    </row>
    <row r="20" spans="2:10">
      <c r="B20" s="103" t="s">
        <v>199</v>
      </c>
      <c r="C20" s="125"/>
      <c r="D20" s="125"/>
      <c r="E20" s="125"/>
      <c r="F20" s="125"/>
      <c r="G20" s="106"/>
      <c r="H20" s="106"/>
      <c r="I20" s="106"/>
      <c r="J20" s="106"/>
    </row>
    <row r="21" spans="2:10">
      <c r="B21" s="103" t="s">
        <v>200</v>
      </c>
      <c r="C21" s="131"/>
      <c r="D21" s="131"/>
      <c r="E21" s="131"/>
      <c r="F21" s="131"/>
      <c r="G21" s="131"/>
      <c r="H21" s="131"/>
      <c r="I21" s="131"/>
      <c r="J21" s="129"/>
    </row>
    <row r="22" spans="2:10">
      <c r="B22" s="103" t="s">
        <v>201</v>
      </c>
      <c r="C22" s="132"/>
      <c r="D22" s="133"/>
      <c r="E22" s="127"/>
      <c r="F22" s="131"/>
      <c r="G22" s="134"/>
      <c r="H22" s="129"/>
      <c r="I22" s="135"/>
      <c r="J22" s="129"/>
    </row>
    <row r="23" spans="2:10">
      <c r="B23" s="103" t="s">
        <v>202</v>
      </c>
      <c r="C23" s="107"/>
      <c r="D23" s="127"/>
      <c r="E23" s="109"/>
      <c r="F23" s="109"/>
      <c r="G23" s="109"/>
      <c r="H23" s="109"/>
      <c r="I23" s="136"/>
      <c r="J23" s="136"/>
    </row>
    <row r="24" spans="2:10">
      <c r="B24" s="103" t="s">
        <v>203</v>
      </c>
      <c r="C24" s="107"/>
      <c r="D24" s="137"/>
      <c r="E24" s="137"/>
      <c r="F24" s="137"/>
      <c r="G24" s="137"/>
      <c r="H24" s="137"/>
      <c r="I24" s="137"/>
      <c r="J24" s="137"/>
    </row>
    <row r="25" spans="2:10">
      <c r="B25" s="103" t="s">
        <v>204</v>
      </c>
      <c r="C25" s="107"/>
      <c r="D25" s="139"/>
      <c r="E25" s="139"/>
      <c r="F25" s="139"/>
      <c r="G25" s="139"/>
      <c r="H25" s="139"/>
      <c r="I25" s="139"/>
      <c r="J25" s="139"/>
    </row>
    <row r="26" spans="2:10">
      <c r="B26" s="125" t="s">
        <v>205</v>
      </c>
      <c r="C26" s="107"/>
      <c r="D26" s="139"/>
      <c r="E26" s="139"/>
      <c r="F26" s="139"/>
      <c r="G26" s="139"/>
      <c r="H26" s="139"/>
      <c r="I26" s="139"/>
      <c r="J26" s="139"/>
    </row>
    <row r="27" spans="2:10">
      <c r="B27" s="103" t="s">
        <v>206</v>
      </c>
      <c r="C27" s="103"/>
      <c r="D27" s="140"/>
      <c r="E27" s="140"/>
      <c r="F27" s="140"/>
      <c r="G27" s="141"/>
      <c r="H27" s="142"/>
      <c r="I27" s="140"/>
      <c r="J27" s="138"/>
    </row>
    <row r="28" spans="2:10">
      <c r="B28" s="103" t="s">
        <v>207</v>
      </c>
      <c r="C28" s="103"/>
      <c r="D28" s="141"/>
      <c r="E28" s="138"/>
      <c r="F28" s="138"/>
      <c r="G28" s="138"/>
      <c r="H28" s="140"/>
      <c r="I28" s="140"/>
      <c r="J28" s="138"/>
    </row>
    <row r="29" spans="2:10">
      <c r="B29" s="103" t="s">
        <v>208</v>
      </c>
      <c r="C29" s="103"/>
      <c r="D29" s="138"/>
      <c r="E29" s="138"/>
      <c r="F29" s="138"/>
      <c r="G29" s="138"/>
      <c r="H29" s="138"/>
      <c r="I29" s="143"/>
      <c r="J29" s="138"/>
    </row>
    <row r="30" spans="2:10">
      <c r="B30" s="103" t="s">
        <v>209</v>
      </c>
      <c r="C30" s="138"/>
      <c r="D30" s="138"/>
      <c r="E30" s="138"/>
      <c r="F30" s="138"/>
      <c r="G30" s="138"/>
      <c r="H30" s="138"/>
      <c r="I30" s="138"/>
      <c r="J30" s="138"/>
    </row>
    <row r="31" spans="2:10">
      <c r="B31" s="138" t="s">
        <v>210</v>
      </c>
      <c r="C31" s="138"/>
      <c r="D31" s="138"/>
      <c r="E31" s="138"/>
      <c r="F31" s="138"/>
      <c r="G31" s="138"/>
      <c r="H31" s="138"/>
      <c r="I31" s="138"/>
      <c r="J31" s="138"/>
    </row>
    <row r="32" spans="2:10">
      <c r="B32" s="127"/>
      <c r="C32" s="127" t="s">
        <v>211</v>
      </c>
      <c r="D32" s="127"/>
      <c r="E32" s="127"/>
      <c r="F32" s="130"/>
      <c r="G32" s="130"/>
      <c r="H32" s="130"/>
      <c r="I32" s="127"/>
      <c r="J32" s="127"/>
    </row>
    <row r="33" spans="2:10">
      <c r="B33" s="127"/>
      <c r="C33" s="127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8">
    <mergeCell ref="B43:F43"/>
    <mergeCell ref="B52:J52"/>
    <mergeCell ref="B9:H9"/>
    <mergeCell ref="C19:J19"/>
    <mergeCell ref="F34:G34"/>
    <mergeCell ref="F36:H36"/>
    <mergeCell ref="F37:H37"/>
    <mergeCell ref="B42:F42"/>
  </mergeCells>
  <pageMargins left="0.7" right="0.43333333333333335" top="0.75" bottom="0.75" header="0.3" footer="0.3"/>
  <pageSetup paperSize="9" orientation="portrait" horizont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5763-3B01-48D0-9311-5870FAE09089}">
  <sheetPr codeName="Лист33">
    <tabColor theme="8" tint="0.39997558519241921"/>
  </sheetPr>
  <dimension ref="B2:J54"/>
  <sheetViews>
    <sheetView view="pageLayout" topLeftCell="A7" zoomScaleNormal="100" zoomScaleSheetLayoutView="110" workbookViewId="0">
      <selection activeCell="F41" sqref="F41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222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1"/>
      <c r="D11" s="99"/>
      <c r="E11" s="101"/>
      <c r="F11" s="101"/>
      <c r="G11" s="101"/>
      <c r="H11" s="101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00" t="s">
        <v>87</v>
      </c>
      <c r="C18" s="126"/>
      <c r="D18" s="106"/>
      <c r="E18" s="106"/>
      <c r="F18" s="127"/>
      <c r="G18" s="127"/>
      <c r="H18" s="127"/>
      <c r="I18" s="127"/>
      <c r="J18" s="127"/>
    </row>
    <row r="19" spans="2:10">
      <c r="B19" s="38"/>
      <c r="C19" s="1324" t="s">
        <v>212</v>
      </c>
      <c r="D19" s="1324"/>
      <c r="E19" s="1324"/>
      <c r="F19" s="1324"/>
      <c r="G19" s="1324"/>
      <c r="H19" s="1324"/>
      <c r="I19" s="1324"/>
      <c r="J19" s="1324"/>
    </row>
    <row r="20" spans="2:10">
      <c r="B20" s="99" t="s">
        <v>213</v>
      </c>
      <c r="C20" s="100"/>
      <c r="D20" s="100"/>
      <c r="E20" s="100"/>
      <c r="F20" s="100"/>
      <c r="G20" s="60"/>
      <c r="H20" s="60"/>
      <c r="I20" s="60"/>
      <c r="J20" s="60"/>
    </row>
    <row r="21" spans="2:10">
      <c r="B21" s="100" t="s">
        <v>214</v>
      </c>
      <c r="C21" s="157"/>
      <c r="D21" s="157"/>
      <c r="E21" s="157"/>
      <c r="F21" s="157"/>
      <c r="G21" s="157"/>
      <c r="H21" s="157"/>
      <c r="I21" s="157"/>
      <c r="J21" s="91"/>
    </row>
    <row r="22" spans="2:10">
      <c r="B22" s="100" t="s">
        <v>215</v>
      </c>
      <c r="C22" s="47"/>
      <c r="D22" s="67"/>
      <c r="E22" s="41"/>
      <c r="F22" s="157"/>
      <c r="G22" s="158"/>
      <c r="H22" s="91"/>
      <c r="I22" s="69"/>
      <c r="J22" s="91"/>
    </row>
    <row r="23" spans="2:10">
      <c r="B23" s="100" t="s">
        <v>216</v>
      </c>
      <c r="C23" s="177"/>
      <c r="D23" s="41"/>
      <c r="E23" s="70"/>
      <c r="F23" s="70"/>
      <c r="G23" s="70"/>
      <c r="H23" s="70"/>
      <c r="I23" s="71"/>
      <c r="J23" s="71"/>
    </row>
    <row r="24" spans="2:10">
      <c r="B24" s="99"/>
      <c r="C24" s="177"/>
      <c r="D24" s="72"/>
      <c r="E24" s="72"/>
      <c r="F24" s="72"/>
      <c r="G24" s="72"/>
      <c r="H24" s="72"/>
      <c r="I24" s="72"/>
      <c r="J24" s="72"/>
    </row>
    <row r="25" spans="2:10">
      <c r="B25" s="99"/>
      <c r="C25" s="99" t="s">
        <v>217</v>
      </c>
      <c r="D25" s="59"/>
      <c r="E25" s="59"/>
      <c r="F25" s="59"/>
      <c r="G25" s="59"/>
      <c r="H25" s="59"/>
      <c r="I25" s="59"/>
      <c r="J25" s="59"/>
    </row>
    <row r="26" spans="2:10">
      <c r="B26" s="100" t="s">
        <v>218</v>
      </c>
      <c r="C26" s="177"/>
      <c r="D26" s="59"/>
      <c r="E26" s="59"/>
      <c r="F26" s="59"/>
      <c r="G26" s="59"/>
      <c r="H26" s="59"/>
      <c r="I26" s="59"/>
      <c r="J26" s="59"/>
    </row>
    <row r="27" spans="2:10">
      <c r="B27" s="100" t="s">
        <v>219</v>
      </c>
      <c r="C27" s="99"/>
      <c r="D27" s="120"/>
      <c r="E27" s="120"/>
      <c r="F27" s="120"/>
      <c r="G27" s="73"/>
      <c r="H27" s="121"/>
      <c r="I27" s="120"/>
      <c r="J27" s="35"/>
    </row>
    <row r="28" spans="2:10">
      <c r="B28" s="100" t="s">
        <v>220</v>
      </c>
      <c r="C28" s="99"/>
      <c r="D28" s="73"/>
      <c r="E28" s="35"/>
      <c r="F28" s="35"/>
      <c r="G28" s="35"/>
      <c r="H28" s="120"/>
      <c r="I28" s="120"/>
      <c r="J28" s="35"/>
    </row>
    <row r="29" spans="2:10">
      <c r="B29" s="100" t="s">
        <v>221</v>
      </c>
      <c r="C29" s="99"/>
      <c r="D29" s="35"/>
      <c r="E29" s="35"/>
      <c r="F29" s="35"/>
      <c r="G29" s="35"/>
      <c r="H29" s="35"/>
      <c r="I29" s="96"/>
      <c r="J29" s="35"/>
    </row>
    <row r="30" spans="2:10">
      <c r="B30" s="99"/>
      <c r="C30" s="35"/>
      <c r="D30" s="35"/>
      <c r="E30" s="35"/>
      <c r="F30" s="35"/>
      <c r="G30" s="35"/>
      <c r="H30" s="35"/>
      <c r="I30" s="35"/>
      <c r="J30" s="35"/>
    </row>
    <row r="31" spans="2:10">
      <c r="B31" s="138"/>
      <c r="C31" s="35"/>
      <c r="D31" s="138"/>
      <c r="E31" s="138"/>
      <c r="F31" s="138"/>
      <c r="G31" s="138"/>
      <c r="H31" s="138"/>
      <c r="I31" s="138"/>
      <c r="J31" s="138"/>
    </row>
    <row r="32" spans="2:10">
      <c r="B32" s="127"/>
      <c r="C32" s="127"/>
      <c r="D32" s="127"/>
      <c r="E32" s="127"/>
      <c r="F32" s="130"/>
      <c r="G32" s="130"/>
      <c r="H32" s="130"/>
      <c r="I32" s="127"/>
      <c r="J32" s="127"/>
    </row>
    <row r="33" spans="2:10">
      <c r="B33" s="127"/>
      <c r="C33" s="127"/>
      <c r="D33" s="127"/>
      <c r="E33" s="127"/>
      <c r="F33" s="130"/>
      <c r="G33" s="130"/>
      <c r="H33" s="130"/>
      <c r="I33" s="127"/>
      <c r="J33" s="127"/>
    </row>
    <row r="34" spans="2:10">
      <c r="B34" s="127"/>
      <c r="C34" s="127"/>
      <c r="D34" s="127"/>
      <c r="E34" s="127"/>
      <c r="F34" s="1325" t="s">
        <v>100</v>
      </c>
      <c r="G34" s="1325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0"/>
      <c r="C40" s="74"/>
      <c r="D40" s="91"/>
      <c r="E40" s="59"/>
      <c r="F40" s="59"/>
      <c r="G40" s="59"/>
      <c r="H40" s="59"/>
      <c r="I40" s="41"/>
      <c r="J40" s="41"/>
    </row>
    <row r="41" spans="2:10">
      <c r="B41" s="146"/>
      <c r="C41" s="146"/>
      <c r="D41" s="146"/>
      <c r="E41" s="146"/>
      <c r="F41" s="146"/>
      <c r="G41" s="41"/>
      <c r="H41" s="41"/>
      <c r="I41" s="41"/>
      <c r="J41" s="41"/>
    </row>
    <row r="42" spans="2:10">
      <c r="B42" s="1327"/>
      <c r="C42" s="1327"/>
      <c r="D42" s="1327"/>
      <c r="E42" s="1327"/>
      <c r="F42" s="1327"/>
      <c r="G42" s="59"/>
      <c r="H42" s="59"/>
      <c r="I42" s="41"/>
      <c r="J42" s="41"/>
    </row>
    <row r="43" spans="2:10">
      <c r="B43" s="1325" t="s">
        <v>102</v>
      </c>
      <c r="C43" s="1325"/>
      <c r="D43" s="1325"/>
      <c r="E43" s="1325"/>
      <c r="F43" s="1325"/>
      <c r="G43" s="91"/>
      <c r="H43" s="91"/>
      <c r="I43" s="91"/>
      <c r="J43" s="91"/>
    </row>
    <row r="44" spans="2:10">
      <c r="B44" s="28"/>
      <c r="C44" s="41"/>
      <c r="D44" s="41"/>
      <c r="E44" s="59"/>
      <c r="F44" s="59"/>
      <c r="G44" s="59"/>
      <c r="H44" s="59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8">
    <mergeCell ref="B43:F43"/>
    <mergeCell ref="B52:J52"/>
    <mergeCell ref="B9:H9"/>
    <mergeCell ref="C19:J19"/>
    <mergeCell ref="F34:G34"/>
    <mergeCell ref="F36:H36"/>
    <mergeCell ref="F37:H37"/>
    <mergeCell ref="B42:F42"/>
  </mergeCells>
  <pageMargins left="0.7" right="0.46666666666666667" top="0.75" bottom="0.75" header="0.3" footer="0.3"/>
  <pageSetup paperSize="9" orientation="portrait" horizont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8D81-D455-4B4A-8E24-7C1C2FF3AD81}">
  <sheetPr codeName="Лист34">
    <tabColor theme="8" tint="0.39997558519241921"/>
  </sheetPr>
  <dimension ref="B2:J54"/>
  <sheetViews>
    <sheetView view="pageLayout" topLeftCell="A10" zoomScaleNormal="100" zoomScaleSheetLayoutView="110" workbookViewId="0">
      <selection activeCell="E46" sqref="E46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223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05"/>
      <c r="D11" s="99"/>
      <c r="E11" s="105"/>
      <c r="F11" s="105"/>
      <c r="G11" s="105"/>
      <c r="H11" s="105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00" t="s">
        <v>87</v>
      </c>
      <c r="C18" s="46"/>
      <c r="D18" s="60"/>
      <c r="E18" s="60"/>
      <c r="F18" s="41"/>
      <c r="G18" s="41"/>
      <c r="H18" s="41"/>
      <c r="I18" s="41"/>
      <c r="J18" s="41"/>
    </row>
    <row r="19" spans="2:10">
      <c r="B19" s="38"/>
      <c r="C19" s="1324" t="s">
        <v>224</v>
      </c>
      <c r="D19" s="1324"/>
      <c r="E19" s="1324"/>
      <c r="F19" s="1324"/>
      <c r="G19" s="1324"/>
      <c r="H19" s="1324"/>
      <c r="I19" s="1324"/>
      <c r="J19" s="1324"/>
    </row>
    <row r="20" spans="2:10">
      <c r="B20" s="100" t="s">
        <v>225</v>
      </c>
      <c r="C20" s="100"/>
      <c r="D20" s="100"/>
      <c r="E20" s="100"/>
      <c r="F20" s="100"/>
      <c r="G20" s="60"/>
      <c r="H20" s="60"/>
      <c r="I20" s="60"/>
      <c r="J20" s="60"/>
    </row>
    <row r="21" spans="2:10">
      <c r="B21" s="99" t="s">
        <v>226</v>
      </c>
      <c r="C21" s="157"/>
      <c r="D21" s="157"/>
      <c r="E21" s="157"/>
      <c r="F21" s="157"/>
      <c r="G21" s="157"/>
      <c r="H21" s="157"/>
      <c r="I21" s="157"/>
      <c r="J21" s="93"/>
    </row>
    <row r="22" spans="2:10">
      <c r="B22" s="100" t="s">
        <v>227</v>
      </c>
      <c r="C22" s="47"/>
      <c r="D22" s="67"/>
      <c r="E22" s="41"/>
      <c r="F22" s="157"/>
      <c r="G22" s="158"/>
      <c r="H22" s="93"/>
      <c r="I22" s="69"/>
      <c r="J22" s="93"/>
    </row>
    <row r="23" spans="2:10">
      <c r="B23" s="180"/>
      <c r="C23" s="100" t="s">
        <v>228</v>
      </c>
      <c r="D23" s="41"/>
      <c r="E23" s="70"/>
      <c r="F23" s="70"/>
      <c r="G23" s="70"/>
      <c r="H23" s="70"/>
      <c r="I23" s="71"/>
      <c r="J23" s="71"/>
    </row>
    <row r="24" spans="2:10">
      <c r="B24" s="181"/>
      <c r="C24" s="182"/>
      <c r="D24" s="183"/>
      <c r="E24" s="183"/>
      <c r="F24" s="183"/>
      <c r="G24" s="183"/>
      <c r="H24" s="183"/>
      <c r="I24" s="183"/>
      <c r="J24" s="183"/>
    </row>
    <row r="25" spans="2:10">
      <c r="B25" s="181"/>
      <c r="C25" s="181"/>
      <c r="D25" s="184"/>
      <c r="E25" s="184"/>
      <c r="F25" s="184"/>
      <c r="G25" s="184"/>
      <c r="H25" s="184"/>
      <c r="I25" s="184"/>
      <c r="J25" s="184"/>
    </row>
    <row r="26" spans="2:10">
      <c r="B26" s="100"/>
      <c r="C26" s="177"/>
      <c r="D26" s="59"/>
      <c r="E26" s="59"/>
      <c r="F26" s="59"/>
      <c r="G26" s="59"/>
      <c r="H26" s="59"/>
      <c r="I26" s="59"/>
      <c r="J26" s="59"/>
    </row>
    <row r="27" spans="2:10">
      <c r="B27" s="100"/>
      <c r="C27" s="99"/>
      <c r="D27" s="120"/>
      <c r="E27" s="120"/>
      <c r="F27" s="120"/>
      <c r="G27" s="73"/>
      <c r="H27" s="121"/>
      <c r="I27" s="120"/>
      <c r="J27" s="35"/>
    </row>
    <row r="28" spans="2:10">
      <c r="B28" s="100"/>
      <c r="C28" s="99"/>
      <c r="D28" s="73"/>
      <c r="E28" s="35"/>
      <c r="F28" s="35"/>
      <c r="G28" s="35"/>
      <c r="H28" s="120"/>
      <c r="I28" s="120"/>
      <c r="J28" s="35"/>
    </row>
    <row r="29" spans="2:10">
      <c r="B29" s="100"/>
      <c r="C29" s="99"/>
      <c r="D29" s="35"/>
      <c r="E29" s="35"/>
      <c r="F29" s="35"/>
      <c r="G29" s="35"/>
      <c r="H29" s="35"/>
      <c r="I29" s="96"/>
      <c r="J29" s="35"/>
    </row>
    <row r="30" spans="2:10">
      <c r="B30" s="99"/>
      <c r="C30" s="35"/>
      <c r="D30" s="35"/>
      <c r="E30" s="35"/>
      <c r="F30" s="35"/>
      <c r="G30" s="35"/>
      <c r="H30" s="35"/>
      <c r="I30" s="35"/>
      <c r="J30" s="35"/>
    </row>
    <row r="31" spans="2:10">
      <c r="B31" s="35"/>
      <c r="C31" s="35"/>
      <c r="D31" s="35"/>
      <c r="E31" s="35"/>
      <c r="F31" s="35"/>
      <c r="G31" s="35"/>
      <c r="H31" s="35"/>
      <c r="I31" s="35"/>
      <c r="J31" s="35"/>
    </row>
    <row r="32" spans="2:10">
      <c r="B32" s="41"/>
      <c r="C32" s="41"/>
      <c r="D32" s="41"/>
      <c r="E32" s="41"/>
      <c r="F32" s="63"/>
      <c r="G32" s="63"/>
      <c r="H32" s="63"/>
      <c r="I32" s="41"/>
      <c r="J32" s="41"/>
    </row>
    <row r="33" spans="2:10">
      <c r="B33" s="41"/>
      <c r="C33" s="41"/>
      <c r="D33" s="41"/>
      <c r="E33" s="41"/>
      <c r="F33" s="63"/>
      <c r="G33" s="63"/>
      <c r="H33" s="63"/>
      <c r="I33" s="41"/>
      <c r="J33" s="41"/>
    </row>
    <row r="34" spans="2:10">
      <c r="B34" s="127"/>
      <c r="C34" s="127"/>
      <c r="D34" s="127"/>
      <c r="E34" s="127"/>
      <c r="F34" s="1323" t="s">
        <v>100</v>
      </c>
      <c r="G34" s="1323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92"/>
      <c r="C40" s="74"/>
      <c r="D40" s="93"/>
      <c r="E40" s="59"/>
      <c r="F40" s="59"/>
      <c r="G40" s="59"/>
      <c r="H40" s="59"/>
      <c r="I40" s="41"/>
      <c r="J40" s="41"/>
    </row>
    <row r="41" spans="2:10">
      <c r="B41" s="185" t="s">
        <v>229</v>
      </c>
      <c r="C41" s="97"/>
      <c r="D41" s="97"/>
      <c r="E41" s="97"/>
      <c r="F41" s="146"/>
      <c r="G41" s="41"/>
      <c r="H41" s="41"/>
      <c r="I41" s="41"/>
      <c r="J41" s="41"/>
    </row>
    <row r="42" spans="2:10">
      <c r="B42" s="97"/>
      <c r="C42" s="97"/>
      <c r="D42" s="97"/>
      <c r="E42" s="97"/>
      <c r="F42" s="146"/>
      <c r="G42" s="59"/>
      <c r="H42" s="59"/>
      <c r="I42" s="41"/>
      <c r="J42" s="41"/>
    </row>
    <row r="43" spans="2:10">
      <c r="B43" s="186"/>
      <c r="C43" s="186"/>
      <c r="D43" s="186"/>
      <c r="E43" s="189"/>
      <c r="F43" s="147"/>
      <c r="G43" s="93"/>
      <c r="H43" s="93"/>
      <c r="I43" s="93"/>
      <c r="J43" s="93"/>
    </row>
    <row r="44" spans="2:10">
      <c r="B44" s="187"/>
      <c r="C44" s="188"/>
      <c r="D44" s="188"/>
      <c r="E44" s="179"/>
      <c r="F44" s="59"/>
      <c r="G44" s="59"/>
      <c r="H44" s="59"/>
      <c r="I44" s="41"/>
      <c r="J44" s="41"/>
    </row>
    <row r="45" spans="2:10">
      <c r="B45" s="178"/>
      <c r="C45" s="178"/>
      <c r="D45" s="178"/>
      <c r="E45" s="178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6">
    <mergeCell ref="B52:J52"/>
    <mergeCell ref="B9:H9"/>
    <mergeCell ref="C19:J19"/>
    <mergeCell ref="F34:G34"/>
    <mergeCell ref="F36:H36"/>
    <mergeCell ref="F37:H37"/>
  </mergeCells>
  <pageMargins left="0.7" right="0.39166666666666666" top="0.75" bottom="0.75" header="0.3" footer="0.3"/>
  <pageSetup paperSize="9" orientation="portrait" horizont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681E-12CE-407B-AC38-86712276DFA2}">
  <sheetPr codeName="Лист35">
    <tabColor theme="8" tint="0.39997558519241921"/>
  </sheetPr>
  <dimension ref="B2:J54"/>
  <sheetViews>
    <sheetView view="pageLayout" zoomScaleNormal="100" zoomScaleSheetLayoutView="110" workbookViewId="0">
      <selection activeCell="D42" sqref="D42"/>
    </sheetView>
  </sheetViews>
  <sheetFormatPr defaultRowHeight="14.25"/>
  <cols>
    <col min="1" max="1" width="4.6640625" customWidth="1"/>
    <col min="2" max="2" width="10.6640625" customWidth="1"/>
    <col min="6" max="6" width="12.796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685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192"/>
      <c r="D11" s="99"/>
      <c r="E11" s="192"/>
      <c r="F11" s="192"/>
      <c r="G11" s="192"/>
      <c r="H11" s="192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2:10">
      <c r="B17" s="63"/>
      <c r="C17" s="95"/>
      <c r="D17" s="63"/>
      <c r="E17" s="63"/>
      <c r="F17" s="63"/>
      <c r="G17" s="63"/>
      <c r="H17" s="63"/>
      <c r="I17" s="63"/>
      <c r="J17" s="41"/>
    </row>
    <row r="18" spans="2:10">
      <c r="B18" s="192" t="s">
        <v>4</v>
      </c>
      <c r="C18" s="46"/>
      <c r="D18" s="60"/>
      <c r="E18" s="60"/>
      <c r="F18" s="41"/>
      <c r="G18" s="41"/>
      <c r="H18" s="41"/>
      <c r="I18" s="41"/>
      <c r="J18" s="41"/>
    </row>
    <row r="19" spans="2:10">
      <c r="B19" s="38"/>
      <c r="C19" s="1324" t="s">
        <v>230</v>
      </c>
      <c r="D19" s="1324"/>
      <c r="E19" s="1324"/>
      <c r="F19" s="1324"/>
      <c r="G19" s="1324"/>
      <c r="H19" s="1324"/>
      <c r="I19" s="1324"/>
      <c r="J19" s="1324"/>
    </row>
    <row r="20" spans="2:10">
      <c r="B20" s="100" t="s">
        <v>232</v>
      </c>
      <c r="C20" s="100"/>
      <c r="D20" s="100"/>
      <c r="E20" s="100"/>
      <c r="F20" s="100"/>
      <c r="G20" s="60"/>
      <c r="H20" s="60"/>
      <c r="I20" s="60"/>
      <c r="J20" s="60"/>
    </row>
    <row r="21" spans="2:10">
      <c r="B21" s="99"/>
      <c r="C21" s="157" t="s">
        <v>231</v>
      </c>
      <c r="D21" s="157"/>
      <c r="E21" s="157"/>
      <c r="F21" s="157"/>
      <c r="G21" s="157"/>
      <c r="H21" s="157"/>
      <c r="I21" s="157"/>
      <c r="J21" s="191"/>
    </row>
    <row r="22" spans="2:10" ht="14.65" thickBot="1">
      <c r="B22" s="100"/>
      <c r="C22" s="47"/>
      <c r="D22" s="67"/>
      <c r="E22" s="41"/>
      <c r="F22" s="157"/>
      <c r="G22" s="158"/>
      <c r="H22" s="191"/>
      <c r="I22" s="69"/>
      <c r="J22" s="191"/>
    </row>
    <row r="23" spans="2:10">
      <c r="B23" s="704" t="s">
        <v>233</v>
      </c>
      <c r="C23" s="704"/>
      <c r="D23" s="1336"/>
      <c r="E23" s="1337"/>
      <c r="F23" s="1338"/>
      <c r="G23" s="1339"/>
      <c r="H23" s="1338"/>
      <c r="I23" s="1339"/>
      <c r="J23" s="71"/>
    </row>
    <row r="24" spans="2:10">
      <c r="B24" s="705" t="s">
        <v>234</v>
      </c>
      <c r="C24" s="420"/>
      <c r="D24" s="1334">
        <v>1234</v>
      </c>
      <c r="E24" s="1335"/>
      <c r="F24" s="1334">
        <v>1234</v>
      </c>
      <c r="G24" s="1335"/>
      <c r="H24" s="1334">
        <v>1234</v>
      </c>
      <c r="I24" s="1335"/>
      <c r="J24" s="72"/>
    </row>
    <row r="25" spans="2:10">
      <c r="B25" s="705" t="s">
        <v>235</v>
      </c>
      <c r="C25" s="705"/>
      <c r="D25" s="1332">
        <v>1233</v>
      </c>
      <c r="E25" s="1333"/>
      <c r="F25" s="1332">
        <v>1233</v>
      </c>
      <c r="G25" s="1333"/>
      <c r="H25" s="1332">
        <v>1233</v>
      </c>
      <c r="I25" s="1333"/>
      <c r="J25" s="59"/>
    </row>
    <row r="26" spans="2:10">
      <c r="B26" s="704" t="s">
        <v>236</v>
      </c>
      <c r="C26" s="420"/>
      <c r="D26" s="1332">
        <f>SUM(D24-D25)</f>
        <v>1</v>
      </c>
      <c r="E26" s="1333"/>
      <c r="F26" s="1332">
        <f>SUM(F24-F25)</f>
        <v>1</v>
      </c>
      <c r="G26" s="1333"/>
      <c r="H26" s="1332">
        <f>SUM(H24-H25)</f>
        <v>1</v>
      </c>
      <c r="I26" s="1333"/>
      <c r="J26" s="59"/>
    </row>
    <row r="27" spans="2:10" ht="14.65" thickBot="1">
      <c r="B27" s="704" t="s">
        <v>237</v>
      </c>
      <c r="C27" s="705"/>
      <c r="D27" s="1330">
        <f>SUM(D26/D25)*100</f>
        <v>8.1103000811030015E-2</v>
      </c>
      <c r="E27" s="1331"/>
      <c r="F27" s="1330">
        <f>SUM(F26/F25)*100</f>
        <v>8.1103000811030015E-2</v>
      </c>
      <c r="G27" s="1331"/>
      <c r="H27" s="1330">
        <f>SUM(H26/H25)*100</f>
        <v>8.1103000811030015E-2</v>
      </c>
      <c r="I27" s="1331"/>
      <c r="J27" s="35"/>
    </row>
    <row r="28" spans="2:10">
      <c r="B28" s="193"/>
      <c r="C28" s="194"/>
      <c r="D28" s="196"/>
      <c r="E28" s="35"/>
      <c r="F28" s="35"/>
      <c r="G28" s="35"/>
      <c r="H28" s="120"/>
      <c r="I28" s="120"/>
      <c r="J28" s="35"/>
    </row>
    <row r="29" spans="2:10">
      <c r="B29" s="100" t="s">
        <v>238</v>
      </c>
      <c r="C29" s="99"/>
      <c r="D29" s="35" t="s">
        <v>239</v>
      </c>
      <c r="E29" s="35"/>
      <c r="F29" s="35"/>
      <c r="G29" s="35"/>
      <c r="H29" s="35"/>
      <c r="I29" s="96"/>
      <c r="J29" s="35"/>
    </row>
    <row r="30" spans="2:10">
      <c r="B30" s="99" t="s">
        <v>240</v>
      </c>
      <c r="C30" s="35"/>
      <c r="D30" s="35"/>
      <c r="E30" s="35"/>
      <c r="F30" s="35"/>
      <c r="G30" s="35"/>
      <c r="H30" s="35"/>
      <c r="I30" s="35"/>
      <c r="J30" s="35"/>
    </row>
    <row r="31" spans="2:10">
      <c r="B31" s="35" t="s">
        <v>241</v>
      </c>
      <c r="C31" s="35"/>
      <c r="D31" s="35"/>
      <c r="E31" s="35"/>
      <c r="F31" s="35"/>
      <c r="G31" s="35"/>
      <c r="H31" s="35"/>
      <c r="I31" s="35"/>
      <c r="J31" s="35"/>
    </row>
    <row r="32" spans="2:10">
      <c r="B32" s="41"/>
      <c r="C32" s="41"/>
      <c r="D32" s="41"/>
      <c r="E32" s="41"/>
      <c r="F32" s="63"/>
      <c r="G32" s="63"/>
      <c r="H32" s="63"/>
      <c r="I32" s="41"/>
      <c r="J32" s="41"/>
    </row>
    <row r="33" spans="2:10">
      <c r="B33" s="41"/>
      <c r="C33" s="41"/>
      <c r="D33" s="41"/>
      <c r="E33" s="41"/>
      <c r="F33" s="63"/>
      <c r="G33" s="63"/>
      <c r="H33" s="63"/>
      <c r="I33" s="41"/>
      <c r="J33" s="41"/>
    </row>
    <row r="34" spans="2:10">
      <c r="B34" s="127"/>
      <c r="C34" s="127"/>
      <c r="D34" s="127"/>
      <c r="E34" s="127"/>
      <c r="F34" s="1325" t="s">
        <v>100</v>
      </c>
      <c r="G34" s="1325"/>
      <c r="H34" s="127"/>
      <c r="I34" s="127"/>
      <c r="J34" s="127"/>
    </row>
    <row r="35" spans="2:10">
      <c r="B35" s="60"/>
      <c r="C35" s="41"/>
      <c r="D35" s="41"/>
      <c r="E35" s="41"/>
      <c r="F35" s="100"/>
      <c r="G35" s="41"/>
      <c r="H35" s="41"/>
      <c r="I35" s="41"/>
      <c r="J35" s="41"/>
    </row>
    <row r="36" spans="2:10">
      <c r="B36" s="41"/>
      <c r="C36" s="41"/>
      <c r="D36" s="41"/>
      <c r="E36" s="41"/>
      <c r="F36" s="1326"/>
      <c r="G36" s="1326"/>
      <c r="H36" s="1326"/>
      <c r="I36" s="41"/>
      <c r="J36" s="41"/>
    </row>
    <row r="37" spans="2:10">
      <c r="B37" s="41"/>
      <c r="C37" s="41"/>
      <c r="D37" s="60"/>
      <c r="E37" s="41"/>
      <c r="F37" s="1116" t="s">
        <v>101</v>
      </c>
      <c r="G37" s="1116"/>
      <c r="H37" s="1116"/>
      <c r="I37" s="41"/>
      <c r="J37" s="41"/>
    </row>
    <row r="38" spans="2:10">
      <c r="B38" s="41"/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41"/>
      <c r="H39" s="41"/>
      <c r="I39" s="41"/>
      <c r="J39" s="41"/>
    </row>
    <row r="40" spans="2:10">
      <c r="B40" s="190"/>
      <c r="C40" s="74"/>
      <c r="D40" s="191"/>
      <c r="E40" s="59"/>
      <c r="F40" s="59"/>
      <c r="G40" s="59"/>
      <c r="H40" s="59"/>
      <c r="I40" s="41"/>
      <c r="J40" s="41"/>
    </row>
    <row r="41" spans="2:10">
      <c r="B41" s="185" t="s">
        <v>229</v>
      </c>
      <c r="C41" s="97"/>
      <c r="D41" s="97"/>
      <c r="E41" s="97"/>
      <c r="F41" s="146"/>
      <c r="G41" s="41"/>
      <c r="H41" s="41"/>
      <c r="I41" s="41"/>
      <c r="J41" s="41"/>
    </row>
    <row r="42" spans="2:10">
      <c r="B42" s="97"/>
      <c r="C42" s="97"/>
      <c r="D42" s="97"/>
      <c r="E42" s="97"/>
      <c r="F42" s="146"/>
      <c r="G42" s="59"/>
      <c r="H42" s="59"/>
      <c r="I42" s="41"/>
      <c r="J42" s="41"/>
    </row>
    <row r="43" spans="2:10">
      <c r="B43" s="186"/>
      <c r="C43" s="186"/>
      <c r="D43" s="186"/>
      <c r="E43" s="189"/>
      <c r="F43" s="147"/>
      <c r="G43" s="191"/>
      <c r="H43" s="191"/>
      <c r="I43" s="191"/>
      <c r="J43" s="191"/>
    </row>
    <row r="44" spans="2:10">
      <c r="B44" s="187"/>
      <c r="C44" s="188"/>
      <c r="D44" s="188"/>
      <c r="E44" s="179"/>
      <c r="F44" s="59"/>
      <c r="G44" s="59"/>
      <c r="H44" s="59"/>
      <c r="I44" s="41"/>
      <c r="J44" s="41"/>
    </row>
    <row r="45" spans="2:10">
      <c r="B45" s="178"/>
      <c r="C45" s="178"/>
      <c r="D45" s="178"/>
      <c r="E45" s="178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48"/>
      <c r="E47" s="48"/>
      <c r="F47" s="48"/>
      <c r="G47" s="48"/>
      <c r="H47" s="48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21">
    <mergeCell ref="D24:E24"/>
    <mergeCell ref="F24:G24"/>
    <mergeCell ref="H24:I24"/>
    <mergeCell ref="B9:H9"/>
    <mergeCell ref="C19:J19"/>
    <mergeCell ref="D23:E23"/>
    <mergeCell ref="F23:G23"/>
    <mergeCell ref="H23:I23"/>
    <mergeCell ref="D25:E25"/>
    <mergeCell ref="F25:G25"/>
    <mergeCell ref="H25:I25"/>
    <mergeCell ref="D26:E26"/>
    <mergeCell ref="F26:G26"/>
    <mergeCell ref="H26:I26"/>
    <mergeCell ref="B52:J52"/>
    <mergeCell ref="D27:E27"/>
    <mergeCell ref="F27:G27"/>
    <mergeCell ref="H27:I27"/>
    <mergeCell ref="F34:G34"/>
    <mergeCell ref="F36:H36"/>
    <mergeCell ref="F37:H37"/>
  </mergeCells>
  <pageMargins left="0.45" right="0.7" top="0.75" bottom="0.75" header="0.3" footer="0.3"/>
  <pageSetup paperSize="9" orientation="portrait" horizont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3EA7-74B7-4618-B155-3F3D50F5B6ED}">
  <sheetPr codeName="Лист36">
    <tabColor theme="8" tint="0.39997558519241921"/>
  </sheetPr>
  <dimension ref="A2:J54"/>
  <sheetViews>
    <sheetView view="pageLayout" topLeftCell="A13" zoomScaleNormal="100" zoomScaleSheetLayoutView="110" workbookViewId="0">
      <selection activeCell="B45" sqref="B45"/>
    </sheetView>
  </sheetViews>
  <sheetFormatPr defaultColWidth="8.86328125" defaultRowHeight="14.25"/>
  <cols>
    <col min="1" max="1" width="4.6640625" customWidth="1"/>
    <col min="2" max="2" width="15.86328125" customWidth="1"/>
    <col min="4" max="4" width="9.46484375" bestFit="1" customWidth="1"/>
    <col min="6" max="6" width="10.19921875" customWidth="1"/>
    <col min="10" max="10" width="7.86328125" customWidth="1"/>
  </cols>
  <sheetData>
    <row r="2" spans="2:10">
      <c r="B2" s="106"/>
      <c r="C2" s="106"/>
      <c r="D2" s="85"/>
      <c r="E2" s="85"/>
      <c r="F2" s="104" t="s">
        <v>79</v>
      </c>
      <c r="G2" s="113"/>
      <c r="H2" s="113"/>
      <c r="I2" s="113"/>
      <c r="J2" s="85"/>
    </row>
    <row r="3" spans="2:10" ht="15" customHeight="1">
      <c r="B3" s="106"/>
      <c r="C3" s="106"/>
      <c r="D3" s="108"/>
      <c r="E3" s="108"/>
      <c r="F3" s="104" t="s">
        <v>80</v>
      </c>
      <c r="G3" s="114"/>
      <c r="H3" s="114"/>
      <c r="I3" s="115"/>
      <c r="J3" s="106"/>
    </row>
    <row r="4" spans="2:10" ht="15" customHeight="1">
      <c r="B4" s="106"/>
      <c r="C4" s="106"/>
      <c r="D4" s="106"/>
      <c r="E4" s="106"/>
      <c r="F4" s="104" t="s">
        <v>80</v>
      </c>
      <c r="G4" s="115"/>
      <c r="H4" s="115"/>
      <c r="I4" s="115"/>
      <c r="J4" s="106"/>
    </row>
    <row r="5" spans="2:10" ht="15" customHeight="1">
      <c r="B5" s="106"/>
      <c r="C5" s="58"/>
      <c r="D5" s="58"/>
      <c r="E5" s="58"/>
      <c r="F5" s="102" t="s">
        <v>81</v>
      </c>
      <c r="G5" s="116"/>
      <c r="H5" s="117"/>
      <c r="I5" s="117"/>
      <c r="J5" s="106"/>
    </row>
    <row r="6" spans="2:10">
      <c r="B6" s="110" t="s">
        <v>83</v>
      </c>
      <c r="C6" s="112"/>
      <c r="D6" s="111"/>
      <c r="E6" s="111"/>
      <c r="F6" s="104" t="s">
        <v>82</v>
      </c>
      <c r="G6" s="118"/>
      <c r="H6" s="119"/>
      <c r="I6" s="119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5.4">
      <c r="B9" s="1322" t="s">
        <v>84</v>
      </c>
      <c r="C9" s="1322"/>
      <c r="D9" s="1322"/>
      <c r="E9" s="1322"/>
      <c r="F9" s="1322"/>
      <c r="G9" s="1322"/>
      <c r="H9" s="1322"/>
      <c r="I9" s="60"/>
      <c r="J9" s="60"/>
    </row>
    <row r="10" spans="2:10">
      <c r="B10" s="60"/>
      <c r="C10" s="100" t="s">
        <v>242</v>
      </c>
      <c r="D10" s="100"/>
      <c r="E10" s="100"/>
      <c r="F10" s="100"/>
      <c r="G10" s="100"/>
      <c r="H10" s="100"/>
      <c r="I10" s="60"/>
      <c r="J10" s="60"/>
    </row>
    <row r="11" spans="2:10">
      <c r="B11" s="60"/>
      <c r="C11" s="239"/>
      <c r="D11" s="99"/>
      <c r="E11" s="239"/>
      <c r="F11" s="239"/>
      <c r="G11" s="239"/>
      <c r="H11" s="239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86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86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60" t="s">
        <v>16</v>
      </c>
      <c r="C15" s="60"/>
      <c r="D15" s="60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1:10">
      <c r="B17" s="63"/>
      <c r="C17" s="95"/>
      <c r="D17" s="63"/>
      <c r="E17" s="63"/>
      <c r="F17" s="63"/>
      <c r="G17" s="63"/>
      <c r="H17" s="63"/>
      <c r="I17" s="63"/>
      <c r="J17" s="41"/>
    </row>
    <row r="18" spans="1:10">
      <c r="A18" s="1340" t="s">
        <v>251</v>
      </c>
      <c r="B18" s="1340"/>
      <c r="C18" s="1340"/>
      <c r="D18" s="1340"/>
      <c r="E18" s="1340"/>
      <c r="F18" s="1340"/>
      <c r="G18" s="1340"/>
      <c r="H18" s="1340"/>
      <c r="I18" s="1340"/>
      <c r="J18" s="1340"/>
    </row>
    <row r="19" spans="1:10">
      <c r="A19" s="1340"/>
      <c r="B19" s="1340"/>
      <c r="C19" s="1340"/>
      <c r="D19" s="1340"/>
      <c r="E19" s="1340"/>
      <c r="F19" s="1340"/>
      <c r="G19" s="1340"/>
      <c r="H19" s="1340"/>
      <c r="I19" s="1340"/>
      <c r="J19" s="1340"/>
    </row>
    <row r="20" spans="1:10" ht="14.65" thickBot="1">
      <c r="B20" s="100"/>
      <c r="C20" s="100"/>
      <c r="D20" s="100"/>
      <c r="E20" s="100"/>
      <c r="F20" s="100"/>
      <c r="G20" s="60"/>
      <c r="H20" s="60"/>
      <c r="I20" s="60"/>
      <c r="J20" s="60"/>
    </row>
    <row r="21" spans="1:10" ht="42.5" customHeight="1" thickBot="1">
      <c r="B21" s="200" t="s">
        <v>243</v>
      </c>
      <c r="C21" s="204" t="s">
        <v>244</v>
      </c>
      <c r="D21" s="201" t="s">
        <v>245</v>
      </c>
      <c r="E21" s="201" t="s">
        <v>246</v>
      </c>
      <c r="F21" s="201" t="s">
        <v>250</v>
      </c>
      <c r="G21" s="201" t="s">
        <v>249</v>
      </c>
      <c r="H21" s="202" t="s">
        <v>247</v>
      </c>
      <c r="I21" s="157"/>
      <c r="J21" s="238"/>
    </row>
    <row r="22" spans="1:10">
      <c r="B22" s="707" t="s">
        <v>252</v>
      </c>
      <c r="C22" s="211">
        <v>12345</v>
      </c>
      <c r="D22" s="226">
        <v>12344</v>
      </c>
      <c r="E22" s="216">
        <v>12334</v>
      </c>
      <c r="F22" s="219">
        <f>IF(B22="","",D22-E22)</f>
        <v>10</v>
      </c>
      <c r="G22" s="229">
        <f>IF(B22="","",(F22/E22*100))</f>
        <v>8.1076698556834761E-2</v>
      </c>
      <c r="H22" s="225">
        <f>IF(B22="","",(SUM((D22/F30)-E22)/E22)*100)</f>
        <v>3.3895420439636821</v>
      </c>
      <c r="I22" s="69"/>
      <c r="J22" s="238"/>
    </row>
    <row r="23" spans="1:10">
      <c r="B23" s="708"/>
      <c r="C23" s="212"/>
      <c r="D23" s="220"/>
      <c r="E23" s="214"/>
      <c r="F23" s="219" t="str">
        <f>IF(B23="","",D23-E23)</f>
        <v/>
      </c>
      <c r="G23" s="218" t="str">
        <f t="shared" ref="G23:G27" si="0">IF(B23="","",(F23/E23*100))</f>
        <v/>
      </c>
      <c r="H23" s="223" t="str">
        <f t="shared" ref="H23:H28" si="1">IF(B23="","",(SUM((D23/F31)-E23)/E23)*100)</f>
        <v/>
      </c>
      <c r="I23" s="198"/>
      <c r="J23" s="71"/>
    </row>
    <row r="24" spans="1:10">
      <c r="B24" s="709"/>
      <c r="C24" s="212"/>
      <c r="D24" s="221"/>
      <c r="E24" s="214"/>
      <c r="F24" s="219" t="str">
        <f t="shared" ref="F24:F28" si="2">IF(B24="","",D24-E24)</f>
        <v/>
      </c>
      <c r="G24" s="218" t="str">
        <f t="shared" si="0"/>
        <v/>
      </c>
      <c r="H24" s="223" t="str">
        <f t="shared" si="1"/>
        <v/>
      </c>
      <c r="I24" s="197"/>
      <c r="J24" s="72"/>
    </row>
    <row r="25" spans="1:10">
      <c r="B25" s="709"/>
      <c r="C25" s="212"/>
      <c r="D25" s="211"/>
      <c r="E25" s="213"/>
      <c r="F25" s="219" t="str">
        <f t="shared" si="2"/>
        <v/>
      </c>
      <c r="G25" s="218" t="str">
        <f t="shared" si="0"/>
        <v/>
      </c>
      <c r="H25" s="223" t="str">
        <f t="shared" si="1"/>
        <v/>
      </c>
      <c r="I25" s="62"/>
      <c r="J25" s="59"/>
    </row>
    <row r="26" spans="1:10">
      <c r="B26" s="708"/>
      <c r="C26" s="212"/>
      <c r="D26" s="211"/>
      <c r="E26" s="213"/>
      <c r="F26" s="219" t="str">
        <f t="shared" si="2"/>
        <v/>
      </c>
      <c r="G26" s="218" t="str">
        <f t="shared" si="0"/>
        <v/>
      </c>
      <c r="H26" s="223" t="str">
        <f t="shared" si="1"/>
        <v/>
      </c>
      <c r="I26" s="62"/>
      <c r="J26" s="59"/>
    </row>
    <row r="27" spans="1:10">
      <c r="B27" s="708"/>
      <c r="C27" s="212"/>
      <c r="D27" s="222"/>
      <c r="E27" s="213"/>
      <c r="F27" s="219" t="str">
        <f t="shared" si="2"/>
        <v/>
      </c>
      <c r="G27" s="218" t="str">
        <f t="shared" si="0"/>
        <v/>
      </c>
      <c r="H27" s="223" t="str">
        <f t="shared" si="1"/>
        <v/>
      </c>
      <c r="I27" s="199"/>
      <c r="J27" s="35"/>
    </row>
    <row r="28" spans="1:10" ht="14.65" thickBot="1">
      <c r="B28" s="708"/>
      <c r="C28" s="212"/>
      <c r="D28" s="215"/>
      <c r="E28" s="217"/>
      <c r="F28" s="219" t="str">
        <f t="shared" si="2"/>
        <v/>
      </c>
      <c r="G28" s="706"/>
      <c r="H28" s="223" t="str">
        <f t="shared" si="1"/>
        <v/>
      </c>
      <c r="I28" s="120"/>
      <c r="J28" s="35"/>
    </row>
    <row r="29" spans="1:10" ht="14.65" thickBot="1">
      <c r="B29" s="207" t="s">
        <v>248</v>
      </c>
      <c r="C29" s="208">
        <f>SUM(C22:C28)</f>
        <v>12345</v>
      </c>
      <c r="D29" s="209">
        <f>SUM(D22:D28)</f>
        <v>12344</v>
      </c>
      <c r="E29" s="209">
        <f>SUM(E22:E28)</f>
        <v>12334</v>
      </c>
      <c r="F29" s="209">
        <f>SUM(F22:F28)</f>
        <v>10</v>
      </c>
      <c r="G29" s="228">
        <f>AVERAGE(G22:G28)</f>
        <v>8.1076698556834761E-2</v>
      </c>
      <c r="H29" s="227">
        <f>((D29/F30)-E29)/E29*100</f>
        <v>3.3895420439636821</v>
      </c>
      <c r="I29" s="96"/>
      <c r="J29" s="35"/>
    </row>
    <row r="30" spans="1:10" ht="14.65" thickBot="1">
      <c r="B30" s="231" t="s">
        <v>253</v>
      </c>
      <c r="C30" s="140" t="s">
        <v>254</v>
      </c>
      <c r="D30" s="35"/>
      <c r="E30" s="210"/>
      <c r="F30" s="224">
        <v>0.96799999999999997</v>
      </c>
      <c r="G30" s="35"/>
      <c r="H30" s="35"/>
      <c r="I30" s="35"/>
      <c r="J30" s="35"/>
    </row>
    <row r="31" spans="1:10">
      <c r="B31" s="35"/>
      <c r="C31" s="230" t="s">
        <v>255</v>
      </c>
      <c r="D31" s="35"/>
      <c r="E31" s="35"/>
      <c r="F31" s="35"/>
      <c r="G31" s="35"/>
      <c r="H31" s="35"/>
      <c r="I31" s="35"/>
      <c r="J31" s="35"/>
    </row>
    <row r="32" spans="1:10">
      <c r="B32" s="41"/>
      <c r="C32" s="127" t="s">
        <v>256</v>
      </c>
      <c r="D32" s="41"/>
      <c r="E32" s="41"/>
      <c r="F32" s="63"/>
      <c r="G32" s="63"/>
      <c r="H32" s="63"/>
      <c r="I32" s="41"/>
      <c r="J32" s="41"/>
    </row>
    <row r="33" spans="2:10">
      <c r="B33" s="41"/>
      <c r="C33" s="41"/>
      <c r="D33" s="41"/>
      <c r="E33" s="41"/>
      <c r="F33" s="63"/>
      <c r="G33" s="63"/>
      <c r="H33" s="63"/>
      <c r="I33" s="41"/>
      <c r="J33" s="41"/>
    </row>
    <row r="34" spans="2:10">
      <c r="B34" s="130" t="s">
        <v>257</v>
      </c>
      <c r="C34" s="130"/>
      <c r="D34" s="130"/>
      <c r="E34" s="130"/>
      <c r="F34" s="130"/>
      <c r="G34" s="130"/>
      <c r="H34" s="130"/>
      <c r="I34" s="130"/>
      <c r="J34" s="127"/>
    </row>
    <row r="35" spans="2:10">
      <c r="B35" s="106" t="s">
        <v>258</v>
      </c>
      <c r="C35" s="41"/>
      <c r="D35" s="41"/>
      <c r="E35" s="41"/>
      <c r="F35" s="100"/>
      <c r="G35" s="41"/>
      <c r="H35" s="41"/>
      <c r="I35" s="41"/>
      <c r="J35" s="41"/>
    </row>
    <row r="36" spans="2:10">
      <c r="B36" s="127" t="s">
        <v>259</v>
      </c>
      <c r="C36" s="41"/>
      <c r="D36" s="41"/>
      <c r="E36" s="41"/>
      <c r="F36" s="62"/>
      <c r="G36" s="62"/>
      <c r="H36" s="62"/>
      <c r="I36" s="41"/>
      <c r="J36" s="41"/>
    </row>
    <row r="37" spans="2:10">
      <c r="B37" s="41"/>
      <c r="C37" s="41"/>
      <c r="D37" s="60"/>
      <c r="E37" s="41"/>
      <c r="F37" s="205"/>
      <c r="G37" s="205"/>
      <c r="H37" s="205"/>
      <c r="I37" s="41"/>
      <c r="J37" s="41"/>
    </row>
    <row r="38" spans="2:10">
      <c r="B38" s="28" t="s">
        <v>260</v>
      </c>
      <c r="C38" s="41"/>
      <c r="D38" s="60"/>
      <c r="E38" s="41"/>
      <c r="F38" s="41"/>
      <c r="G38" s="41"/>
      <c r="H38" s="41"/>
      <c r="I38" s="41"/>
      <c r="J38" s="41"/>
    </row>
    <row r="39" spans="2:10">
      <c r="B39" s="41"/>
      <c r="C39" s="41"/>
      <c r="D39" s="41"/>
      <c r="E39" s="41"/>
      <c r="F39" s="41"/>
      <c r="G39" s="28" t="s">
        <v>480</v>
      </c>
      <c r="H39" s="41"/>
      <c r="I39" s="41"/>
      <c r="J39" s="41"/>
    </row>
    <row r="40" spans="2:10">
      <c r="B40" s="236"/>
      <c r="C40" s="74"/>
      <c r="D40" s="238"/>
      <c r="E40" s="59"/>
      <c r="F40" s="59"/>
      <c r="G40" s="59"/>
      <c r="H40" s="59"/>
      <c r="I40" s="41"/>
      <c r="J40" s="41"/>
    </row>
    <row r="41" spans="2:10">
      <c r="B41" s="185" t="s">
        <v>265</v>
      </c>
      <c r="C41" s="97"/>
      <c r="D41" s="1341" t="s">
        <v>261</v>
      </c>
      <c r="E41" s="1341"/>
      <c r="F41" s="232"/>
      <c r="G41" s="233"/>
      <c r="H41" s="233"/>
      <c r="I41" s="41"/>
      <c r="J41" s="41"/>
    </row>
    <row r="42" spans="2:10">
      <c r="B42" s="97" t="s">
        <v>266</v>
      </c>
      <c r="C42" s="97"/>
      <c r="D42" s="97"/>
      <c r="E42" s="97"/>
      <c r="F42" s="146"/>
      <c r="G42" s="59"/>
      <c r="H42" s="59"/>
      <c r="I42" s="41"/>
      <c r="J42" s="41"/>
    </row>
    <row r="43" spans="2:10">
      <c r="B43" s="189"/>
      <c r="C43" s="189"/>
      <c r="D43" s="1341" t="s">
        <v>262</v>
      </c>
      <c r="E43" s="1341"/>
      <c r="F43" s="234"/>
      <c r="G43" s="237"/>
      <c r="H43" s="237"/>
      <c r="I43" s="238"/>
      <c r="J43" s="238"/>
    </row>
    <row r="44" spans="2:10">
      <c r="B44" s="206"/>
      <c r="C44" s="178"/>
      <c r="D44" s="178"/>
      <c r="E44" s="179"/>
      <c r="F44" s="59"/>
      <c r="G44" s="59"/>
      <c r="H44" s="59"/>
      <c r="I44" s="41"/>
      <c r="J44" s="41"/>
    </row>
    <row r="45" spans="2:10">
      <c r="B45" s="178"/>
      <c r="C45" s="178"/>
      <c r="D45" s="1314" t="s">
        <v>263</v>
      </c>
      <c r="E45" s="1314"/>
      <c r="F45" s="233"/>
      <c r="G45" s="233"/>
      <c r="H45" s="233"/>
      <c r="I45" s="41"/>
      <c r="J45" s="41"/>
    </row>
    <row r="46" spans="2:10">
      <c r="B46" s="49"/>
      <c r="C46" s="49"/>
      <c r="D46" s="49"/>
      <c r="E46" s="49"/>
      <c r="F46" s="49"/>
      <c r="G46" s="49"/>
      <c r="H46" s="49"/>
      <c r="I46" s="49"/>
      <c r="J46" s="49"/>
    </row>
    <row r="47" spans="2:10">
      <c r="B47" s="48"/>
      <c r="C47" s="48"/>
      <c r="D47" s="1342" t="s">
        <v>264</v>
      </c>
      <c r="E47" s="1342"/>
      <c r="F47" s="235"/>
      <c r="G47" s="235"/>
      <c r="H47" s="235"/>
      <c r="I47" s="48"/>
      <c r="J47" s="48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1264"/>
      <c r="C52" s="1264"/>
      <c r="D52" s="1264"/>
      <c r="E52" s="1264"/>
      <c r="F52" s="1264"/>
      <c r="G52" s="1264"/>
      <c r="H52" s="1264"/>
      <c r="I52" s="1264"/>
      <c r="J52" s="1264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7">
    <mergeCell ref="B52:J52"/>
    <mergeCell ref="B9:H9"/>
    <mergeCell ref="A18:J19"/>
    <mergeCell ref="D41:E41"/>
    <mergeCell ref="D43:E43"/>
    <mergeCell ref="D45:E45"/>
    <mergeCell ref="D47:E47"/>
  </mergeCells>
  <pageMargins left="0.53333333333333333" right="0.10833333333333334" top="0.45833333333333331" bottom="0.81666666666666665" header="0.3" footer="0.3"/>
  <pageSetup paperSize="9" orientation="portrait" horizont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5364-B82D-49F8-9F36-8B2DE3E0820E}">
  <sheetPr codeName="Лист37">
    <tabColor theme="8" tint="0.39997558519241921"/>
  </sheetPr>
  <dimension ref="A2:J55"/>
  <sheetViews>
    <sheetView view="pageLayout" topLeftCell="A13" zoomScaleNormal="100" zoomScaleSheetLayoutView="110" workbookViewId="0">
      <selection activeCell="I44" sqref="I44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46484375" bestFit="1" customWidth="1"/>
    <col min="5" max="6" width="10.19921875" customWidth="1"/>
    <col min="7" max="7" width="10.1328125" bestFit="1" customWidth="1"/>
    <col min="10" max="10" width="7.86328125" customWidth="1"/>
  </cols>
  <sheetData>
    <row r="2" spans="2:10">
      <c r="B2" s="106"/>
      <c r="C2" s="106"/>
      <c r="D2" s="85"/>
      <c r="E2" s="85"/>
      <c r="F2" s="104"/>
      <c r="G2" s="85"/>
      <c r="H2" s="85"/>
      <c r="I2" s="85"/>
      <c r="J2" s="85"/>
    </row>
    <row r="3" spans="2:10" ht="15" customHeight="1">
      <c r="B3" s="106"/>
      <c r="C3" s="106"/>
      <c r="D3" s="108"/>
      <c r="E3" s="108"/>
      <c r="F3" s="104"/>
      <c r="G3" s="108"/>
      <c r="H3" s="108"/>
      <c r="I3" s="106"/>
      <c r="J3" s="106"/>
    </row>
    <row r="4" spans="2:10" ht="15" customHeight="1">
      <c r="B4" s="106"/>
      <c r="C4" s="106"/>
      <c r="D4" s="106"/>
      <c r="E4" s="106"/>
      <c r="F4" s="104"/>
      <c r="G4" s="106"/>
      <c r="H4" s="106"/>
      <c r="I4" s="106"/>
      <c r="J4" s="106"/>
    </row>
    <row r="5" spans="2:10" ht="15" customHeight="1">
      <c r="B5" s="106"/>
      <c r="C5" s="58"/>
      <c r="D5" s="58"/>
      <c r="E5" s="58"/>
      <c r="F5" s="102"/>
      <c r="G5" s="243"/>
      <c r="H5" s="109"/>
      <c r="I5" s="109"/>
      <c r="J5" s="106"/>
    </row>
    <row r="6" spans="2:10">
      <c r="B6" s="246"/>
      <c r="C6" s="111"/>
      <c r="D6" s="111"/>
      <c r="E6" s="111"/>
      <c r="F6" s="104"/>
      <c r="G6" s="244"/>
      <c r="H6" s="245"/>
      <c r="I6" s="245"/>
      <c r="J6" s="106"/>
    </row>
    <row r="7" spans="2:10">
      <c r="B7" s="56"/>
      <c r="C7" s="58"/>
      <c r="D7" s="58"/>
      <c r="E7" s="58"/>
      <c r="F7" s="58"/>
      <c r="G7" s="94"/>
      <c r="H7" s="55"/>
      <c r="I7" s="55"/>
      <c r="J7" s="60"/>
    </row>
    <row r="8" spans="2:10">
      <c r="B8" s="59"/>
      <c r="C8" s="59"/>
      <c r="D8" s="59"/>
      <c r="E8" s="59"/>
      <c r="F8" s="59"/>
      <c r="G8" s="59"/>
      <c r="H8" s="60"/>
      <c r="I8" s="60"/>
      <c r="J8" s="60"/>
    </row>
    <row r="9" spans="2:10" ht="17.25">
      <c r="B9" s="247"/>
      <c r="C9" s="1343" t="s">
        <v>267</v>
      </c>
      <c r="D9" s="1343"/>
      <c r="E9" s="1343"/>
      <c r="F9" s="1343"/>
      <c r="G9" s="1343"/>
      <c r="H9" s="247"/>
      <c r="I9" s="60"/>
      <c r="J9" s="60"/>
    </row>
    <row r="10" spans="2:10">
      <c r="B10" s="60"/>
      <c r="C10" s="100"/>
      <c r="D10" s="100" t="s">
        <v>687</v>
      </c>
      <c r="E10" s="100"/>
      <c r="F10" s="100"/>
      <c r="G10" s="100"/>
      <c r="H10" s="100"/>
      <c r="I10" s="60"/>
      <c r="J10" s="60"/>
    </row>
    <row r="11" spans="2:10">
      <c r="B11" s="60"/>
      <c r="C11" s="239"/>
      <c r="D11" s="99"/>
      <c r="E11" s="239"/>
      <c r="F11" s="239"/>
      <c r="G11" s="239"/>
      <c r="H11" s="239"/>
      <c r="I11" s="60"/>
      <c r="J11" s="60"/>
    </row>
    <row r="12" spans="2:10">
      <c r="B12" s="60"/>
      <c r="C12" s="100"/>
      <c r="D12" s="60"/>
      <c r="E12" s="60"/>
      <c r="F12" s="60"/>
      <c r="G12" s="60"/>
      <c r="H12" s="60"/>
      <c r="I12" s="60"/>
      <c r="J12" s="60"/>
    </row>
    <row r="13" spans="2:10" ht="15" customHeight="1">
      <c r="B13" s="124" t="s">
        <v>268</v>
      </c>
      <c r="C13" s="122"/>
      <c r="D13" s="122"/>
      <c r="E13" s="60"/>
      <c r="F13" s="60"/>
      <c r="G13" s="60"/>
      <c r="H13" s="60"/>
      <c r="I13" s="60"/>
      <c r="J13" s="60"/>
    </row>
    <row r="14" spans="2:10" ht="15" customHeight="1">
      <c r="B14" s="124" t="s">
        <v>269</v>
      </c>
      <c r="C14" s="122"/>
      <c r="D14" s="123"/>
      <c r="E14" s="59"/>
      <c r="F14" s="59"/>
      <c r="G14" s="59"/>
      <c r="H14" s="98"/>
      <c r="I14" s="63"/>
      <c r="J14" s="60"/>
    </row>
    <row r="15" spans="2:10" ht="15" customHeight="1">
      <c r="B15" s="243" t="s">
        <v>270</v>
      </c>
      <c r="C15" s="83"/>
      <c r="D15" s="83"/>
      <c r="E15" s="60"/>
      <c r="F15" s="60"/>
      <c r="G15" s="60"/>
      <c r="H15" s="41"/>
      <c r="I15" s="41"/>
      <c r="J15" s="60"/>
    </row>
    <row r="16" spans="2:10">
      <c r="B16" s="60"/>
      <c r="C16" s="60"/>
      <c r="D16" s="60"/>
      <c r="E16" s="60"/>
      <c r="F16" s="60"/>
      <c r="G16" s="60"/>
      <c r="H16" s="41"/>
      <c r="I16" s="41"/>
      <c r="J16" s="60"/>
    </row>
    <row r="17" spans="1:10">
      <c r="B17" s="299" t="s">
        <v>54</v>
      </c>
      <c r="C17" s="64"/>
      <c r="D17" s="250"/>
      <c r="E17" s="63"/>
      <c r="F17" s="63"/>
      <c r="G17" s="63"/>
      <c r="H17" s="63"/>
      <c r="I17" s="63"/>
      <c r="J17" s="41"/>
    </row>
    <row r="18" spans="1:10">
      <c r="A18" s="125"/>
      <c r="B18" s="249" t="s">
        <v>1</v>
      </c>
      <c r="C18" s="251"/>
      <c r="D18" s="251"/>
      <c r="E18" s="125"/>
      <c r="F18" s="125"/>
      <c r="G18" s="125"/>
      <c r="H18" s="125"/>
      <c r="I18" s="125"/>
      <c r="J18" s="125"/>
    </row>
    <row r="19" spans="1:10">
      <c r="A19" s="125"/>
      <c r="B19" s="249" t="s">
        <v>271</v>
      </c>
      <c r="C19" s="251"/>
      <c r="D19" s="251"/>
      <c r="E19" s="125"/>
      <c r="F19" s="125"/>
      <c r="G19" s="125"/>
      <c r="H19" s="125"/>
      <c r="I19" s="125"/>
      <c r="J19" s="125"/>
    </row>
    <row r="20" spans="1:10">
      <c r="B20" s="100"/>
      <c r="C20" s="100"/>
      <c r="D20" s="100"/>
      <c r="E20" s="100"/>
      <c r="F20" s="100"/>
      <c r="G20" s="60"/>
      <c r="H20" s="60"/>
      <c r="I20" s="60"/>
      <c r="J20" s="60"/>
    </row>
    <row r="21" spans="1:10">
      <c r="B21" s="267" t="s">
        <v>272</v>
      </c>
      <c r="C21" s="252"/>
      <c r="D21" s="253"/>
      <c r="E21" s="253"/>
      <c r="F21" s="253"/>
      <c r="G21" s="253"/>
      <c r="H21" s="253"/>
      <c r="I21" s="157"/>
      <c r="J21" s="238"/>
    </row>
    <row r="22" spans="1:10">
      <c r="A22" s="262" t="s">
        <v>273</v>
      </c>
      <c r="B22" s="262"/>
      <c r="C22" s="140" t="s">
        <v>274</v>
      </c>
      <c r="D22" s="262"/>
      <c r="E22" s="262"/>
      <c r="F22" s="262"/>
      <c r="G22" s="262"/>
      <c r="H22" s="262"/>
      <c r="I22" s="262"/>
      <c r="J22" s="262"/>
    </row>
    <row r="23" spans="1:10">
      <c r="B23" s="256"/>
      <c r="C23" s="140" t="s">
        <v>275</v>
      </c>
      <c r="D23" s="257"/>
      <c r="E23" s="258"/>
      <c r="F23" s="255"/>
      <c r="G23" s="259"/>
      <c r="H23" s="260"/>
      <c r="I23" s="198"/>
      <c r="J23" s="71"/>
    </row>
    <row r="24" spans="1:10" ht="14.65" thickBot="1">
      <c r="B24" s="195"/>
      <c r="C24" s="140"/>
      <c r="D24" s="261"/>
      <c r="E24" s="258"/>
      <c r="F24" s="255"/>
      <c r="G24" s="259"/>
      <c r="H24" s="260"/>
      <c r="I24" s="197"/>
      <c r="J24" s="72"/>
    </row>
    <row r="25" spans="1:10" ht="14.65" thickBot="1">
      <c r="B25" s="1344" t="s">
        <v>276</v>
      </c>
      <c r="C25" s="1345"/>
      <c r="D25" s="1346" t="s">
        <v>277</v>
      </c>
      <c r="E25" s="1347"/>
      <c r="F25" s="1348" t="s">
        <v>278</v>
      </c>
      <c r="G25" s="1349"/>
      <c r="H25" s="1348" t="s">
        <v>279</v>
      </c>
      <c r="I25" s="1350"/>
      <c r="J25" s="59"/>
    </row>
    <row r="26" spans="1:10">
      <c r="B26" s="203"/>
      <c r="C26" s="140"/>
      <c r="D26" s="282"/>
      <c r="E26" s="271"/>
      <c r="F26" s="255"/>
      <c r="G26" s="270"/>
      <c r="H26" s="286"/>
      <c r="I26" s="275"/>
      <c r="J26" s="59"/>
    </row>
    <row r="27" spans="1:10">
      <c r="B27" s="203"/>
      <c r="C27" s="140"/>
      <c r="D27" s="211">
        <v>9443.0329999999994</v>
      </c>
      <c r="E27" s="288" t="s">
        <v>280</v>
      </c>
      <c r="F27" s="259">
        <v>9436.9359999999997</v>
      </c>
      <c r="G27" s="273" t="s">
        <v>280</v>
      </c>
      <c r="H27" s="290">
        <f>IF(D27="","",(F27-D27))</f>
        <v>-6.0969999999997526</v>
      </c>
      <c r="I27" s="276" t="s">
        <v>280</v>
      </c>
      <c r="J27" s="35"/>
    </row>
    <row r="28" spans="1:10">
      <c r="B28" s="203"/>
      <c r="C28" s="140"/>
      <c r="D28" s="215"/>
      <c r="E28" s="284"/>
      <c r="F28" s="255"/>
      <c r="G28" s="262"/>
      <c r="H28" s="291">
        <f>ROUND(H27*100/D27,4)</f>
        <v>-6.4600000000000005E-2</v>
      </c>
      <c r="I28" s="289" t="s">
        <v>281</v>
      </c>
      <c r="J28" s="35"/>
    </row>
    <row r="29" spans="1:10" ht="14.65" thickBot="1">
      <c r="B29" s="277"/>
      <c r="C29" s="278"/>
      <c r="D29" s="283"/>
      <c r="E29" s="285"/>
      <c r="F29" s="279"/>
      <c r="G29" s="280"/>
      <c r="H29" s="287"/>
      <c r="I29" s="281"/>
      <c r="J29" s="35"/>
    </row>
    <row r="30" spans="1:10">
      <c r="B30" s="266"/>
      <c r="C30" s="140"/>
      <c r="D30" s="35"/>
      <c r="E30" s="210"/>
      <c r="F30" s="73"/>
      <c r="G30" s="35"/>
      <c r="H30" s="35"/>
      <c r="I30" s="35"/>
      <c r="J30" s="35"/>
    </row>
    <row r="31" spans="1:10">
      <c r="B31" s="35"/>
      <c r="C31" s="140"/>
      <c r="D31" s="35"/>
      <c r="E31" s="35"/>
      <c r="F31" s="35"/>
      <c r="G31" s="35"/>
      <c r="H31" s="35"/>
      <c r="I31" s="35"/>
      <c r="J31" s="35"/>
    </row>
    <row r="32" spans="1:10">
      <c r="B32" s="41"/>
      <c r="C32" s="140"/>
      <c r="D32" s="41"/>
      <c r="E32" s="41"/>
      <c r="F32" s="63"/>
      <c r="G32" s="63"/>
      <c r="H32" s="63"/>
      <c r="I32" s="41"/>
      <c r="J32" s="41"/>
    </row>
    <row r="33" spans="2:10">
      <c r="B33" s="130" t="s">
        <v>282</v>
      </c>
      <c r="C33" s="41"/>
      <c r="D33" s="41"/>
      <c r="E33" s="41"/>
      <c r="F33" s="63"/>
      <c r="G33" s="63"/>
      <c r="H33" s="63"/>
      <c r="I33" s="41"/>
      <c r="J33" s="41"/>
    </row>
    <row r="34" spans="2:10">
      <c r="B34" s="106" t="s">
        <v>283</v>
      </c>
      <c r="C34" s="130"/>
      <c r="D34" s="130"/>
      <c r="E34" s="130"/>
      <c r="F34" s="130"/>
      <c r="G34" s="130"/>
      <c r="H34" s="130"/>
      <c r="I34" s="130"/>
      <c r="J34" s="127"/>
    </row>
    <row r="35" spans="2:10">
      <c r="B35" s="127" t="s">
        <v>284</v>
      </c>
      <c r="C35" s="41"/>
      <c r="D35" s="41"/>
      <c r="E35" s="41"/>
      <c r="F35" s="100"/>
      <c r="G35" s="41"/>
      <c r="H35" s="41"/>
      <c r="I35" s="41"/>
      <c r="J35" s="41"/>
    </row>
    <row r="36" spans="2:10">
      <c r="B36" s="41" t="s">
        <v>285</v>
      </c>
      <c r="C36" s="41"/>
      <c r="D36" s="41"/>
      <c r="E36" s="41"/>
      <c r="F36" s="62"/>
      <c r="G36" s="62"/>
      <c r="H36" s="62"/>
      <c r="I36" s="41"/>
      <c r="J36" s="41"/>
    </row>
    <row r="37" spans="2:10">
      <c r="B37" s="41"/>
      <c r="C37" s="41"/>
      <c r="D37" s="41"/>
      <c r="E37" s="41"/>
      <c r="F37" s="62"/>
      <c r="G37" s="62"/>
      <c r="H37" s="62"/>
      <c r="I37" s="41"/>
      <c r="J37" s="41"/>
    </row>
    <row r="38" spans="2:10">
      <c r="B38" s="41"/>
      <c r="C38" s="41"/>
      <c r="D38" s="60"/>
      <c r="E38" s="41"/>
      <c r="F38" s="205"/>
      <c r="G38" s="205" t="s">
        <v>480</v>
      </c>
      <c r="H38" s="205"/>
      <c r="I38" s="41"/>
      <c r="J38" s="41"/>
    </row>
    <row r="39" spans="2:10">
      <c r="B39" s="28"/>
      <c r="C39" s="41"/>
      <c r="D39" s="60"/>
      <c r="E39" s="41"/>
      <c r="F39" s="41"/>
      <c r="G39" s="41"/>
      <c r="H39" s="41"/>
      <c r="I39" s="41"/>
      <c r="J39" s="41"/>
    </row>
    <row r="40" spans="2:10">
      <c r="B40" s="46" t="s">
        <v>10</v>
      </c>
      <c r="C40" s="41"/>
      <c r="D40" s="41"/>
      <c r="E40" s="41"/>
      <c r="F40" s="1351" t="s">
        <v>286</v>
      </c>
      <c r="G40" s="1351"/>
      <c r="H40" s="1351"/>
      <c r="I40" s="41"/>
      <c r="J40" s="41"/>
    </row>
    <row r="41" spans="2:10">
      <c r="B41" s="236"/>
      <c r="C41" s="74"/>
      <c r="D41" s="238"/>
      <c r="E41" s="59"/>
      <c r="F41" s="59"/>
      <c r="G41" s="59"/>
      <c r="H41" s="59"/>
      <c r="I41" s="41"/>
      <c r="J41" s="41"/>
    </row>
    <row r="42" spans="2:10">
      <c r="B42" s="185" t="s">
        <v>287</v>
      </c>
      <c r="C42" s="295"/>
      <c r="D42" s="186"/>
      <c r="E42" s="189"/>
      <c r="F42" s="185" t="s">
        <v>287</v>
      </c>
      <c r="G42" s="233"/>
      <c r="H42" s="233"/>
      <c r="I42" s="41"/>
      <c r="J42" s="41"/>
    </row>
    <row r="43" spans="2:10">
      <c r="B43" s="97"/>
      <c r="C43" s="97"/>
      <c r="D43" s="97"/>
      <c r="E43" s="97"/>
      <c r="F43" s="146"/>
      <c r="G43" s="59"/>
      <c r="H43" s="59"/>
      <c r="I43" s="41"/>
      <c r="J43" s="41"/>
    </row>
    <row r="44" spans="2:10">
      <c r="B44" s="189"/>
      <c r="C44" s="189"/>
      <c r="D44" s="189"/>
      <c r="E44" s="189"/>
      <c r="F44" s="205"/>
      <c r="G44" s="238"/>
      <c r="H44" s="238"/>
      <c r="I44" s="238"/>
      <c r="J44" s="238"/>
    </row>
    <row r="45" spans="2:10">
      <c r="B45" s="206" t="s">
        <v>288</v>
      </c>
      <c r="C45" s="296"/>
      <c r="D45" s="296"/>
      <c r="E45" s="179"/>
      <c r="F45" s="206" t="s">
        <v>288</v>
      </c>
      <c r="G45" s="123"/>
      <c r="H45" s="123"/>
      <c r="I45" s="41"/>
      <c r="J45" s="41"/>
    </row>
    <row r="46" spans="2:10">
      <c r="B46" s="178"/>
      <c r="C46" s="178"/>
      <c r="D46" s="293"/>
      <c r="E46" s="293"/>
      <c r="F46" s="41"/>
      <c r="G46" s="41"/>
      <c r="H46" s="41"/>
      <c r="I46" s="41"/>
      <c r="J46" s="41"/>
    </row>
    <row r="47" spans="2:10">
      <c r="B47" s="49"/>
      <c r="C47" s="49"/>
      <c r="D47" s="49"/>
      <c r="E47" s="49"/>
      <c r="F47" s="60"/>
      <c r="G47" s="60"/>
      <c r="H47" s="60"/>
      <c r="I47" s="49"/>
      <c r="J47" s="49"/>
    </row>
    <row r="48" spans="2:10">
      <c r="B48" s="294" t="s">
        <v>1</v>
      </c>
      <c r="C48" s="297">
        <f ca="1">TODAY()</f>
        <v>46054</v>
      </c>
      <c r="D48" s="186"/>
      <c r="E48" s="185"/>
      <c r="F48" s="294" t="s">
        <v>1</v>
      </c>
      <c r="G48" s="297">
        <f ca="1">C48</f>
        <v>46054</v>
      </c>
      <c r="H48" s="235"/>
      <c r="I48" s="48"/>
      <c r="J48" s="48"/>
    </row>
    <row r="49" spans="2:10" ht="12" customHeight="1">
      <c r="F49" s="292"/>
      <c r="G49" s="292"/>
      <c r="H49" s="292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>
      <c r="B51" s="48"/>
      <c r="C51" s="48"/>
      <c r="D51" s="48"/>
      <c r="E51" s="48"/>
      <c r="F51" s="48"/>
      <c r="G51" s="48"/>
      <c r="H51" s="48"/>
      <c r="I51" s="48"/>
      <c r="J51" s="48"/>
    </row>
    <row r="53" spans="2:10">
      <c r="B53" s="1264"/>
      <c r="C53" s="1264"/>
      <c r="D53" s="1264"/>
      <c r="E53" s="1264"/>
      <c r="F53" s="1264"/>
      <c r="G53" s="1264"/>
      <c r="H53" s="1264"/>
      <c r="I53" s="1264"/>
      <c r="J53" s="1264"/>
    </row>
    <row r="54" spans="2:10">
      <c r="B54" s="1"/>
      <c r="C54" s="1"/>
      <c r="D54" s="1"/>
      <c r="E54" s="1"/>
      <c r="F54" s="1"/>
      <c r="G54" s="1"/>
      <c r="H54" s="1"/>
      <c r="I54" s="1"/>
      <c r="J54" s="1"/>
    </row>
    <row r="55" spans="2:10">
      <c r="B55" s="27"/>
      <c r="C55" s="1"/>
      <c r="D55" s="1"/>
      <c r="E55" s="1"/>
      <c r="F55" s="1"/>
      <c r="G55" s="1"/>
      <c r="H55" s="1"/>
      <c r="I55" s="1"/>
      <c r="J55" s="1"/>
    </row>
  </sheetData>
  <mergeCells count="7">
    <mergeCell ref="B53:J53"/>
    <mergeCell ref="C9:G9"/>
    <mergeCell ref="B25:C25"/>
    <mergeCell ref="D25:E25"/>
    <mergeCell ref="F25:G25"/>
    <mergeCell ref="H25:I25"/>
    <mergeCell ref="F40:H40"/>
  </mergeCells>
  <pageMargins left="0.53333333333333333" right="0.10833333333333334" top="0.45833333333333331" bottom="0.81666666666666665" header="0.3" footer="0.3"/>
  <pageSetup paperSize="9" orientation="portrait" horizont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9C46-36E7-45C4-9592-155CD184DFD6}">
  <sheetPr codeName="Лист38">
    <tabColor theme="8" tint="0.39997558519241921"/>
  </sheetPr>
  <dimension ref="A2:J56"/>
  <sheetViews>
    <sheetView view="pageLayout" topLeftCell="A7" zoomScaleNormal="100" zoomScaleSheetLayoutView="110" workbookViewId="0">
      <selection activeCell="F40" sqref="F40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46484375" bestFit="1" customWidth="1"/>
    <col min="5" max="6" width="10.19921875" customWidth="1"/>
    <col min="7" max="7" width="10.1328125" bestFit="1" customWidth="1"/>
    <col min="10" max="10" width="7.86328125" customWidth="1"/>
  </cols>
  <sheetData>
    <row r="2" spans="2:10">
      <c r="B2" s="106"/>
      <c r="C2" s="106"/>
      <c r="D2" s="85"/>
      <c r="E2" s="85"/>
      <c r="F2" s="104"/>
      <c r="G2" s="85"/>
      <c r="H2" s="85"/>
      <c r="I2" s="85"/>
      <c r="J2" s="85"/>
    </row>
    <row r="3" spans="2:10" ht="15" customHeight="1">
      <c r="B3" s="106"/>
      <c r="C3" s="106"/>
      <c r="D3" s="108"/>
      <c r="E3" s="108"/>
      <c r="F3" s="104"/>
      <c r="G3" s="108"/>
      <c r="H3" s="108"/>
      <c r="I3" s="106"/>
      <c r="J3" s="106"/>
    </row>
    <row r="4" spans="2:10" ht="15" customHeight="1">
      <c r="B4" s="106"/>
      <c r="C4" s="106"/>
      <c r="D4" s="106"/>
      <c r="E4" s="106"/>
      <c r="F4" s="104"/>
      <c r="G4" s="106"/>
      <c r="H4" s="106"/>
      <c r="I4" s="106"/>
      <c r="J4" s="106"/>
    </row>
    <row r="5" spans="2:10" ht="15" customHeight="1">
      <c r="B5" s="106"/>
      <c r="C5" s="58"/>
      <c r="D5" s="58"/>
      <c r="E5" s="58"/>
      <c r="F5" s="102"/>
      <c r="G5" s="243"/>
      <c r="H5" s="109"/>
      <c r="I5" s="109"/>
      <c r="J5" s="106"/>
    </row>
    <row r="6" spans="2:10">
      <c r="B6" s="246"/>
      <c r="C6" s="111"/>
      <c r="D6" s="111"/>
      <c r="E6" s="111"/>
      <c r="F6" s="104"/>
      <c r="G6" s="244"/>
      <c r="H6" s="245"/>
      <c r="I6" s="245"/>
      <c r="J6" s="106"/>
    </row>
    <row r="7" spans="2:10">
      <c r="B7" s="59"/>
      <c r="C7" s="59"/>
      <c r="D7" s="59"/>
      <c r="E7" s="59"/>
      <c r="F7" s="59"/>
      <c r="G7" s="59"/>
      <c r="H7" s="60"/>
      <c r="I7" s="60"/>
      <c r="J7" s="60"/>
    </row>
    <row r="8" spans="2:10" ht="17.649999999999999">
      <c r="B8" s="247"/>
      <c r="C8" s="1352" t="s">
        <v>267</v>
      </c>
      <c r="D8" s="1352"/>
      <c r="E8" s="1352"/>
      <c r="F8" s="1352"/>
      <c r="G8" s="1352"/>
      <c r="H8" s="247"/>
      <c r="I8" s="60"/>
      <c r="J8" s="60"/>
    </row>
    <row r="9" spans="2:10">
      <c r="B9" s="60"/>
      <c r="C9" s="100"/>
      <c r="D9" s="100" t="s">
        <v>686</v>
      </c>
      <c r="E9" s="100"/>
      <c r="F9" s="100"/>
      <c r="G9" s="100"/>
      <c r="H9" s="100"/>
      <c r="I9" s="60"/>
      <c r="J9" s="60"/>
    </row>
    <row r="10" spans="2:10">
      <c r="B10" s="60"/>
      <c r="C10" s="242"/>
      <c r="D10" s="99"/>
      <c r="E10" s="242"/>
      <c r="F10" s="242"/>
      <c r="G10" s="242"/>
      <c r="H10" s="242"/>
      <c r="I10" s="60"/>
      <c r="J10" s="60"/>
    </row>
    <row r="11" spans="2:10">
      <c r="B11" s="60"/>
      <c r="C11" s="100"/>
      <c r="D11" s="60"/>
      <c r="E11" s="60"/>
      <c r="F11" s="60"/>
      <c r="G11" s="60"/>
      <c r="H11" s="60"/>
      <c r="I11" s="60"/>
      <c r="J11" s="60"/>
    </row>
    <row r="12" spans="2:10"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2:10" ht="15" customHeight="1">
      <c r="B13" s="124" t="s">
        <v>269</v>
      </c>
      <c r="C13" s="122"/>
      <c r="D13" s="123"/>
      <c r="E13" s="59"/>
      <c r="F13" s="59"/>
      <c r="G13" s="59"/>
      <c r="H13" s="98"/>
      <c r="I13" s="63"/>
      <c r="J13" s="60"/>
    </row>
    <row r="14" spans="2:10" ht="15" customHeight="1"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2:10" ht="15" customHeight="1">
      <c r="B15" s="248" t="s">
        <v>289</v>
      </c>
      <c r="C15" s="83"/>
      <c r="D15" s="83"/>
      <c r="E15" s="60"/>
      <c r="F15" s="60"/>
      <c r="G15" s="60"/>
      <c r="H15" s="41"/>
      <c r="I15" s="41"/>
      <c r="J15" s="60"/>
    </row>
    <row r="16" spans="2:10">
      <c r="B16" s="124" t="s">
        <v>290</v>
      </c>
      <c r="C16" s="305"/>
      <c r="D16" s="306"/>
      <c r="E16" s="63"/>
      <c r="F16" s="63"/>
      <c r="G16" s="63"/>
      <c r="H16" s="63"/>
      <c r="I16" s="63"/>
      <c r="J16" s="41"/>
    </row>
    <row r="17" spans="1:10">
      <c r="A17" s="125"/>
      <c r="B17" s="267"/>
      <c r="C17" s="304"/>
      <c r="D17" s="304"/>
      <c r="E17" s="125"/>
      <c r="F17" s="125"/>
      <c r="G17" s="125"/>
      <c r="H17" s="125"/>
      <c r="I17" s="125"/>
      <c r="J17" s="125"/>
    </row>
    <row r="18" spans="1:10">
      <c r="A18" s="125"/>
      <c r="B18" s="267"/>
      <c r="C18" s="304"/>
      <c r="D18" s="304"/>
      <c r="E18" s="125"/>
      <c r="F18" s="125"/>
      <c r="G18" s="125"/>
      <c r="H18" s="125"/>
      <c r="I18" s="125"/>
      <c r="J18" s="125"/>
    </row>
    <row r="19" spans="1:10">
      <c r="B19" s="100" t="s">
        <v>291</v>
      </c>
      <c r="C19" s="100"/>
      <c r="D19" s="232"/>
      <c r="E19" s="232"/>
      <c r="F19" s="100"/>
      <c r="G19" s="60"/>
      <c r="H19" s="60"/>
      <c r="I19" s="60"/>
      <c r="J19" s="60"/>
    </row>
    <row r="20" spans="1:10">
      <c r="B20" s="267"/>
      <c r="C20" s="252"/>
      <c r="D20" s="253"/>
      <c r="E20" s="253"/>
      <c r="F20" s="253"/>
      <c r="G20" s="253"/>
      <c r="H20" s="253"/>
      <c r="I20" s="157"/>
      <c r="J20" s="241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B22" s="267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B23" s="195"/>
      <c r="C23" s="120" t="s">
        <v>292</v>
      </c>
      <c r="D23" s="261"/>
      <c r="E23" s="258"/>
      <c r="F23" s="255"/>
      <c r="G23" s="259"/>
      <c r="H23" s="260"/>
      <c r="I23" s="197"/>
      <c r="J23" s="72"/>
    </row>
    <row r="24" spans="1:10">
      <c r="B24" s="62"/>
      <c r="C24" s="120" t="s">
        <v>293</v>
      </c>
      <c r="D24" s="62"/>
      <c r="E24" s="62"/>
      <c r="F24" s="272"/>
      <c r="G24" s="272"/>
      <c r="H24" s="272"/>
      <c r="I24" s="272"/>
      <c r="J24" s="59"/>
    </row>
    <row r="25" spans="1:10">
      <c r="B25" s="256"/>
      <c r="C25" s="140"/>
      <c r="D25" s="269"/>
      <c r="E25" s="269"/>
      <c r="F25" s="255"/>
      <c r="G25" s="270"/>
      <c r="H25" s="270"/>
      <c r="I25" s="62"/>
      <c r="J25" s="59"/>
    </row>
    <row r="26" spans="1:10">
      <c r="B26" s="256" t="s">
        <v>294</v>
      </c>
      <c r="C26" s="140"/>
      <c r="D26" s="254"/>
      <c r="E26" s="254"/>
      <c r="F26" s="259"/>
      <c r="G26" s="273"/>
      <c r="H26" s="300"/>
      <c r="I26" s="274"/>
      <c r="J26" s="35"/>
    </row>
    <row r="27" spans="1:10">
      <c r="B27" s="256"/>
      <c r="C27" s="140"/>
      <c r="D27" s="264"/>
      <c r="E27" s="210"/>
      <c r="F27" s="255"/>
      <c r="G27" s="262"/>
      <c r="H27" s="301"/>
      <c r="I27" s="302"/>
      <c r="J27" s="35"/>
    </row>
    <row r="28" spans="1:10">
      <c r="B28" s="307" t="s">
        <v>296</v>
      </c>
      <c r="C28" s="61" t="s">
        <v>295</v>
      </c>
      <c r="D28" s="268"/>
      <c r="E28" s="263"/>
      <c r="F28" s="263"/>
      <c r="G28" s="265"/>
      <c r="H28" s="265"/>
      <c r="I28" s="96"/>
      <c r="J28" s="35"/>
    </row>
    <row r="29" spans="1:10">
      <c r="B29" s="266"/>
      <c r="C29" s="140"/>
      <c r="D29" s="35"/>
      <c r="E29" s="210"/>
      <c r="F29" s="73"/>
      <c r="G29" s="35"/>
      <c r="H29" s="35"/>
      <c r="I29" s="35"/>
      <c r="J29" s="35"/>
    </row>
    <row r="30" spans="1:10">
      <c r="B30" s="35"/>
      <c r="C30" s="140"/>
      <c r="D30" s="35"/>
      <c r="E30" s="35"/>
      <c r="F30" s="35"/>
      <c r="G30" s="35"/>
      <c r="H30" s="35"/>
      <c r="I30" s="35"/>
      <c r="J30" s="35"/>
    </row>
    <row r="31" spans="1:10">
      <c r="B31" s="41"/>
      <c r="C31" s="140"/>
      <c r="D31" s="41"/>
      <c r="E31" s="41"/>
      <c r="F31" s="63"/>
      <c r="G31" s="63"/>
      <c r="H31" s="63"/>
      <c r="I31" s="41"/>
      <c r="J31" s="41"/>
    </row>
    <row r="32" spans="1:10">
      <c r="B32" s="41"/>
      <c r="C32" s="41"/>
      <c r="D32" s="41"/>
      <c r="E32" s="41"/>
      <c r="F32" s="63"/>
      <c r="G32" s="63"/>
      <c r="H32" s="63"/>
      <c r="I32" s="41"/>
      <c r="J32" s="41"/>
    </row>
    <row r="33" spans="2:10">
      <c r="B33" s="130"/>
      <c r="C33" s="130"/>
      <c r="D33" s="130"/>
      <c r="E33" s="130"/>
      <c r="F33" s="130"/>
      <c r="G33" s="130"/>
      <c r="H33" s="130"/>
      <c r="I33" s="130"/>
      <c r="J33" s="127"/>
    </row>
    <row r="34" spans="2:10">
      <c r="B34" s="106"/>
      <c r="C34" s="41"/>
      <c r="D34" s="41"/>
      <c r="E34" s="41"/>
      <c r="F34" s="100"/>
      <c r="G34" s="41"/>
      <c r="H34" s="41"/>
      <c r="I34" s="41"/>
      <c r="J34" s="41"/>
    </row>
    <row r="35" spans="2:10">
      <c r="B35" s="127" t="s">
        <v>297</v>
      </c>
      <c r="C35" s="127"/>
      <c r="D35" s="127"/>
      <c r="E35" s="127"/>
      <c r="F35" s="313"/>
      <c r="G35" s="313"/>
      <c r="H35" s="313"/>
      <c r="I35" s="127"/>
      <c r="J35" s="127"/>
    </row>
    <row r="36" spans="2:10">
      <c r="B36" s="127" t="s">
        <v>299</v>
      </c>
      <c r="C36" s="127"/>
      <c r="D36" s="106"/>
      <c r="E36" s="127"/>
      <c r="F36" s="314"/>
      <c r="G36" s="314"/>
      <c r="H36" s="314"/>
      <c r="I36" s="127"/>
      <c r="J36" s="127"/>
    </row>
    <row r="37" spans="2:10">
      <c r="B37" s="127" t="s">
        <v>298</v>
      </c>
      <c r="C37" s="127"/>
      <c r="D37" s="106"/>
      <c r="E37" s="127"/>
      <c r="F37" s="127"/>
      <c r="G37" s="127"/>
      <c r="H37" s="127"/>
      <c r="I37" s="127"/>
      <c r="J37" s="127"/>
    </row>
    <row r="38" spans="2:10">
      <c r="B38" s="127"/>
      <c r="C38" s="127"/>
      <c r="D38" s="106"/>
      <c r="E38" s="127"/>
      <c r="F38" s="127"/>
      <c r="G38" s="127"/>
      <c r="H38" s="127"/>
      <c r="I38" s="127"/>
      <c r="J38" s="127"/>
    </row>
    <row r="39" spans="2:10">
      <c r="B39" s="127"/>
      <c r="C39" s="127"/>
      <c r="D39" s="106"/>
      <c r="E39" s="127"/>
      <c r="F39" s="127"/>
      <c r="G39" s="127" t="s">
        <v>480</v>
      </c>
      <c r="H39" s="127"/>
      <c r="I39" s="127"/>
      <c r="J39" s="127"/>
    </row>
    <row r="40" spans="2:10">
      <c r="B40" s="127"/>
      <c r="C40" s="127"/>
      <c r="D40" s="106"/>
      <c r="E40" s="127"/>
      <c r="F40" s="127"/>
      <c r="G40" s="127"/>
      <c r="H40" s="127"/>
      <c r="I40" s="127"/>
      <c r="J40" s="127"/>
    </row>
    <row r="41" spans="2:10">
      <c r="B41" s="298" t="s">
        <v>10</v>
      </c>
      <c r="C41" s="41"/>
      <c r="D41" s="41"/>
      <c r="E41" s="41"/>
      <c r="F41" s="1351" t="s">
        <v>286</v>
      </c>
      <c r="G41" s="1351"/>
      <c r="H41" s="1351"/>
      <c r="I41" s="41"/>
      <c r="J41" s="41"/>
    </row>
    <row r="42" spans="2:10">
      <c r="B42" s="240"/>
      <c r="C42" s="74"/>
      <c r="D42" s="241"/>
      <c r="E42" s="59"/>
      <c r="F42" s="59"/>
      <c r="G42" s="59"/>
      <c r="H42" s="59"/>
      <c r="I42" s="41"/>
      <c r="J42" s="41"/>
    </row>
    <row r="43" spans="2:10">
      <c r="B43" s="185" t="s">
        <v>287</v>
      </c>
      <c r="C43" s="295"/>
      <c r="D43" s="186"/>
      <c r="E43" s="189"/>
      <c r="F43" s="185" t="s">
        <v>287</v>
      </c>
      <c r="G43" s="233"/>
      <c r="H43" s="233"/>
      <c r="I43" s="41"/>
      <c r="J43" s="41"/>
    </row>
    <row r="44" spans="2:10">
      <c r="B44" s="97"/>
      <c r="C44" s="97"/>
      <c r="D44" s="97"/>
      <c r="E44" s="97"/>
      <c r="F44" s="146"/>
      <c r="G44" s="59"/>
      <c r="H44" s="59"/>
      <c r="I44" s="41"/>
      <c r="J44" s="41"/>
    </row>
    <row r="45" spans="2:10">
      <c r="B45" s="189"/>
      <c r="C45" s="189"/>
      <c r="D45" s="189"/>
      <c r="E45" s="189"/>
      <c r="F45" s="205"/>
      <c r="G45" s="241"/>
      <c r="H45" s="241"/>
      <c r="I45" s="241"/>
      <c r="J45" s="241"/>
    </row>
    <row r="46" spans="2:10">
      <c r="B46" s="206" t="s">
        <v>288</v>
      </c>
      <c r="C46" s="296"/>
      <c r="D46" s="296"/>
      <c r="E46" s="179"/>
      <c r="F46" s="206" t="s">
        <v>288</v>
      </c>
      <c r="G46" s="123"/>
      <c r="H46" s="123"/>
      <c r="I46" s="41"/>
      <c r="J46" s="41"/>
    </row>
    <row r="47" spans="2:10">
      <c r="B47" s="178"/>
      <c r="C47" s="178"/>
      <c r="D47" s="293"/>
      <c r="E47" s="293"/>
      <c r="F47" s="41"/>
      <c r="G47" s="41"/>
      <c r="H47" s="41"/>
      <c r="I47" s="41"/>
      <c r="J47" s="41"/>
    </row>
    <row r="48" spans="2:10">
      <c r="B48" s="49"/>
      <c r="C48" s="49"/>
      <c r="D48" s="49"/>
      <c r="E48" s="49"/>
      <c r="F48" s="60"/>
      <c r="G48" s="60"/>
      <c r="H48" s="60"/>
      <c r="I48" s="49"/>
      <c r="J48" s="49"/>
    </row>
    <row r="49" spans="2:10" ht="12" customHeight="1">
      <c r="B49" s="294" t="s">
        <v>1</v>
      </c>
      <c r="C49" s="297">
        <f ca="1">TODAY()</f>
        <v>46054</v>
      </c>
      <c r="D49" s="186"/>
      <c r="E49" s="185"/>
      <c r="F49" s="294" t="s">
        <v>1</v>
      </c>
      <c r="G49" s="297">
        <f ca="1">C49</f>
        <v>46054</v>
      </c>
      <c r="H49" s="235"/>
      <c r="I49" s="48"/>
      <c r="J49" s="48"/>
    </row>
    <row r="50" spans="2:10" ht="12" customHeight="1">
      <c r="F50" s="292"/>
      <c r="G50" s="292"/>
      <c r="H50" s="292"/>
    </row>
    <row r="51" spans="2:10" ht="15" customHeight="1">
      <c r="B51" s="48"/>
      <c r="C51" s="48"/>
      <c r="D51" s="48"/>
      <c r="E51" s="48"/>
      <c r="F51" s="48"/>
      <c r="G51" s="48"/>
      <c r="H51" s="48"/>
      <c r="I51" s="48"/>
      <c r="J51" s="48"/>
    </row>
    <row r="52" spans="2:10">
      <c r="B52" s="48"/>
      <c r="C52" s="48"/>
      <c r="D52" s="48"/>
      <c r="E52" s="48"/>
      <c r="F52" s="48"/>
      <c r="G52" s="48"/>
      <c r="H52" s="48"/>
      <c r="I52" s="48"/>
      <c r="J52" s="48"/>
    </row>
    <row r="54" spans="2:10">
      <c r="B54" s="303"/>
      <c r="C54" s="303"/>
      <c r="D54" s="303"/>
      <c r="E54" s="303"/>
      <c r="F54" s="303"/>
      <c r="G54" s="303"/>
      <c r="H54" s="303"/>
      <c r="I54" s="303"/>
      <c r="J54" s="303"/>
    </row>
    <row r="55" spans="2:10">
      <c r="B55" s="1"/>
      <c r="C55" s="1"/>
      <c r="D55" s="1"/>
      <c r="E55" s="1"/>
      <c r="F55" s="1"/>
      <c r="G55" s="1"/>
      <c r="H55" s="1"/>
      <c r="I55" s="1"/>
      <c r="J55" s="1"/>
    </row>
    <row r="56" spans="2:10">
      <c r="B56" s="27"/>
      <c r="C56" s="1"/>
      <c r="D56" s="1"/>
      <c r="E56" s="1"/>
      <c r="F56" s="1"/>
      <c r="G56" s="1"/>
      <c r="H56" s="1"/>
      <c r="I56" s="1"/>
      <c r="J56" s="1"/>
    </row>
  </sheetData>
  <mergeCells count="2">
    <mergeCell ref="C8:G8"/>
    <mergeCell ref="F41:H41"/>
  </mergeCells>
  <pageMargins left="0.53333333333333333" right="0.10833333333333334" top="0.37820512820512819" bottom="0.6858974358974359" header="0.3" footer="0.3"/>
  <pageSetup paperSize="9" orientation="portrait" horizont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AA46-72C9-45B5-810E-3B1140C20A92}">
  <sheetPr codeName="Лист39">
    <tabColor theme="8" tint="0.39997558519241921"/>
  </sheetPr>
  <dimension ref="A2:J54"/>
  <sheetViews>
    <sheetView view="pageLayout" topLeftCell="A7" zoomScaleNormal="100" zoomScaleSheetLayoutView="110" workbookViewId="0">
      <selection activeCell="D37" sqref="D37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46484375" bestFit="1" customWidth="1"/>
    <col min="5" max="6" width="10.19921875" customWidth="1"/>
    <col min="7" max="7" width="10.1328125" bestFit="1" customWidth="1"/>
    <col min="10" max="10" width="7.86328125" customWidth="1"/>
  </cols>
  <sheetData>
    <row r="2" spans="2:10">
      <c r="B2" s="106"/>
      <c r="C2" s="106"/>
      <c r="D2" s="85"/>
      <c r="E2" s="85"/>
      <c r="F2" s="104"/>
      <c r="G2" s="85"/>
      <c r="H2" s="85"/>
      <c r="I2" s="85"/>
      <c r="J2" s="85"/>
    </row>
    <row r="3" spans="2:10" ht="15" customHeight="1">
      <c r="B3" s="106"/>
      <c r="C3" s="106"/>
      <c r="D3" s="108"/>
      <c r="E3" s="108"/>
      <c r="F3" s="104"/>
      <c r="G3" s="108"/>
      <c r="H3" s="108"/>
      <c r="I3" s="106"/>
      <c r="J3" s="106"/>
    </row>
    <row r="4" spans="2:10" ht="15" customHeight="1">
      <c r="B4" s="106"/>
      <c r="C4" s="106"/>
      <c r="D4" s="106"/>
      <c r="E4" s="106"/>
      <c r="F4" s="104"/>
      <c r="G4" s="106"/>
      <c r="H4" s="106"/>
      <c r="I4" s="106"/>
      <c r="J4" s="106"/>
    </row>
    <row r="5" spans="2:10" ht="15" customHeight="1">
      <c r="B5" s="106"/>
      <c r="C5" s="58"/>
      <c r="D5" s="58"/>
      <c r="E5" s="58"/>
      <c r="F5" s="102"/>
      <c r="G5" s="243"/>
      <c r="H5" s="109"/>
      <c r="I5" s="109"/>
      <c r="J5" s="106"/>
    </row>
    <row r="6" spans="2:10">
      <c r="B6" s="246"/>
      <c r="C6" s="111"/>
      <c r="D6" s="111"/>
      <c r="E6" s="111"/>
      <c r="F6" s="104"/>
      <c r="G6" s="244"/>
      <c r="H6" s="245"/>
      <c r="I6" s="245"/>
      <c r="J6" s="106"/>
    </row>
    <row r="7" spans="2:10">
      <c r="B7" s="59"/>
      <c r="C7" s="59"/>
      <c r="D7" s="59"/>
      <c r="E7" s="59"/>
      <c r="F7" s="59"/>
      <c r="G7" s="59"/>
      <c r="H7" s="60"/>
      <c r="I7" s="60"/>
      <c r="J7" s="60"/>
    </row>
    <row r="8" spans="2:10" ht="17.649999999999999">
      <c r="B8" s="247"/>
      <c r="C8" s="1352" t="s">
        <v>267</v>
      </c>
      <c r="D8" s="1352"/>
      <c r="E8" s="1352"/>
      <c r="F8" s="1352"/>
      <c r="G8" s="1352"/>
      <c r="H8" s="247"/>
      <c r="I8" s="60"/>
      <c r="J8" s="60"/>
    </row>
    <row r="9" spans="2:10">
      <c r="B9" s="60"/>
      <c r="C9" s="100"/>
      <c r="D9" s="100" t="s">
        <v>300</v>
      </c>
      <c r="E9" s="100"/>
      <c r="F9" s="100"/>
      <c r="G9" s="100"/>
      <c r="H9" s="100"/>
      <c r="I9" s="60"/>
      <c r="J9" s="60"/>
    </row>
    <row r="10" spans="2:10">
      <c r="B10" s="60"/>
      <c r="C10" s="242"/>
      <c r="D10" s="99"/>
      <c r="E10" s="242"/>
      <c r="F10" s="242"/>
      <c r="G10" s="242"/>
      <c r="H10" s="242"/>
      <c r="I10" s="60"/>
      <c r="J10" s="60"/>
    </row>
    <row r="11" spans="2:10">
      <c r="B11" s="60"/>
      <c r="C11" s="100"/>
      <c r="D11" s="60"/>
      <c r="E11" s="60"/>
      <c r="F11" s="60"/>
      <c r="G11" s="60"/>
      <c r="H11" s="60"/>
      <c r="I11" s="60"/>
      <c r="J11" s="60"/>
    </row>
    <row r="12" spans="2:10"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2:10" ht="15" customHeight="1">
      <c r="B13" s="124" t="s">
        <v>269</v>
      </c>
      <c r="C13" s="122"/>
      <c r="D13" s="123"/>
      <c r="E13" s="59"/>
      <c r="F13" s="59"/>
      <c r="G13" s="59"/>
      <c r="H13" s="98"/>
      <c r="I13" s="63"/>
      <c r="J13" s="60"/>
    </row>
    <row r="14" spans="2:10" ht="15" customHeight="1"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2:10" ht="15" customHeight="1">
      <c r="B15" s="248"/>
      <c r="C15" s="315"/>
      <c r="D15" s="315"/>
      <c r="E15" s="60"/>
      <c r="F15" s="60"/>
      <c r="G15" s="60"/>
      <c r="H15" s="41"/>
      <c r="I15" s="41"/>
      <c r="J15" s="60"/>
    </row>
    <row r="16" spans="2:10">
      <c r="B16" s="124" t="s">
        <v>54</v>
      </c>
      <c r="C16" s="64"/>
      <c r="D16" s="250"/>
      <c r="E16" s="63"/>
      <c r="F16" s="63"/>
      <c r="G16" s="63"/>
      <c r="H16" s="63"/>
      <c r="I16" s="63"/>
      <c r="J16" s="41"/>
    </row>
    <row r="17" spans="1:10">
      <c r="A17" s="125"/>
      <c r="B17" s="316" t="s">
        <v>301</v>
      </c>
      <c r="C17" s="251"/>
      <c r="D17" s="251"/>
      <c r="E17" s="125"/>
      <c r="F17" s="125"/>
      <c r="G17" s="125"/>
      <c r="H17" s="125"/>
      <c r="I17" s="125"/>
      <c r="J17" s="125"/>
    </row>
    <row r="18" spans="1:10">
      <c r="A18" s="125"/>
      <c r="B18" s="316" t="s">
        <v>302</v>
      </c>
      <c r="C18" s="251"/>
      <c r="D18" s="251"/>
      <c r="E18" s="125"/>
      <c r="F18" s="125"/>
      <c r="G18" s="125"/>
      <c r="H18" s="125"/>
      <c r="I18" s="125"/>
      <c r="J18" s="125"/>
    </row>
    <row r="19" spans="1:10"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B20" s="267"/>
      <c r="C20" s="252"/>
      <c r="D20" s="253"/>
      <c r="E20" s="253"/>
      <c r="F20" s="253"/>
      <c r="G20" s="253"/>
      <c r="H20" s="253"/>
      <c r="I20" s="157"/>
      <c r="J20" s="241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B22" s="267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B23" s="195"/>
      <c r="C23" s="120" t="s">
        <v>303</v>
      </c>
      <c r="D23" s="261"/>
      <c r="E23" s="258"/>
      <c r="F23" s="255"/>
      <c r="G23" s="259"/>
      <c r="H23" s="260"/>
      <c r="I23" s="197"/>
      <c r="J23" s="72"/>
    </row>
    <row r="24" spans="1:10">
      <c r="B24" s="62"/>
      <c r="C24" s="120" t="s">
        <v>304</v>
      </c>
      <c r="D24" s="62"/>
      <c r="E24" s="62"/>
      <c r="F24" s="272"/>
      <c r="G24" s="272"/>
      <c r="H24" s="272"/>
      <c r="I24" s="272"/>
      <c r="J24" s="59"/>
    </row>
    <row r="25" spans="1:10">
      <c r="B25" s="256"/>
      <c r="C25" s="140"/>
      <c r="D25" s="269"/>
      <c r="E25" s="269"/>
      <c r="F25" s="255"/>
      <c r="G25" s="270"/>
      <c r="H25" s="270"/>
      <c r="I25" s="62"/>
      <c r="J25" s="59"/>
    </row>
    <row r="26" spans="1:10">
      <c r="B26" s="256"/>
      <c r="C26" s="140"/>
      <c r="D26" s="254"/>
      <c r="E26" s="254"/>
      <c r="F26" s="259"/>
      <c r="G26" s="273"/>
      <c r="H26" s="300"/>
      <c r="I26" s="274"/>
      <c r="J26" s="35"/>
    </row>
    <row r="27" spans="1:10">
      <c r="B27" s="256" t="s">
        <v>306</v>
      </c>
      <c r="C27" s="140"/>
      <c r="D27" s="264"/>
      <c r="E27" s="210"/>
      <c r="F27" s="255"/>
      <c r="G27" s="262"/>
      <c r="H27" s="301"/>
      <c r="I27" s="302"/>
      <c r="J27" s="35"/>
    </row>
    <row r="28" spans="1:10">
      <c r="B28" s="256" t="s">
        <v>305</v>
      </c>
      <c r="C28" s="62"/>
      <c r="D28" s="268"/>
      <c r="E28" s="263"/>
      <c r="F28" s="263"/>
      <c r="G28" s="265"/>
      <c r="H28" s="265"/>
      <c r="I28" s="96"/>
      <c r="J28" s="35"/>
    </row>
    <row r="29" spans="1:10">
      <c r="B29" s="256" t="s">
        <v>307</v>
      </c>
      <c r="C29" s="140"/>
      <c r="D29" s="35"/>
      <c r="E29" s="210"/>
      <c r="F29" s="73"/>
      <c r="G29" s="35"/>
      <c r="H29" s="35"/>
      <c r="I29" s="35"/>
      <c r="J29" s="35"/>
    </row>
    <row r="30" spans="1:10">
      <c r="B30" s="256" t="s">
        <v>308</v>
      </c>
      <c r="C30" s="140"/>
      <c r="D30" s="35"/>
      <c r="E30" s="35"/>
      <c r="F30" s="35"/>
      <c r="G30" s="35"/>
      <c r="H30" s="35"/>
      <c r="I30" s="35"/>
      <c r="J30" s="35"/>
    </row>
    <row r="31" spans="1:10">
      <c r="B31" s="41"/>
      <c r="C31" s="140"/>
      <c r="D31" s="41"/>
      <c r="E31" s="41"/>
      <c r="F31" s="63"/>
      <c r="G31" s="63"/>
      <c r="H31" s="63"/>
      <c r="I31" s="41"/>
      <c r="J31" s="41"/>
    </row>
    <row r="32" spans="1:10">
      <c r="B32" s="41" t="s">
        <v>309</v>
      </c>
      <c r="C32" s="41"/>
      <c r="D32" s="41"/>
      <c r="E32" s="41"/>
      <c r="F32" s="63"/>
      <c r="G32" s="63"/>
      <c r="H32" s="63"/>
      <c r="I32" s="41"/>
      <c r="J32" s="41"/>
    </row>
    <row r="33" spans="2:10">
      <c r="B33" s="63" t="s">
        <v>310</v>
      </c>
      <c r="C33" s="130"/>
      <c r="D33" s="130"/>
      <c r="E33" s="130"/>
      <c r="F33" s="130"/>
      <c r="G33" s="130"/>
      <c r="H33" s="130"/>
      <c r="I33" s="130"/>
      <c r="J33" s="127"/>
    </row>
    <row r="34" spans="2:10">
      <c r="B34" s="106"/>
      <c r="C34" s="41"/>
      <c r="D34" s="41"/>
      <c r="E34" s="41"/>
      <c r="F34" s="100"/>
      <c r="G34" s="41"/>
      <c r="H34" s="41"/>
      <c r="I34" s="41"/>
      <c r="J34" s="41"/>
    </row>
    <row r="35" spans="2:10">
      <c r="B35" s="127"/>
      <c r="C35" s="127"/>
      <c r="D35" s="127"/>
      <c r="E35" s="127"/>
      <c r="F35" s="313"/>
      <c r="G35" s="313"/>
      <c r="H35" s="313"/>
      <c r="I35" s="127"/>
      <c r="J35" s="127"/>
    </row>
    <row r="36" spans="2:10">
      <c r="B36" s="127"/>
      <c r="C36" s="127"/>
      <c r="D36" s="106"/>
      <c r="E36" s="127"/>
      <c r="F36" s="314"/>
      <c r="G36" s="314" t="s">
        <v>480</v>
      </c>
      <c r="H36" s="314"/>
      <c r="I36" s="127"/>
      <c r="J36" s="127"/>
    </row>
    <row r="37" spans="2:10">
      <c r="B37" s="127"/>
      <c r="C37" s="127"/>
      <c r="D37" s="106"/>
      <c r="E37" s="127"/>
      <c r="F37" s="127"/>
      <c r="G37" s="127"/>
      <c r="H37" s="127"/>
      <c r="I37" s="127"/>
      <c r="J37" s="127"/>
    </row>
    <row r="38" spans="2:10">
      <c r="B38" s="127"/>
      <c r="C38" s="127"/>
      <c r="D38" s="106"/>
      <c r="E38" s="127"/>
      <c r="F38" s="127"/>
      <c r="G38" s="127"/>
      <c r="H38" s="127"/>
      <c r="I38" s="127"/>
      <c r="J38" s="127"/>
    </row>
    <row r="39" spans="2:10">
      <c r="B39" s="298" t="s">
        <v>10</v>
      </c>
      <c r="C39" s="41"/>
      <c r="D39" s="41"/>
      <c r="E39" s="41"/>
      <c r="F39" s="1351" t="s">
        <v>286</v>
      </c>
      <c r="G39" s="1351"/>
      <c r="H39" s="1351"/>
      <c r="I39" s="41"/>
      <c r="J39" s="41"/>
    </row>
    <row r="40" spans="2:10">
      <c r="B40" s="240"/>
      <c r="C40" s="74"/>
      <c r="D40" s="241"/>
      <c r="E40" s="59"/>
      <c r="F40" s="59"/>
      <c r="G40" s="59"/>
      <c r="H40" s="59"/>
      <c r="I40" s="41"/>
      <c r="J40" s="41"/>
    </row>
    <row r="41" spans="2:10">
      <c r="B41" s="185" t="s">
        <v>287</v>
      </c>
      <c r="C41" s="295"/>
      <c r="D41" s="186"/>
      <c r="E41" s="189"/>
      <c r="F41" s="185" t="s">
        <v>287</v>
      </c>
      <c r="G41" s="233"/>
      <c r="H41" s="233"/>
      <c r="I41" s="41"/>
      <c r="J41" s="41"/>
    </row>
    <row r="42" spans="2:10">
      <c r="B42" s="97"/>
      <c r="C42" s="97"/>
      <c r="D42" s="97"/>
      <c r="E42" s="97"/>
      <c r="F42" s="146"/>
      <c r="G42" s="59"/>
      <c r="H42" s="59"/>
      <c r="I42" s="41"/>
      <c r="J42" s="41"/>
    </row>
    <row r="43" spans="2:10">
      <c r="B43" s="189"/>
      <c r="C43" s="189"/>
      <c r="D43" s="189"/>
      <c r="E43" s="189"/>
      <c r="F43" s="205"/>
      <c r="G43" s="241"/>
      <c r="H43" s="241"/>
      <c r="I43" s="241"/>
      <c r="J43" s="241"/>
    </row>
    <row r="44" spans="2:10">
      <c r="B44" s="206" t="s">
        <v>288</v>
      </c>
      <c r="C44" s="296"/>
      <c r="D44" s="296"/>
      <c r="E44" s="179"/>
      <c r="F44" s="206" t="s">
        <v>288</v>
      </c>
      <c r="G44" s="123"/>
      <c r="H44" s="123"/>
      <c r="I44" s="41"/>
      <c r="J44" s="41"/>
    </row>
    <row r="45" spans="2:10">
      <c r="B45" s="178"/>
      <c r="C45" s="178"/>
      <c r="D45" s="293"/>
      <c r="E45" s="293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60"/>
      <c r="G46" s="60"/>
      <c r="H46" s="60"/>
      <c r="I46" s="49"/>
      <c r="J46" s="49"/>
    </row>
    <row r="47" spans="2:10">
      <c r="B47" s="294" t="s">
        <v>1</v>
      </c>
      <c r="C47" s="297">
        <f ca="1">TODAY()</f>
        <v>46054</v>
      </c>
      <c r="D47" s="186"/>
      <c r="E47" s="185"/>
      <c r="F47" s="294" t="s">
        <v>1</v>
      </c>
      <c r="G47" s="297">
        <f ca="1">C47</f>
        <v>46054</v>
      </c>
      <c r="H47" s="235"/>
      <c r="I47" s="48"/>
      <c r="J47" s="48"/>
    </row>
    <row r="48" spans="2:10">
      <c r="F48" s="292"/>
      <c r="G48" s="292"/>
      <c r="H48" s="292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2">
    <mergeCell ref="C8:G8"/>
    <mergeCell ref="F39:H39"/>
  </mergeCells>
  <pageMargins left="0.53333333333333333" right="0.10833333333333334" top="0.37820512820512819" bottom="0.6858974358974359" header="0.3" footer="0.3"/>
  <pageSetup paperSize="9" orientation="portrait" horizont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AF43-7568-435A-BD4D-C54838DC010F}">
  <sheetPr codeName="Лист40">
    <tabColor theme="8" tint="0.39997558519241921"/>
  </sheetPr>
  <dimension ref="A2:J54"/>
  <sheetViews>
    <sheetView view="pageLayout" topLeftCell="A10" zoomScaleNormal="100" zoomScaleSheetLayoutView="110" workbookViewId="0">
      <selection activeCell="F35" sqref="F35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46484375" bestFit="1" customWidth="1"/>
    <col min="5" max="6" width="10.19921875" customWidth="1"/>
    <col min="7" max="7" width="10.1328125" bestFit="1" customWidth="1"/>
    <col min="10" max="10" width="7.86328125" customWidth="1"/>
  </cols>
  <sheetData>
    <row r="2" spans="2:10">
      <c r="B2" s="106"/>
      <c r="C2" s="106"/>
      <c r="D2" s="85"/>
      <c r="E2" s="85"/>
      <c r="F2" s="104"/>
      <c r="G2" s="85"/>
      <c r="H2" s="85"/>
      <c r="I2" s="85"/>
      <c r="J2" s="85"/>
    </row>
    <row r="3" spans="2:10" ht="15" customHeight="1">
      <c r="B3" s="106"/>
      <c r="C3" s="106"/>
      <c r="D3" s="108"/>
      <c r="E3" s="108"/>
      <c r="F3" s="104"/>
      <c r="G3" s="108"/>
      <c r="H3" s="108"/>
      <c r="I3" s="106"/>
      <c r="J3" s="106"/>
    </row>
    <row r="4" spans="2:10" ht="15" customHeight="1">
      <c r="B4" s="106"/>
      <c r="C4" s="106"/>
      <c r="D4" s="106"/>
      <c r="E4" s="106"/>
      <c r="F4" s="104"/>
      <c r="G4" s="106"/>
      <c r="H4" s="106"/>
      <c r="I4" s="106"/>
      <c r="J4" s="106"/>
    </row>
    <row r="5" spans="2:10" ht="15" customHeight="1">
      <c r="B5" s="106"/>
      <c r="C5" s="58"/>
      <c r="D5" s="58"/>
      <c r="E5" s="58"/>
      <c r="F5" s="102"/>
      <c r="G5" s="243"/>
      <c r="H5" s="109"/>
      <c r="I5" s="109"/>
      <c r="J5" s="106"/>
    </row>
    <row r="6" spans="2:10">
      <c r="B6" s="246"/>
      <c r="C6" s="111"/>
      <c r="D6" s="111"/>
      <c r="E6" s="111"/>
      <c r="F6" s="104"/>
      <c r="G6" s="244"/>
      <c r="H6" s="245"/>
      <c r="I6" s="245"/>
      <c r="J6" s="106"/>
    </row>
    <row r="7" spans="2:10">
      <c r="B7" s="59"/>
      <c r="C7" s="59"/>
      <c r="D7" s="59"/>
      <c r="E7" s="59"/>
      <c r="F7" s="59"/>
      <c r="G7" s="59"/>
      <c r="H7" s="60"/>
      <c r="I7" s="60"/>
      <c r="J7" s="60"/>
    </row>
    <row r="8" spans="2:10" ht="17.649999999999999">
      <c r="B8" s="247"/>
      <c r="C8" s="1352" t="s">
        <v>267</v>
      </c>
      <c r="D8" s="1352"/>
      <c r="E8" s="1352"/>
      <c r="F8" s="1352"/>
      <c r="G8" s="1352"/>
      <c r="H8" s="247"/>
      <c r="I8" s="60"/>
      <c r="J8" s="60"/>
    </row>
    <row r="9" spans="2:10">
      <c r="B9" s="60"/>
      <c r="C9" s="100"/>
      <c r="D9" s="100" t="s">
        <v>311</v>
      </c>
      <c r="E9" s="100"/>
      <c r="F9" s="100"/>
      <c r="G9" s="100"/>
      <c r="H9" s="100"/>
      <c r="I9" s="60"/>
      <c r="J9" s="60"/>
    </row>
    <row r="10" spans="2:10">
      <c r="B10" s="60"/>
      <c r="C10" s="242"/>
      <c r="D10" s="99"/>
      <c r="E10" s="242"/>
      <c r="F10" s="242"/>
      <c r="G10" s="242"/>
      <c r="H10" s="242"/>
      <c r="I10" s="60"/>
      <c r="J10" s="60"/>
    </row>
    <row r="11" spans="2:10">
      <c r="B11" s="60"/>
      <c r="C11" s="100"/>
      <c r="D11" s="60"/>
      <c r="E11" s="60"/>
      <c r="F11" s="60"/>
      <c r="G11" s="60"/>
      <c r="H11" s="60"/>
      <c r="I11" s="60"/>
      <c r="J11" s="60"/>
    </row>
    <row r="12" spans="2:10"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2:10" ht="15" customHeight="1">
      <c r="B13" s="124" t="s">
        <v>269</v>
      </c>
      <c r="C13" s="122"/>
      <c r="D13" s="123"/>
      <c r="E13" s="59"/>
      <c r="F13" s="59"/>
      <c r="G13" s="59"/>
      <c r="H13" s="98"/>
      <c r="I13" s="63"/>
      <c r="J13" s="60"/>
    </row>
    <row r="14" spans="2:10" ht="15" customHeight="1"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2:10" ht="15" customHeight="1">
      <c r="B15" s="243" t="s">
        <v>289</v>
      </c>
      <c r="C15" s="83"/>
      <c r="D15" s="83"/>
      <c r="E15" s="60"/>
      <c r="F15" s="60"/>
      <c r="G15" s="60"/>
      <c r="H15" s="41"/>
      <c r="I15" s="41"/>
      <c r="J15" s="60"/>
    </row>
    <row r="16" spans="2:10">
      <c r="B16" s="316" t="s">
        <v>301</v>
      </c>
      <c r="C16" s="108"/>
      <c r="D16" s="250"/>
      <c r="E16" s="63"/>
      <c r="F16" s="63"/>
      <c r="G16" s="63"/>
      <c r="H16" s="63"/>
      <c r="I16" s="63"/>
      <c r="J16" s="41"/>
    </row>
    <row r="17" spans="1:10">
      <c r="A17" s="125"/>
      <c r="B17" s="316"/>
      <c r="C17" s="317"/>
      <c r="D17" s="317"/>
      <c r="E17" s="125"/>
      <c r="F17" s="125"/>
      <c r="G17" s="125"/>
      <c r="H17" s="125"/>
      <c r="I17" s="125"/>
      <c r="J17" s="125"/>
    </row>
    <row r="18" spans="1:10">
      <c r="A18" s="125"/>
      <c r="B18" s="1353" t="s">
        <v>291</v>
      </c>
      <c r="C18" s="1353"/>
      <c r="D18" s="318"/>
      <c r="E18" s="318"/>
      <c r="F18" s="318"/>
      <c r="G18" s="125"/>
      <c r="H18" s="125"/>
      <c r="I18" s="125"/>
      <c r="J18" s="125"/>
    </row>
    <row r="19" spans="1:10"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B20" s="267"/>
      <c r="C20" s="252"/>
      <c r="D20" s="253"/>
      <c r="E20" s="253"/>
      <c r="F20" s="253"/>
      <c r="G20" s="253"/>
      <c r="H20" s="253"/>
      <c r="I20" s="157"/>
      <c r="J20" s="241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B22" s="267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B23" s="195"/>
      <c r="C23" s="140" t="s">
        <v>312</v>
      </c>
      <c r="D23" s="261"/>
      <c r="E23" s="258"/>
      <c r="F23" s="255"/>
      <c r="G23" s="259"/>
      <c r="H23" s="260"/>
      <c r="I23" s="197"/>
      <c r="J23" s="72"/>
    </row>
    <row r="24" spans="1:10">
      <c r="B24" s="62"/>
      <c r="C24" s="140" t="s">
        <v>313</v>
      </c>
      <c r="D24" s="62"/>
      <c r="E24" s="62"/>
      <c r="F24" s="272"/>
      <c r="G24" s="272"/>
      <c r="H24" s="272"/>
      <c r="I24" s="272"/>
      <c r="J24" s="59"/>
    </row>
    <row r="25" spans="1:10">
      <c r="B25" s="256"/>
      <c r="C25" s="140" t="s">
        <v>314</v>
      </c>
      <c r="D25" s="269"/>
      <c r="E25" s="269"/>
      <c r="F25" s="255"/>
      <c r="G25" s="270"/>
      <c r="H25" s="270"/>
      <c r="I25" s="62"/>
      <c r="J25" s="59"/>
    </row>
    <row r="26" spans="1:10">
      <c r="B26" s="256"/>
      <c r="C26" s="140" t="s">
        <v>315</v>
      </c>
      <c r="D26" s="254"/>
      <c r="E26" s="254"/>
      <c r="F26" s="259"/>
      <c r="G26" s="273"/>
      <c r="H26" s="300"/>
      <c r="I26" s="274"/>
      <c r="J26" s="35"/>
    </row>
    <row r="27" spans="1:10">
      <c r="B27" s="256"/>
      <c r="C27" s="140"/>
      <c r="D27" s="264"/>
      <c r="E27" s="210"/>
      <c r="F27" s="255"/>
      <c r="G27" s="262"/>
      <c r="H27" s="301"/>
      <c r="I27" s="302"/>
      <c r="J27" s="35"/>
    </row>
    <row r="28" spans="1:10">
      <c r="B28" s="256"/>
      <c r="C28" s="62"/>
      <c r="D28" s="268"/>
      <c r="E28" s="263"/>
      <c r="F28" s="263"/>
      <c r="G28" s="265"/>
      <c r="H28" s="265"/>
      <c r="I28" s="96"/>
      <c r="J28" s="35"/>
    </row>
    <row r="29" spans="1:10">
      <c r="B29" s="304" t="s">
        <v>316</v>
      </c>
      <c r="C29" s="140"/>
      <c r="D29" s="35"/>
      <c r="E29" s="210"/>
      <c r="F29" s="73"/>
      <c r="G29" s="35"/>
      <c r="H29" s="35"/>
      <c r="I29" s="35"/>
      <c r="J29" s="35"/>
    </row>
    <row r="30" spans="1:10">
      <c r="B30" s="256"/>
      <c r="C30" s="140"/>
      <c r="D30" s="35"/>
      <c r="E30" s="35"/>
      <c r="F30" s="35"/>
      <c r="G30" s="35"/>
      <c r="H30" s="35"/>
      <c r="I30" s="35"/>
      <c r="J30" s="35"/>
    </row>
    <row r="31" spans="1:10">
      <c r="B31" s="41"/>
      <c r="C31" s="140"/>
      <c r="D31" s="41"/>
      <c r="E31" s="41"/>
      <c r="F31" s="63"/>
      <c r="G31" s="63"/>
      <c r="H31" s="63"/>
      <c r="I31" s="41"/>
      <c r="J31" s="41"/>
    </row>
    <row r="32" spans="1:10">
      <c r="B32" s="41"/>
      <c r="C32" s="41"/>
      <c r="D32" s="41"/>
      <c r="E32" s="41"/>
      <c r="F32" s="63"/>
      <c r="G32" s="63"/>
      <c r="H32" s="63"/>
      <c r="I32" s="41"/>
      <c r="J32" s="41"/>
    </row>
    <row r="33" spans="2:10">
      <c r="B33" s="63"/>
      <c r="C33" s="130"/>
      <c r="D33" s="130"/>
      <c r="E33" s="130"/>
      <c r="F33" s="130"/>
      <c r="G33" s="130"/>
      <c r="H33" s="130"/>
      <c r="I33" s="130"/>
      <c r="J33" s="127"/>
    </row>
    <row r="34" spans="2:10">
      <c r="B34" s="106"/>
      <c r="C34" s="41"/>
      <c r="D34" s="41"/>
      <c r="E34" s="41"/>
      <c r="F34" s="100"/>
      <c r="G34" s="41"/>
      <c r="H34" s="41"/>
      <c r="I34" s="41"/>
      <c r="J34" s="41"/>
    </row>
    <row r="35" spans="2:10">
      <c r="B35" s="127"/>
      <c r="C35" s="127"/>
      <c r="D35" s="127"/>
      <c r="E35" s="127"/>
      <c r="F35" s="313" t="s">
        <v>480</v>
      </c>
      <c r="G35" s="313"/>
      <c r="H35" s="313"/>
      <c r="I35" s="127"/>
      <c r="J35" s="127"/>
    </row>
    <row r="36" spans="2:10">
      <c r="B36" s="127"/>
      <c r="C36" s="127"/>
      <c r="D36" s="106"/>
      <c r="E36" s="127"/>
      <c r="F36" s="314"/>
      <c r="G36" s="314"/>
      <c r="H36" s="314"/>
      <c r="I36" s="127"/>
      <c r="J36" s="127"/>
    </row>
    <row r="37" spans="2:10">
      <c r="B37" s="127"/>
      <c r="C37" s="127"/>
      <c r="D37" s="106"/>
      <c r="E37" s="127"/>
      <c r="F37" s="127"/>
      <c r="G37" s="127"/>
      <c r="H37" s="127"/>
      <c r="I37" s="127"/>
      <c r="J37" s="127"/>
    </row>
    <row r="38" spans="2:10">
      <c r="B38" s="127"/>
      <c r="C38" s="127"/>
      <c r="D38" s="106"/>
      <c r="E38" s="127"/>
      <c r="F38" s="127"/>
      <c r="G38" s="127"/>
      <c r="H38" s="127"/>
      <c r="I38" s="127"/>
      <c r="J38" s="127"/>
    </row>
    <row r="39" spans="2:10">
      <c r="B39" s="298" t="s">
        <v>10</v>
      </c>
      <c r="C39" s="41"/>
      <c r="D39" s="41"/>
      <c r="E39" s="41"/>
      <c r="F39" s="1351" t="s">
        <v>286</v>
      </c>
      <c r="G39" s="1351"/>
      <c r="H39" s="1351"/>
      <c r="I39" s="41"/>
      <c r="J39" s="41"/>
    </row>
    <row r="40" spans="2:10">
      <c r="B40" s="240"/>
      <c r="C40" s="74"/>
      <c r="D40" s="241"/>
      <c r="E40" s="59"/>
      <c r="F40" s="59"/>
      <c r="G40" s="59"/>
      <c r="H40" s="59"/>
      <c r="I40" s="41"/>
      <c r="J40" s="41"/>
    </row>
    <row r="41" spans="2:10">
      <c r="B41" s="185" t="s">
        <v>287</v>
      </c>
      <c r="C41" s="295"/>
      <c r="D41" s="186"/>
      <c r="E41" s="189"/>
      <c r="F41" s="185" t="s">
        <v>287</v>
      </c>
      <c r="G41" s="233"/>
      <c r="H41" s="233"/>
      <c r="I41" s="41"/>
      <c r="J41" s="41"/>
    </row>
    <row r="42" spans="2:10">
      <c r="B42" s="97"/>
      <c r="C42" s="97"/>
      <c r="D42" s="97"/>
      <c r="E42" s="97"/>
      <c r="F42" s="146"/>
      <c r="G42" s="59"/>
      <c r="H42" s="59"/>
      <c r="I42" s="41"/>
      <c r="J42" s="41"/>
    </row>
    <row r="43" spans="2:10">
      <c r="B43" s="189"/>
      <c r="C43" s="189"/>
      <c r="D43" s="189"/>
      <c r="E43" s="189"/>
      <c r="F43" s="205"/>
      <c r="G43" s="241"/>
      <c r="H43" s="241"/>
      <c r="I43" s="241"/>
      <c r="J43" s="241"/>
    </row>
    <row r="44" spans="2:10">
      <c r="B44" s="206" t="s">
        <v>288</v>
      </c>
      <c r="C44" s="296"/>
      <c r="D44" s="296"/>
      <c r="E44" s="179"/>
      <c r="F44" s="206" t="s">
        <v>288</v>
      </c>
      <c r="G44" s="123"/>
      <c r="H44" s="123"/>
      <c r="I44" s="41"/>
      <c r="J44" s="41"/>
    </row>
    <row r="45" spans="2:10">
      <c r="B45" s="178"/>
      <c r="C45" s="178"/>
      <c r="D45" s="293"/>
      <c r="E45" s="293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60"/>
      <c r="G46" s="60"/>
      <c r="H46" s="60"/>
      <c r="I46" s="49"/>
      <c r="J46" s="49"/>
    </row>
    <row r="47" spans="2:10">
      <c r="B47" s="294" t="s">
        <v>1</v>
      </c>
      <c r="C47" s="297">
        <f ca="1">TODAY()</f>
        <v>46054</v>
      </c>
      <c r="D47" s="186"/>
      <c r="E47" s="185"/>
      <c r="F47" s="294" t="s">
        <v>1</v>
      </c>
      <c r="G47" s="297">
        <f ca="1">C47</f>
        <v>46054</v>
      </c>
      <c r="H47" s="235"/>
      <c r="I47" s="48"/>
      <c r="J47" s="48"/>
    </row>
    <row r="48" spans="2:10">
      <c r="F48" s="292"/>
      <c r="G48" s="292"/>
      <c r="H48" s="292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3">
    <mergeCell ref="C8:G8"/>
    <mergeCell ref="B18:C18"/>
    <mergeCell ref="F39:H39"/>
  </mergeCells>
  <pageMargins left="0.53333333333333333" right="0.10833333333333334" top="0.37820512820512819" bottom="0.6858974358974359" header="0.3" footer="0.3"/>
  <pageSetup paperSize="9" orientation="portrait" horizont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02A1-5E5D-4771-834A-D4E9E4154532}">
  <sheetPr codeName="Лист41">
    <tabColor theme="8" tint="0.39997558519241921"/>
  </sheetPr>
  <dimension ref="A2:J54"/>
  <sheetViews>
    <sheetView view="pageLayout" topLeftCell="A31" zoomScaleNormal="100" zoomScaleSheetLayoutView="110" workbookViewId="0">
      <selection activeCell="I44" sqref="I43:I44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46484375" bestFit="1" customWidth="1"/>
    <col min="5" max="6" width="10.19921875" customWidth="1"/>
    <col min="7" max="7" width="10.1328125" bestFit="1" customWidth="1"/>
    <col min="10" max="10" width="7.86328125" customWidth="1"/>
  </cols>
  <sheetData>
    <row r="2" spans="2:10">
      <c r="B2" s="106"/>
      <c r="C2" s="106"/>
      <c r="D2" s="85"/>
      <c r="E2" s="85"/>
      <c r="F2" s="104"/>
      <c r="G2" s="85"/>
      <c r="H2" s="85"/>
      <c r="I2" s="85"/>
      <c r="J2" s="85"/>
    </row>
    <row r="3" spans="2:10" ht="15" customHeight="1">
      <c r="B3" s="106"/>
      <c r="C3" s="106"/>
      <c r="D3" s="108"/>
      <c r="E3" s="108"/>
      <c r="F3" s="104"/>
      <c r="G3" s="108"/>
      <c r="H3" s="108"/>
      <c r="I3" s="106"/>
      <c r="J3" s="106"/>
    </row>
    <row r="4" spans="2:10" ht="15" customHeight="1">
      <c r="B4" s="106"/>
      <c r="C4" s="106"/>
      <c r="D4" s="106"/>
      <c r="E4" s="106"/>
      <c r="F4" s="104"/>
      <c r="G4" s="106"/>
      <c r="H4" s="106"/>
      <c r="I4" s="106"/>
      <c r="J4" s="106"/>
    </row>
    <row r="5" spans="2:10" ht="15" customHeight="1">
      <c r="B5" s="106"/>
      <c r="C5" s="58"/>
      <c r="D5" s="58"/>
      <c r="E5" s="58"/>
      <c r="F5" s="102"/>
      <c r="G5" s="243"/>
      <c r="H5" s="109"/>
      <c r="I5" s="109"/>
      <c r="J5" s="106"/>
    </row>
    <row r="6" spans="2:10">
      <c r="B6" s="246"/>
      <c r="C6" s="111"/>
      <c r="D6" s="111"/>
      <c r="E6" s="111"/>
      <c r="F6" s="104"/>
      <c r="G6" s="244"/>
      <c r="H6" s="245"/>
      <c r="I6" s="245"/>
      <c r="J6" s="106"/>
    </row>
    <row r="7" spans="2:10">
      <c r="B7" s="59"/>
      <c r="C7" s="59"/>
      <c r="D7" s="59"/>
      <c r="E7" s="59"/>
      <c r="F7" s="59"/>
      <c r="G7" s="59"/>
      <c r="H7" s="60"/>
      <c r="I7" s="60"/>
      <c r="J7" s="60"/>
    </row>
    <row r="8" spans="2:10" ht="17.649999999999999">
      <c r="B8" s="247"/>
      <c r="C8" s="1352" t="s">
        <v>267</v>
      </c>
      <c r="D8" s="1352"/>
      <c r="E8" s="1352"/>
      <c r="F8" s="1352"/>
      <c r="G8" s="1352"/>
      <c r="H8" s="247"/>
      <c r="I8" s="60"/>
      <c r="J8" s="60"/>
    </row>
    <row r="9" spans="2:10">
      <c r="B9" s="60"/>
      <c r="C9" s="100"/>
      <c r="D9" s="100" t="s">
        <v>317</v>
      </c>
      <c r="E9" s="100"/>
      <c r="F9" s="100"/>
      <c r="G9" s="100"/>
      <c r="H9" s="100"/>
      <c r="I9" s="60"/>
      <c r="J9" s="60"/>
    </row>
    <row r="10" spans="2:10">
      <c r="B10" s="60"/>
      <c r="C10" s="404"/>
      <c r="D10" s="99"/>
      <c r="E10" s="404"/>
      <c r="F10" s="404"/>
      <c r="G10" s="404"/>
      <c r="H10" s="404"/>
      <c r="I10" s="60"/>
      <c r="J10" s="60"/>
    </row>
    <row r="11" spans="2:10">
      <c r="B11" s="60"/>
      <c r="C11" s="100"/>
      <c r="D11" s="60"/>
      <c r="E11" s="60"/>
      <c r="F11" s="60"/>
      <c r="G11" s="60"/>
      <c r="H11" s="60"/>
      <c r="I11" s="60"/>
      <c r="J11" s="60"/>
    </row>
    <row r="12" spans="2:10"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2:10" ht="15" customHeight="1">
      <c r="B13" s="124" t="s">
        <v>269</v>
      </c>
      <c r="C13" s="122"/>
      <c r="D13" s="123"/>
      <c r="E13" s="59"/>
      <c r="F13" s="59"/>
      <c r="G13" s="59"/>
      <c r="H13" s="98"/>
      <c r="I13" s="63"/>
      <c r="J13" s="60"/>
    </row>
    <row r="14" spans="2:10" ht="15" customHeight="1"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2:10" ht="15" customHeight="1">
      <c r="B15" s="316"/>
      <c r="C15" s="315"/>
      <c r="D15" s="315"/>
      <c r="E15" s="60"/>
      <c r="F15" s="60"/>
      <c r="G15" s="60"/>
      <c r="H15" s="41"/>
      <c r="I15" s="41"/>
      <c r="J15" s="60"/>
    </row>
    <row r="16" spans="2:10">
      <c r="B16" s="316" t="s">
        <v>2</v>
      </c>
      <c r="C16" s="319"/>
      <c r="D16" s="250"/>
      <c r="E16" s="63"/>
      <c r="F16" s="63"/>
      <c r="G16" s="63"/>
      <c r="H16" s="63"/>
      <c r="I16" s="63"/>
      <c r="J16" s="41"/>
    </row>
    <row r="17" spans="1:10">
      <c r="A17" s="125"/>
      <c r="B17" s="316" t="s">
        <v>301</v>
      </c>
      <c r="C17" s="251"/>
      <c r="D17" s="251"/>
      <c r="E17" s="125"/>
      <c r="F17" s="125"/>
      <c r="G17" s="125"/>
      <c r="H17" s="125"/>
      <c r="I17" s="125"/>
      <c r="J17" s="125"/>
    </row>
    <row r="18" spans="1:10">
      <c r="A18" s="125"/>
      <c r="B18" s="316" t="s">
        <v>271</v>
      </c>
      <c r="C18" s="320"/>
      <c r="D18" s="251"/>
      <c r="E18" s="304"/>
      <c r="F18" s="304"/>
      <c r="G18" s="125"/>
      <c r="H18" s="125"/>
      <c r="I18" s="125"/>
      <c r="J18" s="125"/>
    </row>
    <row r="19" spans="1:10"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B20" s="267"/>
      <c r="C20" s="252"/>
      <c r="D20" s="253"/>
      <c r="E20" s="253"/>
      <c r="F20" s="253"/>
      <c r="G20" s="253"/>
      <c r="H20" s="253"/>
      <c r="I20" s="157"/>
      <c r="J20" s="403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B23" s="195"/>
      <c r="C23" s="99" t="s">
        <v>318</v>
      </c>
      <c r="D23" s="261"/>
      <c r="E23" s="321"/>
      <c r="F23" s="255"/>
      <c r="G23" s="259"/>
      <c r="H23" s="260"/>
      <c r="I23" s="197"/>
      <c r="J23" s="72"/>
    </row>
    <row r="24" spans="1:10">
      <c r="B24" s="62"/>
      <c r="C24" s="99" t="s">
        <v>319</v>
      </c>
      <c r="D24" s="62"/>
      <c r="E24" s="62"/>
      <c r="F24" s="272"/>
      <c r="G24" s="272"/>
      <c r="H24" s="272"/>
      <c r="I24" s="272"/>
      <c r="J24" s="59"/>
    </row>
    <row r="25" spans="1:10">
      <c r="B25" s="256"/>
      <c r="C25" s="99" t="s">
        <v>320</v>
      </c>
      <c r="D25" s="254"/>
      <c r="E25" s="254"/>
      <c r="F25" s="255"/>
      <c r="G25" s="322"/>
      <c r="H25" s="322"/>
      <c r="I25" s="62"/>
      <c r="J25" s="59"/>
    </row>
    <row r="26" spans="1:10">
      <c r="B26" s="256"/>
      <c r="C26" s="99" t="s">
        <v>321</v>
      </c>
      <c r="D26" s="254"/>
      <c r="E26" s="254"/>
      <c r="F26" s="259"/>
      <c r="G26" s="259"/>
      <c r="H26" s="300"/>
      <c r="I26" s="323"/>
      <c r="J26" s="35"/>
    </row>
    <row r="27" spans="1:10">
      <c r="B27" s="256"/>
      <c r="C27" s="99"/>
      <c r="D27" s="264"/>
      <c r="E27" s="210"/>
      <c r="F27" s="255"/>
      <c r="G27" s="262"/>
      <c r="H27" s="301"/>
      <c r="I27" s="302"/>
      <c r="J27" s="35"/>
    </row>
    <row r="28" spans="1:10">
      <c r="B28" s="256"/>
      <c r="C28" s="325" t="s">
        <v>322</v>
      </c>
      <c r="D28" s="268"/>
      <c r="E28" s="263"/>
      <c r="F28" s="263"/>
      <c r="G28" s="265"/>
      <c r="H28" s="265"/>
      <c r="I28" s="96"/>
      <c r="J28" s="35"/>
    </row>
    <row r="29" spans="1:10">
      <c r="B29" s="304"/>
      <c r="C29" s="325"/>
      <c r="D29" s="35"/>
      <c r="E29" s="210"/>
      <c r="F29" s="73"/>
      <c r="G29" s="35"/>
      <c r="H29" s="35"/>
      <c r="I29" s="35"/>
      <c r="J29" s="35"/>
    </row>
    <row r="30" spans="1:10">
      <c r="B30" s="256"/>
      <c r="C30" s="325" t="s">
        <v>323</v>
      </c>
      <c r="D30" s="35"/>
      <c r="E30" s="35"/>
      <c r="F30" s="35"/>
      <c r="G30" s="35"/>
      <c r="H30" s="35"/>
      <c r="I30" s="35"/>
      <c r="J30" s="35"/>
    </row>
    <row r="31" spans="1:10">
      <c r="B31" s="41"/>
      <c r="C31" s="325" t="s">
        <v>324</v>
      </c>
      <c r="D31" s="41"/>
      <c r="E31" s="41"/>
      <c r="F31" s="63"/>
      <c r="G31" s="63"/>
      <c r="H31" s="63"/>
      <c r="I31" s="41"/>
      <c r="J31" s="41"/>
    </row>
    <row r="32" spans="1:10">
      <c r="B32" s="41"/>
      <c r="C32" s="325"/>
      <c r="D32" s="41"/>
      <c r="E32" s="41"/>
      <c r="F32" s="63"/>
      <c r="G32" s="63"/>
      <c r="H32" s="63"/>
      <c r="I32" s="41"/>
      <c r="J32" s="41"/>
    </row>
    <row r="33" spans="2:10">
      <c r="B33" s="63"/>
      <c r="C33" s="99" t="s">
        <v>325</v>
      </c>
      <c r="D33" s="63"/>
      <c r="E33" s="63"/>
      <c r="F33" s="63"/>
      <c r="G33" s="63"/>
      <c r="H33" s="63"/>
      <c r="I33" s="63"/>
      <c r="J33" s="41"/>
    </row>
    <row r="34" spans="2:10">
      <c r="B34" s="106"/>
      <c r="C34" s="99" t="s">
        <v>326</v>
      </c>
      <c r="D34" s="41"/>
      <c r="E34" s="41"/>
      <c r="F34" s="100"/>
      <c r="G34" s="41"/>
      <c r="H34" s="41"/>
      <c r="I34" s="41"/>
      <c r="J34" s="41"/>
    </row>
    <row r="35" spans="2:10">
      <c r="B35" s="127"/>
      <c r="C35" s="99" t="s">
        <v>327</v>
      </c>
      <c r="D35" s="127"/>
      <c r="E35" s="127"/>
      <c r="F35" s="313"/>
      <c r="G35" s="313"/>
      <c r="H35" s="313"/>
      <c r="I35" s="127"/>
      <c r="J35" s="127"/>
    </row>
    <row r="36" spans="2:10">
      <c r="B36" s="127"/>
      <c r="C36" s="127"/>
      <c r="D36" s="106"/>
      <c r="E36" s="127"/>
      <c r="F36" s="314"/>
      <c r="G36" s="314"/>
      <c r="H36" s="314"/>
      <c r="I36" s="127"/>
      <c r="J36" s="127"/>
    </row>
    <row r="37" spans="2:10">
      <c r="B37" s="127"/>
      <c r="C37" s="127"/>
      <c r="D37" s="106"/>
      <c r="E37" s="127"/>
      <c r="F37" s="127" t="s">
        <v>480</v>
      </c>
      <c r="G37" s="127"/>
      <c r="H37" s="127"/>
      <c r="I37" s="127"/>
      <c r="J37" s="127"/>
    </row>
    <row r="38" spans="2:10">
      <c r="B38" s="127"/>
      <c r="C38" s="127"/>
      <c r="D38" s="106"/>
      <c r="E38" s="127"/>
      <c r="F38" s="127"/>
      <c r="G38" s="127"/>
      <c r="H38" s="127"/>
      <c r="I38" s="127"/>
      <c r="J38" s="127"/>
    </row>
    <row r="39" spans="2:10">
      <c r="B39" s="405" t="s">
        <v>10</v>
      </c>
      <c r="C39" s="41"/>
      <c r="D39" s="41"/>
      <c r="E39" s="41"/>
      <c r="F39" s="1351" t="s">
        <v>286</v>
      </c>
      <c r="G39" s="1351"/>
      <c r="H39" s="1351"/>
      <c r="I39" s="41"/>
      <c r="J39" s="41"/>
    </row>
    <row r="40" spans="2:10">
      <c r="B40" s="402"/>
      <c r="C40" s="74"/>
      <c r="D40" s="403"/>
      <c r="E40" s="59"/>
      <c r="F40" s="59"/>
      <c r="G40" s="59"/>
      <c r="H40" s="59"/>
      <c r="I40" s="41"/>
      <c r="J40" s="41"/>
    </row>
    <row r="41" spans="2:10">
      <c r="B41" s="185" t="s">
        <v>287</v>
      </c>
      <c r="C41" s="295"/>
      <c r="D41" s="186"/>
      <c r="E41" s="189"/>
      <c r="F41" s="185" t="s">
        <v>287</v>
      </c>
      <c r="G41" s="233"/>
      <c r="H41" s="233"/>
      <c r="I41" s="41"/>
      <c r="J41" s="41"/>
    </row>
    <row r="42" spans="2:10">
      <c r="B42" s="97"/>
      <c r="C42" s="97"/>
      <c r="D42" s="97"/>
      <c r="E42" s="97"/>
      <c r="F42" s="146"/>
      <c r="G42" s="59"/>
      <c r="H42" s="59"/>
      <c r="I42" s="41"/>
      <c r="J42" s="41"/>
    </row>
    <row r="43" spans="2:10">
      <c r="B43" s="189"/>
      <c r="C43" s="189"/>
      <c r="D43" s="189"/>
      <c r="E43" s="189"/>
      <c r="F43" s="205"/>
      <c r="G43" s="403"/>
      <c r="H43" s="403"/>
      <c r="I43" s="403"/>
      <c r="J43" s="403"/>
    </row>
    <row r="44" spans="2:10">
      <c r="B44" s="206" t="s">
        <v>288</v>
      </c>
      <c r="C44" s="296"/>
      <c r="D44" s="296"/>
      <c r="E44" s="179"/>
      <c r="F44" s="206" t="s">
        <v>288</v>
      </c>
      <c r="G44" s="123"/>
      <c r="H44" s="123"/>
      <c r="I44" s="41"/>
      <c r="J44" s="41"/>
    </row>
    <row r="45" spans="2:10">
      <c r="B45" s="178"/>
      <c r="C45" s="178"/>
      <c r="D45" s="293"/>
      <c r="E45" s="293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60"/>
      <c r="G46" s="60"/>
      <c r="H46" s="60"/>
      <c r="I46" s="49"/>
      <c r="J46" s="49"/>
    </row>
    <row r="47" spans="2:10">
      <c r="B47" s="294" t="s">
        <v>1</v>
      </c>
      <c r="C47" s="297">
        <f ca="1">TODAY()</f>
        <v>46054</v>
      </c>
      <c r="D47" s="186"/>
      <c r="E47" s="185"/>
      <c r="F47" s="294" t="s">
        <v>1</v>
      </c>
      <c r="G47" s="297">
        <f ca="1">C47</f>
        <v>46054</v>
      </c>
      <c r="H47" s="235"/>
      <c r="I47" s="48"/>
      <c r="J47" s="48"/>
    </row>
    <row r="48" spans="2:10">
      <c r="F48" s="292"/>
      <c r="G48" s="292"/>
      <c r="H48" s="292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2">
    <mergeCell ref="C8:G8"/>
    <mergeCell ref="F39:H39"/>
  </mergeCells>
  <pageMargins left="0.4" right="0.10833333333333334" top="0.37820512820512819" bottom="0.6858974358974359" header="0.3" footer="0.3"/>
  <pageSetup paperSize="9" orientation="portrait" horizont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4B46-483B-458C-9D76-DA223458EFE7}">
  <sheetPr codeName="Лист42">
    <tabColor theme="8" tint="0.39997558519241921"/>
  </sheetPr>
  <dimension ref="A2:J54"/>
  <sheetViews>
    <sheetView view="pageLayout" topLeftCell="A25" zoomScaleNormal="100" zoomScaleSheetLayoutView="110" workbookViewId="0">
      <selection activeCell="F34" sqref="F34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46484375" bestFit="1" customWidth="1"/>
    <col min="5" max="6" width="10.19921875" customWidth="1"/>
    <col min="7" max="7" width="10.1328125" bestFit="1" customWidth="1"/>
    <col min="10" max="10" width="7.86328125" customWidth="1"/>
  </cols>
  <sheetData>
    <row r="2" spans="2:10">
      <c r="B2" s="106"/>
      <c r="C2" s="106"/>
      <c r="D2" s="85"/>
      <c r="E2" s="85"/>
      <c r="F2" s="104"/>
      <c r="G2" s="85"/>
      <c r="H2" s="85"/>
      <c r="I2" s="85"/>
      <c r="J2" s="85"/>
    </row>
    <row r="3" spans="2:10" ht="15" customHeight="1">
      <c r="B3" s="106"/>
      <c r="C3" s="106"/>
      <c r="D3" s="108"/>
      <c r="E3" s="108"/>
      <c r="F3" s="104"/>
      <c r="G3" s="108"/>
      <c r="H3" s="108"/>
      <c r="I3" s="106"/>
      <c r="J3" s="106"/>
    </row>
    <row r="4" spans="2:10" ht="15" customHeight="1">
      <c r="B4" s="106"/>
      <c r="C4" s="106"/>
      <c r="D4" s="106"/>
      <c r="E4" s="106"/>
      <c r="F4" s="104"/>
      <c r="G4" s="106"/>
      <c r="H4" s="106"/>
      <c r="I4" s="106"/>
      <c r="J4" s="106"/>
    </row>
    <row r="5" spans="2:10" ht="15" customHeight="1">
      <c r="B5" s="106"/>
      <c r="C5" s="58"/>
      <c r="D5" s="58"/>
      <c r="E5" s="58"/>
      <c r="F5" s="102"/>
      <c r="G5" s="243"/>
      <c r="H5" s="109"/>
      <c r="I5" s="109"/>
      <c r="J5" s="106"/>
    </row>
    <row r="6" spans="2:10">
      <c r="B6" s="246"/>
      <c r="C6" s="111"/>
      <c r="D6" s="111"/>
      <c r="E6" s="111"/>
      <c r="F6" s="104"/>
      <c r="G6" s="244"/>
      <c r="H6" s="245"/>
      <c r="I6" s="245"/>
      <c r="J6" s="106"/>
    </row>
    <row r="7" spans="2:10">
      <c r="B7" s="59"/>
      <c r="C7" s="59"/>
      <c r="D7" s="59"/>
      <c r="E7" s="59"/>
      <c r="F7" s="59"/>
      <c r="G7" s="59"/>
      <c r="H7" s="60"/>
      <c r="I7" s="60"/>
      <c r="J7" s="60"/>
    </row>
    <row r="8" spans="2:10" ht="17.25"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2:10">
      <c r="B9" s="60"/>
      <c r="C9" s="100"/>
      <c r="D9" s="1324" t="s">
        <v>425</v>
      </c>
      <c r="E9" s="1324"/>
      <c r="F9" s="100"/>
      <c r="G9" s="100"/>
      <c r="H9" s="100"/>
      <c r="I9" s="60"/>
      <c r="J9" s="60"/>
    </row>
    <row r="10" spans="2:10">
      <c r="B10" s="60"/>
      <c r="C10" s="408"/>
      <c r="D10" s="99"/>
      <c r="E10" s="408"/>
      <c r="F10" s="408"/>
      <c r="G10" s="408"/>
      <c r="H10" s="408"/>
      <c r="I10" s="60"/>
      <c r="J10" s="60"/>
    </row>
    <row r="11" spans="2:10">
      <c r="B11" s="60"/>
      <c r="C11" s="100"/>
      <c r="D11" s="60"/>
      <c r="E11" s="60"/>
      <c r="F11" s="60"/>
      <c r="G11" s="60"/>
      <c r="H11" s="60"/>
      <c r="I11" s="60"/>
      <c r="J11" s="60"/>
    </row>
    <row r="12" spans="2:10"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2:10" ht="15" customHeight="1">
      <c r="B13" s="124" t="s">
        <v>269</v>
      </c>
      <c r="C13" s="122"/>
      <c r="D13" s="123"/>
      <c r="E13" s="59"/>
      <c r="F13" s="59"/>
      <c r="G13" s="59"/>
      <c r="H13" s="98"/>
      <c r="I13" s="63"/>
      <c r="J13" s="60"/>
    </row>
    <row r="14" spans="2:10" ht="15" customHeight="1"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2:10" ht="15" customHeight="1">
      <c r="B15" s="316"/>
      <c r="C15" s="315"/>
      <c r="D15" s="315"/>
      <c r="E15" s="60"/>
      <c r="F15" s="60"/>
      <c r="G15" s="60"/>
      <c r="H15" s="41"/>
      <c r="I15" s="41"/>
      <c r="J15" s="60"/>
    </row>
    <row r="16" spans="2:10">
      <c r="B16" s="316" t="s">
        <v>2</v>
      </c>
      <c r="C16" s="319"/>
      <c r="D16" s="250"/>
      <c r="E16" s="63"/>
      <c r="F16" s="63"/>
      <c r="G16" s="63"/>
      <c r="H16" s="63"/>
      <c r="I16" s="63"/>
      <c r="J16" s="41"/>
    </row>
    <row r="17" spans="1:10">
      <c r="A17" s="125"/>
      <c r="B17" s="316" t="s">
        <v>301</v>
      </c>
      <c r="C17" s="251"/>
      <c r="D17" s="251"/>
      <c r="E17" s="125"/>
      <c r="F17" s="125"/>
      <c r="G17" s="125"/>
      <c r="H17" s="125"/>
      <c r="I17" s="125"/>
      <c r="J17" s="125"/>
    </row>
    <row r="18" spans="1:10">
      <c r="A18" s="125"/>
      <c r="B18" s="316" t="s">
        <v>271</v>
      </c>
      <c r="C18" s="320"/>
      <c r="D18" s="251"/>
      <c r="E18" s="304"/>
      <c r="F18" s="304"/>
      <c r="G18" s="125"/>
      <c r="H18" s="125"/>
      <c r="I18" s="125"/>
      <c r="J18" s="125"/>
    </row>
    <row r="19" spans="1:10"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B20" s="267"/>
      <c r="C20" s="252"/>
      <c r="D20" s="253"/>
      <c r="E20" s="253"/>
      <c r="F20" s="253"/>
      <c r="G20" s="253"/>
      <c r="H20" s="253"/>
      <c r="I20" s="157"/>
      <c r="J20" s="407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B23" s="195"/>
      <c r="C23" s="99" t="s">
        <v>426</v>
      </c>
      <c r="D23" s="261"/>
      <c r="E23" s="321"/>
      <c r="F23" s="255"/>
      <c r="G23" s="259"/>
      <c r="H23" s="260"/>
      <c r="I23" s="197"/>
      <c r="J23" s="72"/>
    </row>
    <row r="24" spans="1:10">
      <c r="B24" s="62"/>
      <c r="C24" s="99" t="s">
        <v>427</v>
      </c>
      <c r="D24" s="62"/>
      <c r="E24" s="62"/>
      <c r="F24" s="272"/>
      <c r="G24" s="272"/>
      <c r="H24" s="272"/>
      <c r="I24" s="272"/>
      <c r="J24" s="59"/>
    </row>
    <row r="25" spans="1:10">
      <c r="B25" s="256"/>
      <c r="C25" s="99" t="s">
        <v>428</v>
      </c>
      <c r="D25" s="254"/>
      <c r="E25" s="254"/>
      <c r="F25" s="255"/>
      <c r="G25" s="322"/>
      <c r="H25" s="322"/>
      <c r="I25" s="62"/>
      <c r="J25" s="59"/>
    </row>
    <row r="26" spans="1:10">
      <c r="B26" s="256"/>
      <c r="C26" s="99"/>
      <c r="D26" s="254"/>
      <c r="E26" s="254"/>
      <c r="F26" s="259"/>
      <c r="G26" s="259"/>
      <c r="H26" s="300"/>
      <c r="I26" s="323"/>
      <c r="J26" s="35"/>
    </row>
    <row r="27" spans="1:10">
      <c r="B27" s="256"/>
      <c r="C27" s="99"/>
      <c r="D27" s="264"/>
      <c r="E27" s="210"/>
      <c r="F27" s="255"/>
      <c r="G27" s="262"/>
      <c r="H27" s="301"/>
      <c r="I27" s="302"/>
      <c r="J27" s="35"/>
    </row>
    <row r="28" spans="1:10">
      <c r="B28" s="256"/>
      <c r="C28" s="325" t="s">
        <v>429</v>
      </c>
      <c r="D28" s="268"/>
      <c r="E28" s="263"/>
      <c r="F28" s="263"/>
      <c r="G28" s="265"/>
      <c r="H28" s="265"/>
      <c r="I28" s="96"/>
      <c r="J28" s="35"/>
    </row>
    <row r="29" spans="1:10">
      <c r="B29" s="304"/>
      <c r="C29" s="325" t="s">
        <v>430</v>
      </c>
      <c r="D29" s="35"/>
      <c r="E29" s="210"/>
      <c r="F29" s="73"/>
      <c r="G29" s="35"/>
      <c r="H29" s="35"/>
      <c r="I29" s="35"/>
      <c r="J29" s="35"/>
    </row>
    <row r="30" spans="1:10">
      <c r="B30" s="256"/>
      <c r="C30" s="325"/>
      <c r="D30" s="35"/>
      <c r="E30" s="35"/>
      <c r="F30" s="35"/>
      <c r="G30" s="35"/>
      <c r="H30" s="35"/>
      <c r="I30" s="35"/>
      <c r="J30" s="35"/>
    </row>
    <row r="31" spans="1:10">
      <c r="B31" s="41"/>
      <c r="C31" s="325"/>
      <c r="D31" s="41"/>
      <c r="E31" s="41"/>
      <c r="F31" s="63"/>
      <c r="G31" s="63"/>
      <c r="H31" s="63"/>
      <c r="I31" s="41"/>
      <c r="J31" s="41"/>
    </row>
    <row r="32" spans="1:10">
      <c r="B32" s="41"/>
      <c r="C32" s="325"/>
      <c r="D32" s="41"/>
      <c r="E32" s="41"/>
      <c r="F32" s="63"/>
      <c r="G32" s="63"/>
      <c r="H32" s="63"/>
      <c r="I32" s="41"/>
      <c r="J32" s="41"/>
    </row>
    <row r="33" spans="2:10">
      <c r="B33" s="63"/>
      <c r="C33" s="99"/>
      <c r="D33" s="63"/>
      <c r="E33" s="63"/>
      <c r="F33" s="63"/>
      <c r="G33" s="63"/>
      <c r="H33" s="63"/>
      <c r="I33" s="63"/>
      <c r="J33" s="41"/>
    </row>
    <row r="34" spans="2:10">
      <c r="B34" s="106"/>
      <c r="C34" s="99"/>
      <c r="D34" s="41"/>
      <c r="E34" s="41"/>
      <c r="F34" s="100"/>
      <c r="G34" s="41" t="s">
        <v>480</v>
      </c>
      <c r="H34" s="41"/>
      <c r="I34" s="41"/>
      <c r="J34" s="41"/>
    </row>
    <row r="35" spans="2:10">
      <c r="B35" s="127"/>
      <c r="C35" s="99"/>
      <c r="D35" s="127"/>
      <c r="E35" s="127"/>
      <c r="F35" s="313"/>
      <c r="G35" s="313"/>
      <c r="H35" s="313"/>
      <c r="I35" s="127"/>
      <c r="J35" s="127"/>
    </row>
    <row r="36" spans="2:10">
      <c r="B36" s="127"/>
      <c r="C36" s="127"/>
      <c r="D36" s="106"/>
      <c r="E36" s="127"/>
      <c r="F36" s="314"/>
      <c r="G36" s="314"/>
      <c r="H36" s="314"/>
      <c r="I36" s="127"/>
      <c r="J36" s="127"/>
    </row>
    <row r="37" spans="2:10">
      <c r="B37" s="127"/>
      <c r="C37" s="127"/>
      <c r="D37" s="106"/>
      <c r="E37" s="127"/>
      <c r="F37" s="127"/>
      <c r="G37" s="127"/>
      <c r="H37" s="127"/>
      <c r="I37" s="127"/>
      <c r="J37" s="127"/>
    </row>
    <row r="38" spans="2:10">
      <c r="B38" s="127"/>
      <c r="C38" s="127"/>
      <c r="D38" s="106"/>
      <c r="E38" s="127"/>
      <c r="F38" s="127"/>
      <c r="G38" s="127"/>
      <c r="H38" s="127"/>
      <c r="I38" s="127"/>
      <c r="J38" s="127"/>
    </row>
    <row r="39" spans="2:10">
      <c r="B39" s="409" t="s">
        <v>10</v>
      </c>
      <c r="C39" s="41"/>
      <c r="D39" s="41"/>
      <c r="E39" s="41"/>
      <c r="F39" s="1351" t="s">
        <v>431</v>
      </c>
      <c r="G39" s="1351"/>
      <c r="H39" s="1351"/>
      <c r="I39" s="41"/>
      <c r="J39" s="41"/>
    </row>
    <row r="40" spans="2:10">
      <c r="B40" s="406"/>
      <c r="C40" s="74"/>
      <c r="D40" s="407"/>
      <c r="E40" s="59"/>
      <c r="F40" s="59"/>
      <c r="G40" s="59"/>
      <c r="H40" s="59"/>
      <c r="I40" s="41"/>
      <c r="J40" s="41"/>
    </row>
    <row r="41" spans="2:10">
      <c r="B41" s="185" t="s">
        <v>287</v>
      </c>
      <c r="C41" s="295"/>
      <c r="D41" s="186"/>
      <c r="E41" s="189"/>
      <c r="F41" s="185" t="s">
        <v>287</v>
      </c>
      <c r="G41" s="233"/>
      <c r="H41" s="233"/>
      <c r="I41" s="41"/>
      <c r="J41" s="41"/>
    </row>
    <row r="42" spans="2:10">
      <c r="B42" s="97"/>
      <c r="C42" s="97"/>
      <c r="D42" s="97"/>
      <c r="E42" s="97"/>
      <c r="F42" s="146"/>
      <c r="G42" s="59"/>
      <c r="H42" s="59"/>
      <c r="I42" s="41"/>
      <c r="J42" s="41"/>
    </row>
    <row r="43" spans="2:10">
      <c r="B43" s="189"/>
      <c r="C43" s="189"/>
      <c r="D43" s="189"/>
      <c r="E43" s="189"/>
      <c r="F43" s="205"/>
      <c r="G43" s="407"/>
      <c r="H43" s="407"/>
      <c r="I43" s="407"/>
      <c r="J43" s="407"/>
    </row>
    <row r="44" spans="2:10">
      <c r="B44" s="206" t="s">
        <v>288</v>
      </c>
      <c r="C44" s="296"/>
      <c r="D44" s="296"/>
      <c r="E44" s="179"/>
      <c r="F44" s="206" t="s">
        <v>288</v>
      </c>
      <c r="G44" s="123"/>
      <c r="H44" s="123"/>
      <c r="I44" s="41"/>
      <c r="J44" s="41"/>
    </row>
    <row r="45" spans="2:10">
      <c r="B45" s="178"/>
      <c r="C45" s="178"/>
      <c r="D45" s="293"/>
      <c r="E45" s="293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60"/>
      <c r="G46" s="60"/>
      <c r="H46" s="60"/>
      <c r="I46" s="49"/>
      <c r="J46" s="49"/>
    </row>
    <row r="47" spans="2:10">
      <c r="B47" s="294" t="s">
        <v>1</v>
      </c>
      <c r="C47" s="297">
        <f ca="1">TODAY()</f>
        <v>46054</v>
      </c>
      <c r="D47" s="186"/>
      <c r="E47" s="185"/>
      <c r="F47" s="294" t="s">
        <v>1</v>
      </c>
      <c r="G47" s="297">
        <f ca="1">C47</f>
        <v>46054</v>
      </c>
      <c r="H47" s="235"/>
      <c r="I47" s="48"/>
      <c r="J47" s="48"/>
    </row>
    <row r="48" spans="2:10">
      <c r="F48" s="292"/>
      <c r="G48" s="292"/>
      <c r="H48" s="292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3">
    <mergeCell ref="C8:G8"/>
    <mergeCell ref="D9:E9"/>
    <mergeCell ref="F39:H39"/>
  </mergeCells>
  <pageMargins left="0.39166666666666666" right="0.10833333333333334" top="0.37820512820512819" bottom="0.6858974358974359" header="0.3" footer="0.3"/>
  <pageSetup paperSize="9" orientation="portrait" horizont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5C35-9052-46E0-BD85-39E2C03282E7}">
  <sheetPr codeName="Лист43">
    <tabColor theme="8" tint="0.39997558519241921"/>
  </sheetPr>
  <dimension ref="A2:J54"/>
  <sheetViews>
    <sheetView view="pageLayout" topLeftCell="A4" zoomScaleNormal="100" zoomScaleSheetLayoutView="110" workbookViewId="0">
      <selection activeCell="G34" sqref="G34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46484375" bestFit="1" customWidth="1"/>
    <col min="5" max="6" width="10.19921875" customWidth="1"/>
    <col min="7" max="7" width="10.1328125" bestFit="1" customWidth="1"/>
    <col min="10" max="10" width="7.86328125" customWidth="1"/>
  </cols>
  <sheetData>
    <row r="2" spans="2:10">
      <c r="B2" s="106"/>
      <c r="C2" s="106"/>
      <c r="D2" s="85"/>
      <c r="E2" s="85"/>
      <c r="F2" s="104"/>
      <c r="G2" s="85"/>
      <c r="H2" s="85"/>
      <c r="I2" s="85"/>
      <c r="J2" s="85"/>
    </row>
    <row r="3" spans="2:10" ht="15" customHeight="1">
      <c r="B3" s="106"/>
      <c r="C3" s="106"/>
      <c r="D3" s="108"/>
      <c r="E3" s="108"/>
      <c r="F3" s="104"/>
      <c r="G3" s="108"/>
      <c r="H3" s="108"/>
      <c r="I3" s="106"/>
      <c r="J3" s="106"/>
    </row>
    <row r="4" spans="2:10" ht="15" customHeight="1">
      <c r="B4" s="106"/>
      <c r="C4" s="106"/>
      <c r="D4" s="106"/>
      <c r="E4" s="106"/>
      <c r="F4" s="104"/>
      <c r="G4" s="106"/>
      <c r="H4" s="106"/>
      <c r="I4" s="106"/>
      <c r="J4" s="106"/>
    </row>
    <row r="5" spans="2:10" ht="15" customHeight="1">
      <c r="B5" s="106"/>
      <c r="C5" s="58"/>
      <c r="D5" s="58"/>
      <c r="E5" s="58"/>
      <c r="F5" s="102"/>
      <c r="G5" s="243"/>
      <c r="H5" s="109"/>
      <c r="I5" s="109"/>
      <c r="J5" s="106"/>
    </row>
    <row r="6" spans="2:10">
      <c r="B6" s="246"/>
      <c r="C6" s="111"/>
      <c r="D6" s="111"/>
      <c r="E6" s="111"/>
      <c r="F6" s="104"/>
      <c r="G6" s="244"/>
      <c r="H6" s="245"/>
      <c r="I6" s="245"/>
      <c r="J6" s="106"/>
    </row>
    <row r="7" spans="2:10">
      <c r="B7" s="59"/>
      <c r="C7" s="59"/>
      <c r="D7" s="59"/>
      <c r="E7" s="59"/>
      <c r="F7" s="59"/>
      <c r="G7" s="59"/>
      <c r="H7" s="60"/>
      <c r="I7" s="60"/>
      <c r="J7" s="60"/>
    </row>
    <row r="8" spans="2:10" ht="17.25"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2:10">
      <c r="B9" s="60"/>
      <c r="C9" s="100"/>
      <c r="D9" s="1324" t="s">
        <v>472</v>
      </c>
      <c r="E9" s="1324"/>
      <c r="F9" s="100"/>
      <c r="G9" s="100"/>
      <c r="H9" s="100"/>
      <c r="I9" s="60"/>
      <c r="J9" s="60"/>
    </row>
    <row r="10" spans="2:10">
      <c r="B10" s="60"/>
      <c r="C10" s="408"/>
      <c r="D10" s="99"/>
      <c r="E10" s="408"/>
      <c r="F10" s="408"/>
      <c r="G10" s="408"/>
      <c r="H10" s="408"/>
      <c r="I10" s="60"/>
      <c r="J10" s="60"/>
    </row>
    <row r="11" spans="2:10">
      <c r="B11" s="60"/>
      <c r="C11" s="100"/>
      <c r="D11" s="60"/>
      <c r="E11" s="60"/>
      <c r="F11" s="60"/>
      <c r="G11" s="60"/>
      <c r="H11" s="60"/>
      <c r="I11" s="60"/>
      <c r="J11" s="60"/>
    </row>
    <row r="12" spans="2:10"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2:10" ht="15" customHeight="1">
      <c r="B13" s="124" t="s">
        <v>269</v>
      </c>
      <c r="C13" s="122"/>
      <c r="D13" s="123"/>
      <c r="E13" s="59"/>
      <c r="F13" s="59"/>
      <c r="G13" s="59"/>
      <c r="H13" s="98"/>
      <c r="I13" s="63"/>
      <c r="J13" s="60"/>
    </row>
    <row r="14" spans="2:10" ht="15" customHeight="1"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2:10" ht="15" customHeight="1">
      <c r="B15" s="316"/>
      <c r="C15" s="315"/>
      <c r="D15" s="315"/>
      <c r="E15" s="60"/>
      <c r="F15" s="60"/>
      <c r="G15" s="60"/>
      <c r="H15" s="41"/>
      <c r="I15" s="41"/>
      <c r="J15" s="60"/>
    </row>
    <row r="16" spans="2:10">
      <c r="B16" s="316" t="s">
        <v>2</v>
      </c>
      <c r="C16" s="319"/>
      <c r="D16" s="250"/>
      <c r="E16" s="63"/>
      <c r="F16" s="63"/>
      <c r="G16" s="63"/>
      <c r="H16" s="63"/>
      <c r="I16" s="63"/>
      <c r="J16" s="41"/>
    </row>
    <row r="17" spans="1:10">
      <c r="A17" s="125"/>
      <c r="B17" s="316" t="s">
        <v>301</v>
      </c>
      <c r="C17" s="251"/>
      <c r="D17" s="251"/>
      <c r="E17" s="125"/>
      <c r="F17" s="125"/>
      <c r="G17" s="125"/>
      <c r="H17" s="125"/>
      <c r="I17" s="125"/>
      <c r="J17" s="125"/>
    </row>
    <row r="18" spans="1:10">
      <c r="A18" s="125"/>
      <c r="B18" s="316" t="s">
        <v>271</v>
      </c>
      <c r="C18" s="320"/>
      <c r="D18" s="251"/>
      <c r="E18" s="304"/>
      <c r="F18" s="304"/>
      <c r="G18" s="125"/>
      <c r="H18" s="125"/>
      <c r="I18" s="125"/>
      <c r="J18" s="125"/>
    </row>
    <row r="19" spans="1:10"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B20" s="314" t="s">
        <v>16</v>
      </c>
      <c r="C20" s="252"/>
      <c r="D20" s="253"/>
      <c r="E20" s="253"/>
      <c r="F20" s="253"/>
      <c r="G20" s="253"/>
      <c r="H20" s="253"/>
      <c r="I20" s="157"/>
      <c r="J20" s="407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B23" s="195"/>
      <c r="C23" s="99" t="s">
        <v>473</v>
      </c>
      <c r="D23" s="261"/>
      <c r="E23" s="321"/>
      <c r="F23" s="255"/>
      <c r="G23" s="259"/>
      <c r="H23" s="260"/>
      <c r="I23" s="197"/>
      <c r="J23" s="72"/>
    </row>
    <row r="24" spans="1:10">
      <c r="B24" s="62"/>
      <c r="C24" s="100" t="s">
        <v>474</v>
      </c>
      <c r="D24" s="62"/>
      <c r="E24" s="62"/>
      <c r="F24" s="272"/>
      <c r="G24" s="272"/>
      <c r="H24" s="272"/>
      <c r="I24" s="272"/>
      <c r="J24" s="59"/>
    </row>
    <row r="25" spans="1:10">
      <c r="B25" s="256"/>
      <c r="C25" s="399"/>
      <c r="D25" s="254"/>
      <c r="E25" s="254"/>
      <c r="F25" s="255"/>
      <c r="G25" s="322"/>
      <c r="H25" s="322"/>
      <c r="I25" s="62"/>
      <c r="J25" s="59"/>
    </row>
    <row r="26" spans="1:10">
      <c r="B26" s="256"/>
      <c r="C26" s="100" t="s">
        <v>475</v>
      </c>
      <c r="D26" s="254"/>
      <c r="E26" s="254"/>
      <c r="F26" s="259"/>
      <c r="G26" s="259"/>
      <c r="H26" s="300"/>
      <c r="I26" s="323"/>
      <c r="J26" s="35"/>
    </row>
    <row r="27" spans="1:10">
      <c r="B27" s="256"/>
      <c r="C27" s="99"/>
      <c r="D27" s="264"/>
      <c r="E27" s="210"/>
      <c r="F27" s="255"/>
      <c r="G27" s="262"/>
      <c r="H27" s="301"/>
      <c r="I27" s="302"/>
      <c r="J27" s="35"/>
    </row>
    <row r="28" spans="1:10">
      <c r="B28" s="256"/>
      <c r="C28" s="99" t="s">
        <v>476</v>
      </c>
      <c r="D28" s="268"/>
      <c r="E28" s="263"/>
      <c r="F28" s="263"/>
      <c r="G28" s="265"/>
      <c r="H28" s="265"/>
      <c r="I28" s="96"/>
      <c r="J28" s="35"/>
    </row>
    <row r="29" spans="1:10">
      <c r="B29" s="304"/>
      <c r="C29" s="99" t="s">
        <v>478</v>
      </c>
      <c r="D29" s="35"/>
      <c r="E29" s="210"/>
      <c r="F29" s="73"/>
      <c r="G29" s="35"/>
      <c r="H29" s="35"/>
      <c r="I29" s="35"/>
      <c r="J29" s="35"/>
    </row>
    <row r="30" spans="1:10">
      <c r="B30" s="256"/>
      <c r="C30" s="100" t="s">
        <v>479</v>
      </c>
      <c r="D30" s="35"/>
      <c r="E30" s="35"/>
      <c r="F30" s="35"/>
      <c r="G30" s="35"/>
      <c r="H30" s="35"/>
      <c r="I30" s="35"/>
      <c r="J30" s="35"/>
    </row>
    <row r="31" spans="1:10">
      <c r="B31" s="41"/>
      <c r="C31" s="325"/>
      <c r="D31" s="41"/>
      <c r="E31" s="41"/>
      <c r="F31" s="63"/>
      <c r="G31" s="63"/>
      <c r="H31" s="63"/>
      <c r="I31" s="41"/>
      <c r="J31" s="41"/>
    </row>
    <row r="32" spans="1:10">
      <c r="B32" s="41"/>
      <c r="C32" s="325"/>
      <c r="D32" s="41"/>
      <c r="E32" s="41"/>
      <c r="F32" s="63"/>
      <c r="G32" s="63"/>
      <c r="H32" s="63"/>
      <c r="I32" s="41"/>
      <c r="J32" s="41"/>
    </row>
    <row r="33" spans="2:10">
      <c r="B33" s="63"/>
      <c r="C33" s="99"/>
      <c r="D33" s="63"/>
      <c r="E33" s="63"/>
      <c r="F33" s="63"/>
      <c r="G33" s="63"/>
      <c r="H33" s="63"/>
      <c r="I33" s="63"/>
      <c r="J33" s="41"/>
    </row>
    <row r="34" spans="2:10">
      <c r="B34" s="106"/>
      <c r="C34" s="99"/>
      <c r="D34" s="41"/>
      <c r="E34" s="41"/>
      <c r="F34" s="100"/>
      <c r="G34" s="28" t="s">
        <v>480</v>
      </c>
      <c r="H34" s="41"/>
      <c r="I34" s="41"/>
      <c r="J34" s="41"/>
    </row>
    <row r="35" spans="2:10">
      <c r="B35" s="127"/>
      <c r="C35" s="99"/>
      <c r="D35" s="127"/>
      <c r="E35" s="127"/>
      <c r="F35" s="313"/>
      <c r="G35" s="313"/>
      <c r="H35" s="313"/>
      <c r="I35" s="127"/>
      <c r="J35" s="127"/>
    </row>
    <row r="36" spans="2:10">
      <c r="B36" s="127"/>
      <c r="C36" s="127"/>
      <c r="D36" s="106"/>
      <c r="E36" s="127"/>
      <c r="F36" s="314"/>
      <c r="G36" s="314"/>
      <c r="H36" s="314"/>
      <c r="I36" s="127"/>
      <c r="J36" s="127"/>
    </row>
    <row r="37" spans="2:10">
      <c r="B37" s="127"/>
      <c r="C37" s="127"/>
      <c r="D37" s="106"/>
      <c r="E37" s="127"/>
      <c r="F37" s="127"/>
      <c r="G37" s="127"/>
      <c r="H37" s="127"/>
      <c r="I37" s="127"/>
      <c r="J37" s="127"/>
    </row>
    <row r="38" spans="2:10">
      <c r="B38" s="127"/>
      <c r="C38" s="127"/>
      <c r="D38" s="106"/>
      <c r="E38" s="127"/>
      <c r="F38" s="127"/>
      <c r="G38" s="127"/>
      <c r="H38" s="127"/>
      <c r="I38" s="127"/>
      <c r="J38" s="127"/>
    </row>
    <row r="39" spans="2:10">
      <c r="B39" s="409" t="s">
        <v>10</v>
      </c>
      <c r="C39" s="41"/>
      <c r="D39" s="41"/>
      <c r="E39" s="41"/>
      <c r="F39" s="1351" t="s">
        <v>481</v>
      </c>
      <c r="G39" s="1351"/>
      <c r="H39" s="492"/>
      <c r="I39" s="41"/>
      <c r="J39" s="41"/>
    </row>
    <row r="40" spans="2:10">
      <c r="B40" s="406"/>
      <c r="C40" s="74"/>
      <c r="D40" s="407"/>
      <c r="E40" s="59"/>
      <c r="F40" s="59"/>
      <c r="G40" s="59"/>
      <c r="H40" s="59"/>
      <c r="I40" s="41"/>
      <c r="J40" s="41"/>
    </row>
    <row r="41" spans="2:10">
      <c r="B41" s="185" t="s">
        <v>287</v>
      </c>
      <c r="C41" s="295"/>
      <c r="D41" s="186"/>
      <c r="E41" s="189"/>
      <c r="F41" s="185" t="s">
        <v>287</v>
      </c>
      <c r="G41" s="233"/>
      <c r="H41" s="233"/>
      <c r="I41" s="41"/>
      <c r="J41" s="41"/>
    </row>
    <row r="42" spans="2:10">
      <c r="B42" s="97"/>
      <c r="C42" s="97"/>
      <c r="D42" s="97"/>
      <c r="E42" s="97"/>
      <c r="F42" s="146"/>
      <c r="G42" s="59"/>
      <c r="H42" s="59"/>
      <c r="I42" s="41"/>
      <c r="J42" s="41"/>
    </row>
    <row r="43" spans="2:10">
      <c r="B43" s="189"/>
      <c r="C43" s="189"/>
      <c r="D43" s="189"/>
      <c r="E43" s="189"/>
      <c r="F43" s="205"/>
      <c r="G43" s="407"/>
      <c r="H43" s="407"/>
      <c r="I43" s="407"/>
      <c r="J43" s="407"/>
    </row>
    <row r="44" spans="2:10">
      <c r="B44" s="206" t="s">
        <v>288</v>
      </c>
      <c r="C44" s="296"/>
      <c r="D44" s="296"/>
      <c r="E44" s="179"/>
      <c r="F44" s="206" t="s">
        <v>288</v>
      </c>
      <c r="G44" s="123"/>
      <c r="H44" s="123"/>
      <c r="I44" s="41"/>
      <c r="J44" s="41"/>
    </row>
    <row r="45" spans="2:10">
      <c r="B45" s="178"/>
      <c r="C45" s="178"/>
      <c r="D45" s="293"/>
      <c r="E45" s="293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60"/>
      <c r="G46" s="60"/>
      <c r="H46" s="60"/>
      <c r="I46" s="49"/>
      <c r="J46" s="49"/>
    </row>
    <row r="47" spans="2:10">
      <c r="B47" s="294" t="s">
        <v>1</v>
      </c>
      <c r="C47" s="297">
        <f ca="1">TODAY()</f>
        <v>46054</v>
      </c>
      <c r="D47" s="186"/>
      <c r="E47" s="185"/>
      <c r="F47" s="294" t="s">
        <v>1</v>
      </c>
      <c r="G47" s="297">
        <f ca="1">C47</f>
        <v>46054</v>
      </c>
      <c r="H47" s="235"/>
      <c r="I47" s="48"/>
      <c r="J47" s="48"/>
    </row>
    <row r="48" spans="2:10">
      <c r="F48" s="292"/>
      <c r="G48" s="292"/>
      <c r="H48" s="292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3">
    <mergeCell ref="C8:G8"/>
    <mergeCell ref="D9:E9"/>
    <mergeCell ref="F39:G39"/>
  </mergeCells>
  <pageMargins left="0.375" right="0.10833333333333334" top="0.37820512820512819" bottom="0.6858974358974359" header="0.3" footer="0.3"/>
  <pageSetup paperSize="9" orientation="portrait" horizont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CA66-F79B-4993-ACA8-C61932794130}">
  <sheetPr codeName="Лист44">
    <tabColor theme="8" tint="0.39997558519241921"/>
  </sheetPr>
  <dimension ref="A2:J54"/>
  <sheetViews>
    <sheetView view="pageLayout" topLeftCell="A13" zoomScaleNormal="100" zoomScaleSheetLayoutView="110" workbookViewId="0">
      <selection activeCell="D10" sqref="D10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46484375" bestFit="1" customWidth="1"/>
    <col min="5" max="6" width="10.19921875" customWidth="1"/>
    <col min="7" max="7" width="10.1328125" bestFit="1" customWidth="1"/>
    <col min="10" max="10" width="7.86328125" customWidth="1"/>
  </cols>
  <sheetData>
    <row r="2" spans="2:10">
      <c r="B2" s="106"/>
      <c r="C2" s="106"/>
      <c r="D2" s="85"/>
      <c r="E2" s="85"/>
      <c r="F2" s="104"/>
      <c r="G2" s="85"/>
      <c r="H2" s="85"/>
      <c r="I2" s="85"/>
      <c r="J2" s="85"/>
    </row>
    <row r="3" spans="2:10" ht="15" customHeight="1">
      <c r="B3" s="106"/>
      <c r="C3" s="106"/>
      <c r="D3" s="108"/>
      <c r="E3" s="108"/>
      <c r="F3" s="104"/>
      <c r="G3" s="108"/>
      <c r="H3" s="108"/>
      <c r="I3" s="106"/>
      <c r="J3" s="106"/>
    </row>
    <row r="4" spans="2:10" ht="15" customHeight="1">
      <c r="B4" s="106"/>
      <c r="C4" s="106"/>
      <c r="D4" s="106"/>
      <c r="E4" s="106"/>
      <c r="F4" s="104"/>
      <c r="G4" s="106"/>
      <c r="H4" s="106"/>
      <c r="I4" s="106"/>
      <c r="J4" s="106"/>
    </row>
    <row r="5" spans="2:10" ht="15" customHeight="1">
      <c r="B5" s="106"/>
      <c r="C5" s="58"/>
      <c r="D5" s="58"/>
      <c r="E5" s="58"/>
      <c r="F5" s="102"/>
      <c r="G5" s="243"/>
      <c r="H5" s="109"/>
      <c r="I5" s="109"/>
      <c r="J5" s="106"/>
    </row>
    <row r="6" spans="2:10">
      <c r="B6" s="246"/>
      <c r="C6" s="111"/>
      <c r="D6" s="111"/>
      <c r="E6" s="111"/>
      <c r="F6" s="104"/>
      <c r="G6" s="244"/>
      <c r="H6" s="245"/>
      <c r="I6" s="245"/>
      <c r="J6" s="106"/>
    </row>
    <row r="7" spans="2:10">
      <c r="B7" s="59"/>
      <c r="C7" s="59"/>
      <c r="D7" s="59"/>
      <c r="E7" s="59"/>
      <c r="F7" s="59"/>
      <c r="G7" s="59"/>
      <c r="H7" s="60"/>
      <c r="I7" s="60"/>
      <c r="J7" s="60"/>
    </row>
    <row r="8" spans="2:10" ht="17.25"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2:10">
      <c r="B9" s="60"/>
      <c r="C9" s="100"/>
      <c r="D9" s="100" t="s">
        <v>711</v>
      </c>
      <c r="E9" s="100"/>
      <c r="F9" s="100"/>
      <c r="G9" s="100"/>
      <c r="H9" s="100"/>
      <c r="I9" s="60"/>
      <c r="J9" s="60"/>
    </row>
    <row r="10" spans="2:10">
      <c r="B10" s="60"/>
      <c r="C10" s="607"/>
      <c r="D10" s="99"/>
      <c r="E10" s="607"/>
      <c r="F10" s="607"/>
      <c r="G10" s="607"/>
      <c r="H10" s="607"/>
      <c r="I10" s="60"/>
      <c r="J10" s="60"/>
    </row>
    <row r="11" spans="2:10">
      <c r="B11" s="60"/>
      <c r="C11" s="100"/>
      <c r="D11" s="60"/>
      <c r="E11" s="60"/>
      <c r="F11" s="60"/>
      <c r="G11" s="60"/>
      <c r="H11" s="60"/>
      <c r="I11" s="60"/>
      <c r="J11" s="60"/>
    </row>
    <row r="12" spans="2:10"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2:10" ht="15" customHeight="1">
      <c r="B13" s="124" t="s">
        <v>269</v>
      </c>
      <c r="C13" s="122"/>
      <c r="D13" s="123"/>
      <c r="E13" s="59"/>
      <c r="F13" s="59"/>
      <c r="G13" s="59"/>
      <c r="H13" s="98"/>
      <c r="I13" s="63"/>
      <c r="J13" s="60"/>
    </row>
    <row r="14" spans="2:10" ht="15" customHeight="1"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2:10" ht="15" customHeight="1">
      <c r="B15" s="316"/>
      <c r="C15" s="315"/>
      <c r="D15" s="315"/>
      <c r="E15" s="60"/>
      <c r="F15" s="60"/>
      <c r="G15" s="60"/>
      <c r="H15" s="41"/>
      <c r="I15" s="41"/>
      <c r="J15" s="60"/>
    </row>
    <row r="16" spans="2:10">
      <c r="B16" s="316" t="s">
        <v>2</v>
      </c>
      <c r="C16" s="319"/>
      <c r="D16" s="250"/>
      <c r="E16" s="63"/>
      <c r="F16" s="63"/>
      <c r="G16" s="63"/>
      <c r="H16" s="63"/>
      <c r="I16" s="63"/>
      <c r="J16" s="41"/>
    </row>
    <row r="17" spans="1:10">
      <c r="A17" s="125"/>
      <c r="B17" s="316" t="s">
        <v>301</v>
      </c>
      <c r="C17" s="251"/>
      <c r="D17" s="251"/>
      <c r="E17" s="125"/>
      <c r="F17" s="125"/>
      <c r="G17" s="125"/>
      <c r="H17" s="125"/>
      <c r="I17" s="125"/>
      <c r="J17" s="125"/>
    </row>
    <row r="18" spans="1:10">
      <c r="A18" s="125"/>
      <c r="B18" s="316" t="s">
        <v>271</v>
      </c>
      <c r="C18" s="320"/>
      <c r="D18" s="251"/>
      <c r="E18" s="304"/>
      <c r="F18" s="304"/>
      <c r="G18" s="125"/>
      <c r="H18" s="125"/>
      <c r="I18" s="125"/>
      <c r="J18" s="125"/>
    </row>
    <row r="19" spans="1:10"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B20" s="314" t="s">
        <v>16</v>
      </c>
      <c r="C20" s="252"/>
      <c r="D20" s="253"/>
      <c r="E20" s="253"/>
      <c r="F20" s="253"/>
      <c r="G20" s="253"/>
      <c r="H20" s="253"/>
      <c r="I20" s="157"/>
      <c r="J20" s="606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B23" s="195"/>
      <c r="C23" s="99" t="s">
        <v>483</v>
      </c>
      <c r="D23" s="261"/>
      <c r="E23" s="321"/>
      <c r="F23" s="255"/>
      <c r="G23" s="259"/>
      <c r="H23" s="260"/>
      <c r="I23" s="197"/>
      <c r="J23" s="72"/>
    </row>
    <row r="24" spans="1:10">
      <c r="B24" s="62"/>
      <c r="C24" s="100" t="s">
        <v>484</v>
      </c>
      <c r="D24" s="62"/>
      <c r="E24" s="62"/>
      <c r="F24" s="272"/>
      <c r="G24" s="272"/>
      <c r="H24" s="272"/>
      <c r="I24" s="272"/>
      <c r="J24" s="59"/>
    </row>
    <row r="25" spans="1:10">
      <c r="B25" s="256"/>
      <c r="C25" s="399"/>
      <c r="D25" s="254"/>
      <c r="E25" s="254"/>
      <c r="F25" s="255"/>
      <c r="G25" s="322"/>
      <c r="H25" s="322"/>
      <c r="I25" s="62"/>
      <c r="J25" s="59"/>
    </row>
    <row r="26" spans="1:10">
      <c r="B26" s="256"/>
      <c r="C26" s="100" t="s">
        <v>485</v>
      </c>
      <c r="D26" s="254"/>
      <c r="E26" s="254"/>
      <c r="F26" s="259"/>
      <c r="G26" s="259"/>
      <c r="H26" s="300"/>
      <c r="I26" s="323"/>
      <c r="J26" s="35"/>
    </row>
    <row r="27" spans="1:10">
      <c r="B27" s="256"/>
      <c r="C27" s="99"/>
      <c r="D27" s="264"/>
      <c r="E27" s="210"/>
      <c r="F27" s="255"/>
      <c r="G27" s="262"/>
      <c r="H27" s="301"/>
      <c r="I27" s="302"/>
      <c r="J27" s="35"/>
    </row>
    <row r="28" spans="1:10">
      <c r="B28" s="256"/>
      <c r="C28" s="99" t="s">
        <v>486</v>
      </c>
      <c r="D28" s="268"/>
      <c r="E28" s="263"/>
      <c r="F28" s="263"/>
      <c r="G28" s="265"/>
      <c r="H28" s="265"/>
      <c r="I28" s="96"/>
      <c r="J28" s="35"/>
    </row>
    <row r="29" spans="1:10">
      <c r="B29" s="304"/>
      <c r="C29" s="99" t="s">
        <v>477</v>
      </c>
      <c r="D29" s="35"/>
      <c r="E29" s="210"/>
      <c r="F29" s="73"/>
      <c r="G29" s="35"/>
      <c r="H29" s="35"/>
      <c r="I29" s="35"/>
      <c r="J29" s="35"/>
    </row>
    <row r="30" spans="1:10">
      <c r="B30" s="256"/>
      <c r="C30" s="99" t="s">
        <v>487</v>
      </c>
      <c r="D30" s="35"/>
      <c r="E30" s="35"/>
      <c r="F30" s="35"/>
      <c r="G30" s="35"/>
      <c r="H30" s="35"/>
      <c r="I30" s="35"/>
      <c r="J30" s="35"/>
    </row>
    <row r="31" spans="1:10">
      <c r="B31" s="41"/>
      <c r="C31" s="325"/>
      <c r="D31" s="41"/>
      <c r="E31" s="41"/>
      <c r="F31" s="63"/>
      <c r="G31" s="63"/>
      <c r="H31" s="63"/>
      <c r="I31" s="41"/>
      <c r="J31" s="41"/>
    </row>
    <row r="32" spans="1:10">
      <c r="B32" s="41"/>
      <c r="C32" s="325"/>
      <c r="D32" s="41"/>
      <c r="E32" s="41"/>
      <c r="F32" s="63"/>
      <c r="G32" s="63"/>
      <c r="H32" s="63"/>
      <c r="I32" s="41"/>
      <c r="J32" s="41"/>
    </row>
    <row r="33" spans="2:10">
      <c r="B33" s="63"/>
      <c r="C33" s="99"/>
      <c r="D33" s="63"/>
      <c r="E33" s="63"/>
      <c r="F33" s="63"/>
      <c r="G33" s="63"/>
      <c r="H33" s="63"/>
      <c r="I33" s="63"/>
      <c r="J33" s="41"/>
    </row>
    <row r="34" spans="2:10">
      <c r="B34" s="106"/>
      <c r="C34" s="99"/>
      <c r="D34" s="41"/>
      <c r="E34" s="41"/>
      <c r="F34" s="100"/>
      <c r="G34" s="28" t="s">
        <v>480</v>
      </c>
      <c r="H34" s="41"/>
      <c r="I34" s="41"/>
      <c r="J34" s="41"/>
    </row>
    <row r="35" spans="2:10">
      <c r="B35" s="127"/>
      <c r="C35" s="99"/>
      <c r="D35" s="127"/>
      <c r="E35" s="127"/>
      <c r="F35" s="313"/>
      <c r="G35" s="313"/>
      <c r="H35" s="313"/>
      <c r="I35" s="127"/>
      <c r="J35" s="127"/>
    </row>
    <row r="36" spans="2:10">
      <c r="B36" s="127"/>
      <c r="C36" s="127"/>
      <c r="D36" s="106"/>
      <c r="E36" s="127"/>
      <c r="F36" s="314"/>
      <c r="G36" s="314"/>
      <c r="H36" s="314"/>
      <c r="I36" s="127"/>
      <c r="J36" s="127"/>
    </row>
    <row r="37" spans="2:10">
      <c r="B37" s="127"/>
      <c r="C37" s="127"/>
      <c r="D37" s="106"/>
      <c r="E37" s="127"/>
      <c r="F37" s="127"/>
      <c r="G37" s="127"/>
      <c r="H37" s="127"/>
      <c r="I37" s="127"/>
      <c r="J37" s="127"/>
    </row>
    <row r="38" spans="2:10">
      <c r="B38" s="127"/>
      <c r="C38" s="127"/>
      <c r="D38" s="106"/>
      <c r="E38" s="127"/>
      <c r="F38" s="127"/>
      <c r="G38" s="127"/>
      <c r="H38" s="127"/>
      <c r="I38" s="127"/>
      <c r="J38" s="127"/>
    </row>
    <row r="39" spans="2:10">
      <c r="B39" s="609" t="s">
        <v>10</v>
      </c>
      <c r="C39" s="41"/>
      <c r="D39" s="41"/>
      <c r="E39" s="41"/>
      <c r="F39" s="492" t="s">
        <v>482</v>
      </c>
      <c r="G39" s="493"/>
      <c r="H39" s="492"/>
      <c r="I39" s="41"/>
      <c r="J39" s="41"/>
    </row>
    <row r="40" spans="2:10">
      <c r="B40" s="605"/>
      <c r="C40" s="74"/>
      <c r="D40" s="606"/>
      <c r="E40" s="59"/>
      <c r="F40" s="59"/>
      <c r="G40" s="59"/>
      <c r="H40" s="59"/>
      <c r="I40" s="41"/>
      <c r="J40" s="41"/>
    </row>
    <row r="41" spans="2:10">
      <c r="B41" s="185" t="s">
        <v>287</v>
      </c>
      <c r="C41" s="295"/>
      <c r="D41" s="186"/>
      <c r="E41" s="189"/>
      <c r="F41" s="185" t="s">
        <v>287</v>
      </c>
      <c r="G41" s="233"/>
      <c r="H41" s="233"/>
      <c r="I41" s="41"/>
      <c r="J41" s="41"/>
    </row>
    <row r="42" spans="2:10">
      <c r="B42" s="97"/>
      <c r="C42" s="97"/>
      <c r="D42" s="97"/>
      <c r="E42" s="97"/>
      <c r="F42" s="146"/>
      <c r="G42" s="59"/>
      <c r="H42" s="59"/>
      <c r="I42" s="41"/>
      <c r="J42" s="41"/>
    </row>
    <row r="43" spans="2:10">
      <c r="B43" s="189"/>
      <c r="C43" s="189"/>
      <c r="D43" s="189"/>
      <c r="E43" s="189"/>
      <c r="F43" s="205"/>
      <c r="G43" s="606"/>
      <c r="H43" s="606"/>
      <c r="I43" s="606"/>
      <c r="J43" s="606"/>
    </row>
    <row r="44" spans="2:10">
      <c r="B44" s="206" t="s">
        <v>288</v>
      </c>
      <c r="C44" s="296"/>
      <c r="D44" s="296"/>
      <c r="E44" s="179"/>
      <c r="F44" s="206" t="s">
        <v>288</v>
      </c>
      <c r="G44" s="123"/>
      <c r="H44" s="123"/>
      <c r="I44" s="41"/>
      <c r="J44" s="41"/>
    </row>
    <row r="45" spans="2:10">
      <c r="B45" s="178"/>
      <c r="C45" s="178"/>
      <c r="D45" s="293"/>
      <c r="E45" s="293"/>
      <c r="F45" s="41"/>
      <c r="G45" s="41"/>
      <c r="H45" s="41"/>
      <c r="I45" s="41"/>
      <c r="J45" s="41"/>
    </row>
    <row r="46" spans="2:10">
      <c r="B46" s="49"/>
      <c r="C46" s="49"/>
      <c r="D46" s="49"/>
      <c r="E46" s="49"/>
      <c r="F46" s="60"/>
      <c r="G46" s="60"/>
      <c r="H46" s="60"/>
      <c r="I46" s="49"/>
      <c r="J46" s="49"/>
    </row>
    <row r="47" spans="2:10">
      <c r="B47" s="294" t="s">
        <v>1</v>
      </c>
      <c r="C47" s="297">
        <f ca="1">TODAY()</f>
        <v>46054</v>
      </c>
      <c r="D47" s="186"/>
      <c r="E47" s="185"/>
      <c r="F47" s="294" t="s">
        <v>1</v>
      </c>
      <c r="G47" s="297">
        <f ca="1">C47</f>
        <v>46054</v>
      </c>
      <c r="H47" s="235"/>
      <c r="I47" s="48"/>
      <c r="J47" s="48"/>
    </row>
    <row r="48" spans="2:10">
      <c r="F48" s="292"/>
      <c r="G48" s="292"/>
      <c r="H48" s="292"/>
    </row>
    <row r="49" spans="2:10" ht="12" customHeight="1">
      <c r="B49" s="48"/>
      <c r="C49" s="48"/>
      <c r="D49" s="48"/>
      <c r="E49" s="48"/>
      <c r="F49" s="48"/>
      <c r="G49" s="48"/>
      <c r="H49" s="48"/>
      <c r="I49" s="48"/>
      <c r="J49" s="48"/>
    </row>
    <row r="50" spans="2:10" ht="12" customHeight="1">
      <c r="B50" s="48"/>
      <c r="C50" s="48"/>
      <c r="D50" s="48"/>
      <c r="E50" s="48"/>
      <c r="F50" s="48"/>
      <c r="G50" s="48"/>
      <c r="H50" s="48"/>
      <c r="I50" s="48"/>
      <c r="J50" s="48"/>
    </row>
    <row r="51" spans="2:10" ht="15" customHeight="1"/>
    <row r="52" spans="2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2:10">
      <c r="B53" s="1"/>
      <c r="C53" s="1"/>
      <c r="D53" s="1"/>
      <c r="E53" s="1"/>
      <c r="F53" s="1"/>
      <c r="G53" s="1"/>
      <c r="H53" s="1"/>
      <c r="I53" s="1"/>
      <c r="J53" s="1"/>
    </row>
    <row r="54" spans="2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8:G8"/>
  </mergeCells>
  <pageMargins left="0.38333333333333336" right="0.10833333333333334" top="0.37820512820512819" bottom="0.6858974358974359" header="0.3" footer="0.3"/>
  <pageSetup paperSize="9" orientation="portrait" horizont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A18A-194B-44CE-B449-7C6EBAAD4B1B}">
  <sheetPr codeName="Лист45">
    <tabColor theme="8" tint="0.39997558519241921"/>
  </sheetPr>
  <dimension ref="A1:J54"/>
  <sheetViews>
    <sheetView view="pageLayout" topLeftCell="A16" zoomScaleNormal="100" zoomScaleSheetLayoutView="110" workbookViewId="0">
      <selection activeCell="H36" sqref="H36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106"/>
      <c r="D3" s="108"/>
      <c r="E3" s="108"/>
      <c r="F3" s="104"/>
      <c r="G3" s="108"/>
      <c r="H3" s="108"/>
      <c r="I3" s="106"/>
      <c r="J3" s="106"/>
    </row>
    <row r="4" spans="1:10" ht="15" customHeight="1">
      <c r="A4" s="48"/>
      <c r="B4" s="106"/>
      <c r="C4" s="106"/>
      <c r="D4" s="106"/>
      <c r="E4" s="106"/>
      <c r="F4" s="104"/>
      <c r="G4" s="106"/>
      <c r="H4" s="106"/>
      <c r="I4" s="106"/>
      <c r="J4" s="106"/>
    </row>
    <row r="5" spans="1:10" ht="15" customHeight="1">
      <c r="A5" s="48"/>
      <c r="B5" s="106"/>
      <c r="C5" s="58"/>
      <c r="D5" s="58"/>
      <c r="E5" s="58"/>
      <c r="F5" s="102"/>
      <c r="G5" s="243"/>
      <c r="H5" s="109"/>
      <c r="I5" s="109"/>
      <c r="J5" s="106"/>
    </row>
    <row r="6" spans="1:10">
      <c r="A6" s="48"/>
      <c r="B6" s="246"/>
      <c r="C6" s="111"/>
      <c r="D6" s="111"/>
      <c r="E6" s="111"/>
      <c r="F6" s="104"/>
      <c r="G6" s="244"/>
      <c r="H6" s="245"/>
      <c r="I6" s="245"/>
      <c r="J6" s="106"/>
    </row>
    <row r="7" spans="1:10">
      <c r="A7" s="48"/>
      <c r="B7" s="59"/>
      <c r="C7" s="59"/>
      <c r="D7" s="59"/>
      <c r="E7" s="59"/>
      <c r="F7" s="59"/>
      <c r="G7" s="59"/>
      <c r="H7" s="60"/>
      <c r="I7" s="60"/>
      <c r="J7" s="60"/>
    </row>
    <row r="8" spans="1:10" ht="17.25">
      <c r="A8" s="48"/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1:10">
      <c r="A9" s="48"/>
      <c r="B9" s="60"/>
      <c r="C9" s="100"/>
      <c r="D9" s="100" t="s">
        <v>710</v>
      </c>
      <c r="E9" s="100"/>
      <c r="F9" s="100"/>
      <c r="G9" s="100"/>
      <c r="H9" s="100"/>
      <c r="I9" s="60"/>
      <c r="J9" s="60"/>
    </row>
    <row r="10" spans="1:10">
      <c r="A10" s="48"/>
      <c r="B10" s="60"/>
      <c r="C10" s="607"/>
      <c r="D10" s="99"/>
      <c r="E10" s="607"/>
      <c r="F10" s="607"/>
      <c r="G10" s="607"/>
      <c r="H10" s="607"/>
      <c r="I10" s="60"/>
      <c r="J10" s="60"/>
    </row>
    <row r="11" spans="1:10">
      <c r="A11" s="48"/>
      <c r="B11" s="60"/>
      <c r="C11" s="100"/>
      <c r="D11" s="60"/>
      <c r="E11" s="60"/>
      <c r="F11" s="60"/>
      <c r="G11" s="60"/>
      <c r="H11" s="60"/>
      <c r="I11" s="60"/>
      <c r="J11" s="60"/>
    </row>
    <row r="12" spans="1:10">
      <c r="A12" s="48"/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1:10" ht="15" customHeight="1">
      <c r="A13" s="48"/>
      <c r="B13" s="316" t="s">
        <v>301</v>
      </c>
      <c r="C13" s="122"/>
      <c r="D13" s="123"/>
      <c r="E13" s="59"/>
      <c r="F13" s="59"/>
      <c r="G13" s="59"/>
      <c r="H13" s="98"/>
      <c r="I13" s="63"/>
      <c r="J13" s="60"/>
    </row>
    <row r="14" spans="1:10" ht="15" customHeight="1">
      <c r="A14" s="48"/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1:10" ht="15" customHeight="1">
      <c r="A15" s="48"/>
      <c r="B15" s="316" t="s">
        <v>569</v>
      </c>
      <c r="C15" s="83"/>
      <c r="D15" s="83"/>
      <c r="E15" s="60"/>
      <c r="F15" s="60"/>
      <c r="G15" s="60"/>
      <c r="H15" s="41"/>
      <c r="I15" s="41"/>
      <c r="J15" s="60"/>
    </row>
    <row r="16" spans="1:10">
      <c r="A16" s="48"/>
      <c r="B16" s="316" t="s">
        <v>233</v>
      </c>
      <c r="C16" s="114"/>
      <c r="D16" s="306"/>
      <c r="E16" s="63"/>
      <c r="F16" s="63"/>
      <c r="G16" s="63"/>
      <c r="H16" s="63"/>
      <c r="I16" s="63"/>
      <c r="J16" s="41"/>
    </row>
    <row r="17" spans="1:10">
      <c r="A17" s="125"/>
      <c r="B17" s="316"/>
      <c r="C17" s="304"/>
      <c r="D17" s="304"/>
      <c r="E17" s="125"/>
      <c r="F17" s="125"/>
      <c r="G17" s="125"/>
      <c r="H17" s="125"/>
      <c r="I17" s="125"/>
      <c r="J17" s="125"/>
    </row>
    <row r="18" spans="1:10">
      <c r="A18" s="125"/>
      <c r="B18" s="316" t="s">
        <v>2</v>
      </c>
      <c r="C18" s="643"/>
      <c r="D18" s="318"/>
      <c r="E18" s="304"/>
      <c r="F18" s="304"/>
      <c r="G18" s="125"/>
      <c r="H18" s="125"/>
      <c r="I18" s="125"/>
      <c r="J18" s="125"/>
    </row>
    <row r="19" spans="1:10">
      <c r="A19" s="48"/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A20" s="48"/>
      <c r="B20" s="314" t="s">
        <v>16</v>
      </c>
      <c r="C20" s="252"/>
      <c r="D20" s="253"/>
      <c r="E20" s="253"/>
      <c r="F20" s="253"/>
      <c r="G20" s="253"/>
      <c r="H20" s="253"/>
      <c r="I20" s="157"/>
      <c r="J20" s="606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A22" s="48"/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A23" s="48"/>
      <c r="B23" s="195"/>
      <c r="C23" s="99" t="s">
        <v>570</v>
      </c>
      <c r="D23" s="261"/>
      <c r="E23" s="321"/>
      <c r="F23" s="255"/>
      <c r="G23" s="259"/>
      <c r="H23" s="260"/>
      <c r="I23" s="197"/>
      <c r="J23" s="72"/>
    </row>
    <row r="24" spans="1:10">
      <c r="A24" s="48"/>
      <c r="B24" s="62"/>
      <c r="C24" s="99" t="s">
        <v>571</v>
      </c>
      <c r="D24" s="62"/>
      <c r="E24" s="62"/>
      <c r="F24" s="272"/>
      <c r="G24" s="272"/>
      <c r="H24" s="272"/>
      <c r="I24" s="272"/>
      <c r="J24" s="59"/>
    </row>
    <row r="25" spans="1:10">
      <c r="A25" s="48"/>
      <c r="B25" s="256"/>
      <c r="C25" s="100" t="s">
        <v>572</v>
      </c>
      <c r="D25" s="254"/>
      <c r="E25" s="254"/>
      <c r="F25" s="255"/>
      <c r="G25" s="322"/>
      <c r="H25" s="322"/>
      <c r="I25" s="62"/>
      <c r="J25" s="59"/>
    </row>
    <row r="26" spans="1:10">
      <c r="A26" s="48"/>
      <c r="B26" s="256"/>
      <c r="C26" s="100"/>
      <c r="D26" s="254"/>
      <c r="E26" s="254"/>
      <c r="F26" s="259"/>
      <c r="G26" s="259"/>
      <c r="H26" s="300"/>
      <c r="I26" s="323"/>
      <c r="J26" s="35"/>
    </row>
    <row r="27" spans="1:10" ht="14.65">
      <c r="A27" s="48"/>
      <c r="B27" s="256"/>
      <c r="C27" s="325" t="s">
        <v>573</v>
      </c>
      <c r="D27" s="644"/>
      <c r="E27" s="210"/>
      <c r="F27" s="255"/>
      <c r="G27" s="651"/>
      <c r="H27" s="301"/>
      <c r="I27" s="302"/>
      <c r="J27" s="35"/>
    </row>
    <row r="28" spans="1:10">
      <c r="A28" s="48"/>
      <c r="B28" s="256"/>
      <c r="C28" s="99"/>
      <c r="D28" s="268"/>
      <c r="E28" s="263"/>
      <c r="F28" s="647"/>
      <c r="G28" s="645"/>
      <c r="H28" s="265"/>
      <c r="I28" s="96"/>
      <c r="J28" s="35"/>
    </row>
    <row r="29" spans="1:10">
      <c r="A29" s="48"/>
      <c r="B29" s="304"/>
      <c r="C29" s="99"/>
      <c r="D29" s="648">
        <v>44116</v>
      </c>
      <c r="E29" s="648">
        <v>44116</v>
      </c>
      <c r="F29" s="653" t="s">
        <v>576</v>
      </c>
      <c r="G29" s="138"/>
      <c r="H29" s="652"/>
      <c r="I29" s="652"/>
      <c r="J29" s="646"/>
    </row>
    <row r="30" spans="1:10">
      <c r="A30" s="48"/>
      <c r="B30" s="256"/>
      <c r="C30" s="99"/>
      <c r="D30" s="649" t="s">
        <v>574</v>
      </c>
      <c r="E30" s="650" t="s">
        <v>575</v>
      </c>
      <c r="F30" s="1354" t="s">
        <v>577</v>
      </c>
      <c r="G30" s="1355"/>
      <c r="H30" s="1355"/>
      <c r="I30" s="1356"/>
      <c r="J30" s="646"/>
    </row>
    <row r="31" spans="1:10">
      <c r="A31" s="48"/>
      <c r="B31" s="41"/>
      <c r="C31" s="325"/>
      <c r="D31" s="41"/>
      <c r="E31" s="41"/>
      <c r="F31" s="63"/>
      <c r="G31" s="63"/>
      <c r="H31" s="63"/>
      <c r="I31" s="41"/>
      <c r="J31" s="41"/>
    </row>
    <row r="32" spans="1:10">
      <c r="A32" s="48"/>
      <c r="B32" s="41"/>
      <c r="C32" s="325"/>
      <c r="D32" s="41"/>
      <c r="E32" s="41"/>
      <c r="F32" s="63"/>
      <c r="G32" s="63"/>
      <c r="H32" s="63"/>
      <c r="I32" s="41"/>
      <c r="J32" s="41"/>
    </row>
    <row r="33" spans="1:10">
      <c r="A33" s="48"/>
      <c r="B33" s="63"/>
      <c r="C33" s="99" t="s">
        <v>476</v>
      </c>
      <c r="D33" s="63"/>
      <c r="E33" s="63"/>
      <c r="F33" s="63"/>
      <c r="G33" s="63"/>
      <c r="H33" s="63"/>
      <c r="I33" s="63"/>
      <c r="J33" s="41"/>
    </row>
    <row r="34" spans="1:10">
      <c r="A34" s="48"/>
      <c r="B34" s="106"/>
      <c r="C34" s="99" t="s">
        <v>477</v>
      </c>
      <c r="D34" s="41"/>
      <c r="E34" s="41"/>
      <c r="F34" s="100"/>
      <c r="G34" s="28"/>
      <c r="H34" s="41"/>
      <c r="I34" s="41"/>
      <c r="J34" s="41"/>
    </row>
    <row r="35" spans="1:10">
      <c r="A35" s="48"/>
      <c r="B35" s="127"/>
      <c r="C35" s="100" t="s">
        <v>479</v>
      </c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>
      <c r="A39" s="48"/>
      <c r="B39" s="609" t="s">
        <v>10</v>
      </c>
      <c r="C39" s="41"/>
      <c r="D39" s="41"/>
      <c r="E39" s="41"/>
      <c r="F39" s="492" t="s">
        <v>482</v>
      </c>
      <c r="G39" s="493"/>
      <c r="H39" s="492"/>
      <c r="I39" s="41"/>
      <c r="J39" s="41"/>
    </row>
    <row r="40" spans="1:10">
      <c r="A40" s="48"/>
      <c r="B40" s="605"/>
      <c r="C40" s="74"/>
      <c r="D40" s="606"/>
      <c r="E40" s="59"/>
      <c r="F40" s="59"/>
      <c r="G40" s="59"/>
      <c r="H40" s="59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5" t="s">
        <v>287</v>
      </c>
      <c r="G41" s="233"/>
      <c r="H41" s="233"/>
      <c r="I41" s="41"/>
      <c r="J41" s="41"/>
    </row>
    <row r="42" spans="1:10">
      <c r="A42" s="48"/>
      <c r="B42" s="97"/>
      <c r="C42" s="97"/>
      <c r="D42" s="97"/>
      <c r="E42" s="97"/>
      <c r="F42" s="146"/>
      <c r="G42" s="59"/>
      <c r="H42" s="59"/>
      <c r="I42" s="41"/>
      <c r="J42" s="41"/>
    </row>
    <row r="43" spans="1:10">
      <c r="A43" s="48"/>
      <c r="B43" s="189"/>
      <c r="C43" s="189"/>
      <c r="D43" s="189"/>
      <c r="E43" s="189"/>
      <c r="F43" s="205"/>
      <c r="G43" s="606"/>
      <c r="H43" s="606"/>
      <c r="I43" s="606"/>
      <c r="J43" s="606"/>
    </row>
    <row r="44" spans="1:10">
      <c r="A44" s="48"/>
      <c r="B44" s="206" t="s">
        <v>288</v>
      </c>
      <c r="C44" s="296"/>
      <c r="D44" s="296"/>
      <c r="E44" s="179"/>
      <c r="F44" s="206" t="s">
        <v>288</v>
      </c>
      <c r="G44" s="123"/>
      <c r="H44" s="123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294" t="s">
        <v>1</v>
      </c>
      <c r="G47" s="297">
        <f ca="1">C47</f>
        <v>46054</v>
      </c>
      <c r="H47" s="23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2">
    <mergeCell ref="C8:G8"/>
    <mergeCell ref="F30:I30"/>
  </mergeCells>
  <pageMargins left="0.35" right="0.10833333333333334" top="0.37820512820512819" bottom="0.6858974358974359" header="0.3" footer="0.3"/>
  <pageSetup paperSize="9" orientation="portrait" horizont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5DAC-D386-4767-921F-AD76A6716CF8}">
  <sheetPr codeName="Лист46">
    <tabColor theme="8" tint="0.39997558519241921"/>
  </sheetPr>
  <dimension ref="A1:J54"/>
  <sheetViews>
    <sheetView view="pageLayout" topLeftCell="A31" zoomScaleNormal="100" zoomScaleSheetLayoutView="110" workbookViewId="0">
      <selection activeCell="D39" sqref="D39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106"/>
      <c r="D3" s="108"/>
      <c r="E3" s="108"/>
      <c r="F3" s="104"/>
      <c r="G3" s="108"/>
      <c r="H3" s="108"/>
      <c r="I3" s="106"/>
      <c r="J3" s="106"/>
    </row>
    <row r="4" spans="1:10" ht="15" customHeight="1">
      <c r="A4" s="48"/>
      <c r="B4" s="106"/>
      <c r="C4" s="106"/>
      <c r="D4" s="106"/>
      <c r="E4" s="106"/>
      <c r="F4" s="104"/>
      <c r="G4" s="106"/>
      <c r="H4" s="106"/>
      <c r="I4" s="106"/>
      <c r="J4" s="106"/>
    </row>
    <row r="5" spans="1:10" ht="15" customHeight="1">
      <c r="A5" s="48"/>
      <c r="B5" s="106"/>
      <c r="C5" s="58"/>
      <c r="D5" s="58"/>
      <c r="E5" s="58"/>
      <c r="F5" s="102"/>
      <c r="G5" s="243"/>
      <c r="H5" s="109"/>
      <c r="I5" s="109"/>
      <c r="J5" s="106"/>
    </row>
    <row r="6" spans="1:10">
      <c r="A6" s="48"/>
      <c r="B6" s="246"/>
      <c r="C6" s="111"/>
      <c r="D6" s="111"/>
      <c r="E6" s="111"/>
      <c r="F6" s="104"/>
      <c r="G6" s="244"/>
      <c r="H6" s="245"/>
      <c r="I6" s="245"/>
      <c r="J6" s="106"/>
    </row>
    <row r="7" spans="1:10">
      <c r="A7" s="48"/>
      <c r="B7" s="59"/>
      <c r="C7" s="59"/>
      <c r="D7" s="59"/>
      <c r="E7" s="59"/>
      <c r="F7" s="59"/>
      <c r="G7" s="59"/>
      <c r="H7" s="60"/>
      <c r="I7" s="60"/>
      <c r="J7" s="60"/>
    </row>
    <row r="8" spans="1:10" ht="17.25">
      <c r="A8" s="48"/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1:10">
      <c r="A9" s="48"/>
      <c r="B9" s="100"/>
      <c r="C9" s="100"/>
      <c r="D9" s="100" t="s">
        <v>578</v>
      </c>
      <c r="E9" s="100"/>
      <c r="F9" s="100"/>
      <c r="G9" s="100"/>
      <c r="H9" s="100"/>
      <c r="I9" s="60"/>
      <c r="J9" s="60"/>
    </row>
    <row r="10" spans="1:10">
      <c r="A10" s="48"/>
      <c r="B10" s="60"/>
      <c r="C10" s="607"/>
      <c r="D10" s="99"/>
      <c r="E10" s="607"/>
      <c r="F10" s="607"/>
      <c r="G10" s="607"/>
      <c r="H10" s="607"/>
      <c r="I10" s="60"/>
      <c r="J10" s="60"/>
    </row>
    <row r="11" spans="1:10">
      <c r="A11" s="48"/>
      <c r="B11" s="60"/>
      <c r="C11" s="100"/>
      <c r="D11" s="60"/>
      <c r="E11" s="60"/>
      <c r="F11" s="60"/>
      <c r="G11" s="60"/>
      <c r="H11" s="60"/>
      <c r="I11" s="60"/>
      <c r="J11" s="60"/>
    </row>
    <row r="12" spans="1:10">
      <c r="A12" s="48"/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1:10" ht="15" customHeight="1">
      <c r="A13" s="48"/>
      <c r="B13" s="316" t="s">
        <v>301</v>
      </c>
      <c r="C13" s="122"/>
      <c r="D13" s="123"/>
      <c r="E13" s="59"/>
      <c r="F13" s="59"/>
      <c r="G13" s="59"/>
      <c r="H13" s="98"/>
      <c r="I13" s="63"/>
      <c r="J13" s="60"/>
    </row>
    <row r="14" spans="1:10" ht="15" customHeight="1">
      <c r="A14" s="48"/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1:10" ht="15" customHeight="1">
      <c r="A15" s="48"/>
      <c r="B15" s="316" t="s">
        <v>569</v>
      </c>
      <c r="C15" s="83"/>
      <c r="D15" s="83"/>
      <c r="E15" s="94"/>
      <c r="F15" s="60"/>
      <c r="G15" s="60"/>
      <c r="H15" s="41"/>
      <c r="I15" s="41"/>
      <c r="J15" s="60"/>
    </row>
    <row r="16" spans="1:10">
      <c r="A16" s="48"/>
      <c r="B16" s="316"/>
      <c r="C16" s="108"/>
      <c r="D16" s="63"/>
      <c r="E16" s="63"/>
      <c r="F16" s="63"/>
      <c r="G16" s="63"/>
      <c r="H16" s="63"/>
      <c r="I16" s="63"/>
      <c r="J16" s="41"/>
    </row>
    <row r="17" spans="1:10">
      <c r="A17" s="125"/>
      <c r="B17" s="316"/>
      <c r="C17" s="304"/>
      <c r="D17" s="304"/>
      <c r="E17" s="125"/>
      <c r="F17" s="125"/>
      <c r="G17" s="125"/>
      <c r="H17" s="125"/>
      <c r="I17" s="125"/>
      <c r="J17" s="125"/>
    </row>
    <row r="18" spans="1:10">
      <c r="A18" s="125"/>
      <c r="B18" s="316" t="s">
        <v>2</v>
      </c>
      <c r="C18" s="643"/>
      <c r="D18" s="318"/>
      <c r="E18" s="304"/>
      <c r="F18" s="304"/>
      <c r="G18" s="125"/>
      <c r="H18" s="125"/>
      <c r="I18" s="125"/>
      <c r="J18" s="125"/>
    </row>
    <row r="19" spans="1:10">
      <c r="A19" s="48"/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A20" s="48"/>
      <c r="B20" s="314"/>
      <c r="C20" s="655" t="s">
        <v>16</v>
      </c>
      <c r="D20" s="253"/>
      <c r="E20" s="253"/>
      <c r="F20" s="253"/>
      <c r="G20" s="253"/>
      <c r="H20" s="253"/>
      <c r="I20" s="157"/>
      <c r="J20" s="606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A22" s="48"/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A23" s="48"/>
      <c r="B23" s="195"/>
      <c r="C23" s="48" t="s">
        <v>579</v>
      </c>
      <c r="D23" s="261"/>
      <c r="E23" s="321"/>
      <c r="F23" s="255"/>
      <c r="G23" s="259"/>
      <c r="H23" s="260"/>
      <c r="I23" s="197"/>
      <c r="J23" s="72"/>
    </row>
    <row r="24" spans="1:10" ht="15.4">
      <c r="A24" s="48"/>
      <c r="B24" s="62"/>
      <c r="C24" s="247" t="s">
        <v>580</v>
      </c>
      <c r="D24" s="62"/>
      <c r="E24" s="62"/>
      <c r="F24" s="272"/>
      <c r="G24" s="272"/>
      <c r="H24" s="272"/>
      <c r="I24" s="272"/>
      <c r="J24" s="59"/>
    </row>
    <row r="25" spans="1:10">
      <c r="A25" s="48"/>
      <c r="B25" s="256"/>
      <c r="C25" s="100"/>
      <c r="D25" s="254"/>
      <c r="E25" s="254"/>
      <c r="F25" s="255"/>
      <c r="G25" s="322"/>
      <c r="H25" s="322"/>
      <c r="I25" s="62"/>
      <c r="J25" s="59"/>
    </row>
    <row r="26" spans="1:10">
      <c r="A26" s="48"/>
      <c r="B26" s="256"/>
      <c r="C26" s="48" t="s">
        <v>581</v>
      </c>
      <c r="D26" s="254"/>
      <c r="E26" s="254"/>
      <c r="F26" s="259"/>
      <c r="G26" s="259"/>
      <c r="H26" s="300"/>
      <c r="I26" s="323"/>
      <c r="J26" s="35"/>
    </row>
    <row r="27" spans="1:10" ht="14.65">
      <c r="A27" s="48"/>
      <c r="B27" s="256"/>
      <c r="C27" s="399" t="s">
        <v>582</v>
      </c>
      <c r="D27" s="644"/>
      <c r="E27" s="210"/>
      <c r="F27" s="255"/>
      <c r="G27" s="651"/>
      <c r="H27" s="301"/>
      <c r="I27" s="302"/>
      <c r="J27" s="35"/>
    </row>
    <row r="28" spans="1:10">
      <c r="A28" s="48"/>
      <c r="B28" s="256"/>
      <c r="C28" s="48" t="s">
        <v>583</v>
      </c>
      <c r="D28" s="268"/>
      <c r="E28" s="263"/>
      <c r="F28" s="263"/>
      <c r="G28" s="265"/>
      <c r="H28" s="265"/>
      <c r="I28" s="96"/>
      <c r="J28" s="35"/>
    </row>
    <row r="29" spans="1:10">
      <c r="A29" s="48"/>
      <c r="B29" s="304"/>
      <c r="C29" s="48" t="s">
        <v>584</v>
      </c>
      <c r="D29" s="654"/>
      <c r="E29" s="654"/>
      <c r="F29" s="131"/>
      <c r="G29" s="138"/>
      <c r="H29" s="138"/>
      <c r="I29" s="138"/>
      <c r="J29" s="35"/>
    </row>
    <row r="30" spans="1:10">
      <c r="A30" s="48"/>
      <c r="B30" s="256"/>
      <c r="C30" s="99"/>
      <c r="D30" s="141"/>
      <c r="E30" s="141"/>
      <c r="F30" s="140"/>
      <c r="G30" s="140"/>
      <c r="H30" s="140"/>
      <c r="I30" s="140"/>
      <c r="J30" s="35"/>
    </row>
    <row r="31" spans="1:10">
      <c r="A31" s="48"/>
      <c r="B31" s="41"/>
      <c r="C31" s="48" t="s">
        <v>585</v>
      </c>
      <c r="D31" s="41"/>
      <c r="E31" s="41"/>
      <c r="F31" s="63"/>
      <c r="G31" s="63"/>
      <c r="H31" s="63"/>
      <c r="I31" s="41"/>
      <c r="J31" s="41"/>
    </row>
    <row r="32" spans="1:10">
      <c r="A32" s="48"/>
      <c r="B32" s="41"/>
      <c r="C32" s="48" t="s">
        <v>586</v>
      </c>
      <c r="D32" s="41"/>
      <c r="E32" s="41"/>
      <c r="F32" s="63"/>
      <c r="G32" s="63"/>
      <c r="H32" s="63"/>
      <c r="I32" s="41"/>
      <c r="J32" s="41"/>
    </row>
    <row r="33" spans="1:10">
      <c r="A33" s="48"/>
      <c r="B33" s="63"/>
      <c r="C33" s="99"/>
      <c r="D33" s="63"/>
      <c r="E33" s="63"/>
      <c r="F33" s="63"/>
      <c r="G33" s="63"/>
      <c r="H33" s="63"/>
      <c r="I33" s="63"/>
      <c r="J33" s="41"/>
    </row>
    <row r="34" spans="1:10">
      <c r="A34" s="48"/>
      <c r="B34" s="106"/>
      <c r="C34" s="48" t="s">
        <v>587</v>
      </c>
      <c r="D34" s="41"/>
      <c r="E34" s="41"/>
      <c r="F34" s="100"/>
      <c r="G34" s="28"/>
      <c r="H34" s="41"/>
      <c r="I34" s="41"/>
      <c r="J34" s="41"/>
    </row>
    <row r="35" spans="1:10" ht="15.4">
      <c r="A35" s="48"/>
      <c r="B35" s="127"/>
      <c r="C35" s="656" t="s">
        <v>588</v>
      </c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>
      <c r="A39" s="48"/>
      <c r="B39" s="609" t="s">
        <v>10</v>
      </c>
      <c r="C39" s="41"/>
      <c r="D39" s="41"/>
      <c r="E39" s="41"/>
      <c r="F39" s="492" t="s">
        <v>589</v>
      </c>
      <c r="G39" s="493"/>
      <c r="H39" s="492"/>
      <c r="I39" s="41"/>
      <c r="J39" s="41"/>
    </row>
    <row r="40" spans="1:10">
      <c r="A40" s="48"/>
      <c r="B40" s="605"/>
      <c r="C40" s="74"/>
      <c r="D40" s="606"/>
      <c r="E40" s="59"/>
      <c r="F40" s="59"/>
      <c r="G40" s="59"/>
      <c r="H40" s="59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5" t="s">
        <v>287</v>
      </c>
      <c r="G41" s="233"/>
      <c r="H41" s="233"/>
      <c r="I41" s="41"/>
      <c r="J41" s="41"/>
    </row>
    <row r="42" spans="1:10">
      <c r="A42" s="48"/>
      <c r="B42" s="97"/>
      <c r="C42" s="97"/>
      <c r="D42" s="97"/>
      <c r="E42" s="97"/>
      <c r="F42" s="146"/>
      <c r="G42" s="59"/>
      <c r="H42" s="59"/>
      <c r="I42" s="41"/>
      <c r="J42" s="41"/>
    </row>
    <row r="43" spans="1:10">
      <c r="A43" s="48"/>
      <c r="B43" s="189"/>
      <c r="C43" s="189"/>
      <c r="D43" s="189"/>
      <c r="E43" s="189"/>
      <c r="F43" s="205"/>
      <c r="G43" s="606"/>
      <c r="H43" s="606"/>
      <c r="I43" s="606"/>
      <c r="J43" s="606"/>
    </row>
    <row r="44" spans="1:10">
      <c r="A44" s="48"/>
      <c r="B44" s="206" t="s">
        <v>288</v>
      </c>
      <c r="C44" s="296"/>
      <c r="D44" s="296"/>
      <c r="E44" s="179"/>
      <c r="F44" s="206" t="s">
        <v>288</v>
      </c>
      <c r="G44" s="123"/>
      <c r="H44" s="123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294" t="s">
        <v>1</v>
      </c>
      <c r="G47" s="297">
        <f ca="1">C47</f>
        <v>46054</v>
      </c>
      <c r="H47" s="23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8:G8"/>
  </mergeCells>
  <pageMargins left="0.34166666666666667" right="0.10833333333333334" top="0.37820512820512819" bottom="0.6858974358974359" header="0.3" footer="0.3"/>
  <pageSetup paperSize="9" orientation="portrait" horizont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2795-C608-4FC4-8ED9-D4D729FCCA59}">
  <sheetPr codeName="Лист47">
    <tabColor theme="8" tint="0.39997558519241921"/>
  </sheetPr>
  <dimension ref="A1:J54"/>
  <sheetViews>
    <sheetView view="pageLayout" topLeftCell="A16" zoomScaleNormal="100" zoomScaleSheetLayoutView="110" workbookViewId="0">
      <selection activeCell="F44" sqref="F44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106"/>
      <c r="D3" s="108"/>
      <c r="E3" s="108"/>
      <c r="F3" s="104"/>
      <c r="G3" s="108"/>
      <c r="H3" s="108"/>
      <c r="I3" s="106"/>
      <c r="J3" s="106"/>
    </row>
    <row r="4" spans="1:10" ht="15" customHeight="1">
      <c r="A4" s="48"/>
      <c r="B4" s="106"/>
      <c r="C4" s="106"/>
      <c r="D4" s="106"/>
      <c r="E4" s="106"/>
      <c r="F4" s="104"/>
      <c r="G4" s="106"/>
      <c r="H4" s="106"/>
      <c r="I4" s="106"/>
      <c r="J4" s="106"/>
    </row>
    <row r="5" spans="1:10" ht="15" customHeight="1">
      <c r="A5" s="48"/>
      <c r="B5" s="106"/>
      <c r="C5" s="58"/>
      <c r="D5" s="58"/>
      <c r="E5" s="58"/>
      <c r="F5" s="102"/>
      <c r="G5" s="243"/>
      <c r="H5" s="109"/>
      <c r="I5" s="109"/>
      <c r="J5" s="106"/>
    </row>
    <row r="6" spans="1:10">
      <c r="A6" s="48"/>
      <c r="B6" s="246"/>
      <c r="C6" s="111"/>
      <c r="D6" s="111"/>
      <c r="E6" s="111"/>
      <c r="F6" s="104"/>
      <c r="G6" s="244"/>
      <c r="H6" s="245"/>
      <c r="I6" s="245"/>
      <c r="J6" s="106"/>
    </row>
    <row r="7" spans="1:10">
      <c r="A7" s="48"/>
      <c r="B7" s="59"/>
      <c r="C7" s="59"/>
      <c r="D7" s="59"/>
      <c r="E7" s="59"/>
      <c r="F7" s="59"/>
      <c r="G7" s="59"/>
      <c r="H7" s="60"/>
      <c r="I7" s="60"/>
      <c r="J7" s="60"/>
    </row>
    <row r="8" spans="1:10" ht="17.25">
      <c r="A8" s="48"/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1:10">
      <c r="A9" s="48"/>
      <c r="B9" s="100"/>
      <c r="C9" s="100"/>
      <c r="D9" s="608" t="s">
        <v>590</v>
      </c>
      <c r="E9" s="100"/>
      <c r="F9" s="100"/>
      <c r="G9" s="100"/>
      <c r="H9" s="100"/>
      <c r="I9" s="60"/>
      <c r="J9" s="60"/>
    </row>
    <row r="10" spans="1:10">
      <c r="A10" s="48"/>
      <c r="B10" s="60"/>
      <c r="C10" s="607"/>
      <c r="D10" s="99"/>
      <c r="E10" s="607"/>
      <c r="F10" s="607"/>
      <c r="G10" s="607"/>
      <c r="H10" s="607"/>
      <c r="I10" s="60"/>
      <c r="J10" s="60"/>
    </row>
    <row r="11" spans="1:10">
      <c r="A11" s="48"/>
      <c r="B11" s="60"/>
      <c r="C11" s="100"/>
      <c r="D11" s="60"/>
      <c r="E11" s="60"/>
      <c r="F11" s="60"/>
      <c r="G11" s="60"/>
      <c r="H11" s="60"/>
      <c r="I11" s="60"/>
      <c r="J11" s="60"/>
    </row>
    <row r="12" spans="1:10">
      <c r="A12" s="48"/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1:10" ht="15" customHeight="1">
      <c r="A13" s="48"/>
      <c r="B13" s="316" t="s">
        <v>301</v>
      </c>
      <c r="C13" s="122"/>
      <c r="D13" s="123"/>
      <c r="E13" s="59"/>
      <c r="F13" s="59"/>
      <c r="G13" s="59"/>
      <c r="H13" s="98"/>
      <c r="I13" s="63"/>
      <c r="J13" s="60"/>
    </row>
    <row r="14" spans="1:10" ht="15" customHeight="1">
      <c r="A14" s="48"/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1:10" ht="15" customHeight="1">
      <c r="A15" s="48"/>
      <c r="B15" s="316" t="s">
        <v>569</v>
      </c>
      <c r="C15" s="83"/>
      <c r="D15" s="83"/>
      <c r="E15" s="94"/>
      <c r="F15" s="60"/>
      <c r="G15" s="60"/>
      <c r="H15" s="41"/>
      <c r="I15" s="41"/>
      <c r="J15" s="60"/>
    </row>
    <row r="16" spans="1:10">
      <c r="A16" s="48"/>
      <c r="B16" s="316"/>
      <c r="C16" s="108"/>
      <c r="D16" s="63"/>
      <c r="E16" s="63"/>
      <c r="F16" s="63"/>
      <c r="G16" s="63"/>
      <c r="H16" s="63"/>
      <c r="I16" s="63"/>
      <c r="J16" s="41"/>
    </row>
    <row r="17" spans="1:10">
      <c r="A17" s="125"/>
      <c r="B17" s="316"/>
      <c r="C17" s="304"/>
      <c r="D17" s="304"/>
      <c r="E17" s="125"/>
      <c r="F17" s="125"/>
      <c r="G17" s="125"/>
      <c r="H17" s="125"/>
      <c r="I17" s="125"/>
      <c r="J17" s="125"/>
    </row>
    <row r="18" spans="1:10">
      <c r="A18" s="125"/>
      <c r="B18" s="316" t="s">
        <v>2</v>
      </c>
      <c r="C18" s="643"/>
      <c r="D18" s="318"/>
      <c r="E18" s="304"/>
      <c r="F18" s="304"/>
      <c r="G18" s="125"/>
      <c r="H18" s="125"/>
      <c r="I18" s="125"/>
      <c r="J18" s="125"/>
    </row>
    <row r="19" spans="1:10">
      <c r="A19" s="48"/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A20" s="48"/>
      <c r="B20" s="314"/>
      <c r="C20" s="422" t="s">
        <v>16</v>
      </c>
      <c r="D20" s="253"/>
      <c r="E20" s="253"/>
      <c r="F20" s="253"/>
      <c r="G20" s="253"/>
      <c r="H20" s="253"/>
      <c r="I20" s="157"/>
      <c r="J20" s="606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A22" s="48"/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A23" s="48"/>
      <c r="B23" s="195"/>
      <c r="C23" s="48" t="s">
        <v>591</v>
      </c>
      <c r="D23" s="261"/>
      <c r="E23" s="321"/>
      <c r="F23" s="255"/>
      <c r="G23" s="259"/>
      <c r="H23" s="260"/>
      <c r="I23" s="197"/>
      <c r="J23" s="72"/>
    </row>
    <row r="24" spans="1:10" ht="15.4">
      <c r="A24" s="48"/>
      <c r="B24" s="62"/>
      <c r="C24" s="247" t="s">
        <v>592</v>
      </c>
      <c r="D24" s="62"/>
      <c r="E24" s="62"/>
      <c r="F24" s="272"/>
      <c r="G24" s="272"/>
      <c r="H24" s="272"/>
      <c r="I24" s="272"/>
      <c r="J24" s="59"/>
    </row>
    <row r="25" spans="1:10" ht="15.4">
      <c r="A25" s="48"/>
      <c r="B25" s="256"/>
      <c r="C25" s="247" t="s">
        <v>593</v>
      </c>
      <c r="D25" s="254"/>
      <c r="E25" s="254"/>
      <c r="F25" s="255"/>
      <c r="G25" s="322"/>
      <c r="H25" s="322"/>
      <c r="I25" s="62"/>
      <c r="J25" s="59"/>
    </row>
    <row r="26" spans="1:10">
      <c r="A26" s="48"/>
      <c r="B26" s="256"/>
      <c r="C26" s="48"/>
      <c r="D26" s="254"/>
      <c r="E26" s="254"/>
      <c r="F26" s="259"/>
      <c r="G26" s="259"/>
      <c r="H26" s="300"/>
      <c r="I26" s="323"/>
      <c r="J26" s="35"/>
    </row>
    <row r="27" spans="1:10">
      <c r="A27" s="48"/>
      <c r="B27" s="256"/>
      <c r="C27" s="48" t="s">
        <v>594</v>
      </c>
      <c r="D27" s="657"/>
      <c r="E27" s="658"/>
      <c r="F27" s="659"/>
      <c r="G27" s="660"/>
      <c r="H27" s="661"/>
      <c r="I27" s="662"/>
      <c r="J27" s="349"/>
    </row>
    <row r="28" spans="1:10">
      <c r="A28" s="48"/>
      <c r="B28" s="256"/>
      <c r="C28" s="48" t="s">
        <v>595</v>
      </c>
      <c r="D28" s="663"/>
      <c r="E28" s="663"/>
      <c r="F28" s="663"/>
      <c r="G28" s="664"/>
      <c r="H28" s="664"/>
      <c r="I28" s="353"/>
      <c r="J28" s="349"/>
    </row>
    <row r="29" spans="1:10">
      <c r="A29" s="48"/>
      <c r="B29" s="304"/>
      <c r="C29" s="48"/>
      <c r="D29" s="654"/>
      <c r="E29" s="654"/>
      <c r="F29" s="131"/>
      <c r="G29" s="138"/>
      <c r="H29" s="138"/>
      <c r="I29" s="138"/>
      <c r="J29" s="35"/>
    </row>
    <row r="30" spans="1:10">
      <c r="A30" s="48"/>
      <c r="B30" s="256"/>
      <c r="C30" s="48" t="s">
        <v>596</v>
      </c>
      <c r="D30" s="141"/>
      <c r="E30" s="141"/>
      <c r="F30" s="140"/>
      <c r="G30" s="140"/>
      <c r="H30" s="140"/>
      <c r="I30" s="140"/>
      <c r="J30" s="35"/>
    </row>
    <row r="31" spans="1:10">
      <c r="A31" s="48"/>
      <c r="B31" s="41"/>
      <c r="C31" s="48" t="s">
        <v>597</v>
      </c>
      <c r="D31" s="41"/>
      <c r="E31" s="41"/>
      <c r="F31" s="63"/>
      <c r="G31" s="63"/>
      <c r="H31" s="63"/>
      <c r="I31" s="41"/>
      <c r="J31" s="41"/>
    </row>
    <row r="32" spans="1:10" ht="15.4">
      <c r="A32" s="48"/>
      <c r="B32" s="41"/>
      <c r="C32" s="656" t="s">
        <v>598</v>
      </c>
      <c r="D32" s="41"/>
      <c r="E32" s="41"/>
      <c r="F32" s="63"/>
      <c r="G32" s="63"/>
      <c r="H32" s="63"/>
      <c r="I32" s="41"/>
      <c r="J32" s="41"/>
    </row>
    <row r="33" spans="1:10">
      <c r="A33" s="48"/>
      <c r="B33" s="63"/>
      <c r="C33" s="99"/>
      <c r="D33" s="63"/>
      <c r="E33" s="63"/>
      <c r="F33" s="63"/>
      <c r="G33" s="63"/>
      <c r="H33" s="63"/>
      <c r="I33" s="63"/>
      <c r="J33" s="41"/>
    </row>
    <row r="34" spans="1:10">
      <c r="A34" s="48"/>
      <c r="B34" s="106"/>
      <c r="C34" s="48" t="s">
        <v>599</v>
      </c>
      <c r="D34" s="41"/>
      <c r="E34" s="41"/>
      <c r="F34" s="100"/>
      <c r="G34" s="28"/>
      <c r="H34" s="41"/>
      <c r="I34" s="41"/>
      <c r="J34" s="41"/>
    </row>
    <row r="35" spans="1:10" ht="15.4">
      <c r="A35" s="48"/>
      <c r="B35" s="127"/>
      <c r="C35" s="656" t="s">
        <v>600</v>
      </c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609" t="s">
        <v>10</v>
      </c>
      <c r="C39" s="41"/>
      <c r="D39" s="41"/>
      <c r="E39" s="41"/>
      <c r="F39" s="668" t="s">
        <v>601</v>
      </c>
      <c r="G39" s="667"/>
      <c r="H39" s="331"/>
      <c r="I39" s="41"/>
      <c r="J39" s="41"/>
    </row>
    <row r="40" spans="1:10">
      <c r="A40" s="48"/>
      <c r="B40" s="605"/>
      <c r="C40" s="74"/>
      <c r="D40" s="606"/>
      <c r="E40" s="59"/>
      <c r="F40" s="59"/>
      <c r="G40" s="174"/>
      <c r="H40" s="174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9"/>
      <c r="G41" s="41"/>
      <c r="H41" s="41"/>
      <c r="I41" s="41"/>
      <c r="J41" s="41"/>
    </row>
    <row r="42" spans="1:10">
      <c r="A42" s="48"/>
      <c r="B42" s="97"/>
      <c r="C42" s="97"/>
      <c r="D42" s="97"/>
      <c r="E42" s="97"/>
      <c r="F42" s="146"/>
      <c r="G42" s="59"/>
      <c r="H42" s="59"/>
      <c r="I42" s="41"/>
      <c r="J42" s="41"/>
    </row>
    <row r="43" spans="1:10">
      <c r="A43" s="48"/>
      <c r="B43" s="189"/>
      <c r="C43" s="189"/>
      <c r="D43" s="189"/>
      <c r="E43" s="189"/>
      <c r="F43" s="205"/>
      <c r="G43" s="606"/>
      <c r="H43" s="606"/>
      <c r="I43" s="606"/>
      <c r="J43" s="606"/>
    </row>
    <row r="44" spans="1:10">
      <c r="A44" s="48"/>
      <c r="B44" s="206" t="s">
        <v>288</v>
      </c>
      <c r="C44" s="296"/>
      <c r="D44" s="296"/>
      <c r="E44" s="179"/>
      <c r="F44" s="206"/>
      <c r="G44" s="59"/>
      <c r="H44" s="59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8:G8"/>
  </mergeCells>
  <pageMargins left="0.375" right="0.10833333333333334" top="0.37820512820512819" bottom="0.6858974358974359" header="0.3" footer="0.3"/>
  <pageSetup paperSize="9" orientation="portrait" horizont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0283-ADC8-45BB-ADAF-3CF0FC27B370}">
  <sheetPr codeName="Лист48">
    <tabColor theme="8" tint="0.39997558519241921"/>
  </sheetPr>
  <dimension ref="A1:J54"/>
  <sheetViews>
    <sheetView view="pageLayout" topLeftCell="A13" zoomScaleNormal="100" zoomScaleSheetLayoutView="110" workbookViewId="0">
      <selection activeCell="D40" sqref="D40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106"/>
      <c r="D3" s="108"/>
      <c r="E3" s="108"/>
      <c r="F3" s="104"/>
      <c r="G3" s="108"/>
      <c r="H3" s="108"/>
      <c r="I3" s="106"/>
      <c r="J3" s="106"/>
    </row>
    <row r="4" spans="1:10" ht="15" customHeight="1">
      <c r="A4" s="48"/>
      <c r="B4" s="106"/>
      <c r="C4" s="106"/>
      <c r="D4" s="106"/>
      <c r="E4" s="106"/>
      <c r="F4" s="104"/>
      <c r="G4" s="106"/>
      <c r="H4" s="106"/>
      <c r="I4" s="106"/>
      <c r="J4" s="106"/>
    </row>
    <row r="5" spans="1:10" ht="15" customHeight="1">
      <c r="A5" s="48"/>
      <c r="B5" s="106"/>
      <c r="C5" s="58"/>
      <c r="D5" s="58"/>
      <c r="E5" s="58"/>
      <c r="F5" s="102"/>
      <c r="G5" s="243"/>
      <c r="H5" s="109"/>
      <c r="I5" s="109"/>
      <c r="J5" s="106"/>
    </row>
    <row r="6" spans="1:10">
      <c r="A6" s="48"/>
      <c r="B6" s="246"/>
      <c r="C6" s="111"/>
      <c r="D6" s="111"/>
      <c r="E6" s="111"/>
      <c r="F6" s="104"/>
      <c r="G6" s="244"/>
      <c r="H6" s="245"/>
      <c r="I6" s="245"/>
      <c r="J6" s="106"/>
    </row>
    <row r="7" spans="1:10">
      <c r="A7" s="48"/>
      <c r="B7" s="59"/>
      <c r="C7" s="59"/>
      <c r="D7" s="59"/>
      <c r="E7" s="59"/>
      <c r="F7" s="59"/>
      <c r="G7" s="59"/>
      <c r="H7" s="60"/>
      <c r="I7" s="60"/>
      <c r="J7" s="60"/>
    </row>
    <row r="8" spans="1:10" ht="17.25">
      <c r="A8" s="48"/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1:10">
      <c r="A9" s="48"/>
      <c r="B9" s="100"/>
      <c r="C9" s="100"/>
      <c r="D9" s="608" t="s">
        <v>602</v>
      </c>
      <c r="E9" s="100"/>
      <c r="F9" s="100"/>
      <c r="G9" s="100"/>
      <c r="H9" s="100"/>
      <c r="I9" s="60"/>
      <c r="J9" s="60"/>
    </row>
    <row r="10" spans="1:10">
      <c r="A10" s="48"/>
      <c r="B10" s="60"/>
      <c r="C10" s="607"/>
      <c r="D10" s="99"/>
      <c r="E10" s="607"/>
      <c r="F10" s="607"/>
      <c r="G10" s="607"/>
      <c r="H10" s="607"/>
      <c r="I10" s="60"/>
      <c r="J10" s="60"/>
    </row>
    <row r="11" spans="1:10">
      <c r="A11" s="48"/>
      <c r="B11" s="60"/>
      <c r="C11" s="100"/>
      <c r="D11" s="60"/>
      <c r="E11" s="60"/>
      <c r="F11" s="60"/>
      <c r="G11" s="60"/>
      <c r="H11" s="60"/>
      <c r="I11" s="60"/>
      <c r="J11" s="60"/>
    </row>
    <row r="12" spans="1:10">
      <c r="A12" s="48"/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1:10" ht="15" customHeight="1">
      <c r="A13" s="48"/>
      <c r="B13" s="316" t="s">
        <v>301</v>
      </c>
      <c r="C13" s="122"/>
      <c r="D13" s="123"/>
      <c r="E13" s="59"/>
      <c r="F13" s="59"/>
      <c r="G13" s="59"/>
      <c r="H13" s="98"/>
      <c r="I13" s="63"/>
      <c r="J13" s="60"/>
    </row>
    <row r="14" spans="1:10" ht="15" customHeight="1">
      <c r="A14" s="48"/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1:10" ht="15" customHeight="1">
      <c r="A15" s="48"/>
      <c r="B15" s="316" t="s">
        <v>569</v>
      </c>
      <c r="C15" s="83"/>
      <c r="D15" s="83"/>
      <c r="E15" s="94"/>
      <c r="F15" s="60"/>
      <c r="G15" s="60"/>
      <c r="H15" s="41"/>
      <c r="I15" s="41"/>
      <c r="J15" s="60"/>
    </row>
    <row r="16" spans="1:10">
      <c r="A16" s="48"/>
      <c r="B16" s="316"/>
      <c r="C16" s="108"/>
      <c r="D16" s="63"/>
      <c r="E16" s="63"/>
      <c r="F16" s="63"/>
      <c r="G16" s="63"/>
      <c r="H16" s="63"/>
      <c r="I16" s="63"/>
      <c r="J16" s="41"/>
    </row>
    <row r="17" spans="1:10">
      <c r="A17" s="125"/>
      <c r="B17" s="316"/>
      <c r="C17" s="304"/>
      <c r="D17" s="304"/>
      <c r="E17" s="125"/>
      <c r="F17" s="125"/>
      <c r="G17" s="125"/>
      <c r="H17" s="125"/>
      <c r="I17" s="125"/>
      <c r="J17" s="125"/>
    </row>
    <row r="18" spans="1:10">
      <c r="A18" s="125"/>
      <c r="B18" s="316" t="s">
        <v>2</v>
      </c>
      <c r="C18" s="643"/>
      <c r="D18" s="318"/>
      <c r="E18" s="304"/>
      <c r="F18" s="304"/>
      <c r="G18" s="125"/>
      <c r="H18" s="125"/>
      <c r="I18" s="125"/>
      <c r="J18" s="125"/>
    </row>
    <row r="19" spans="1:10">
      <c r="A19" s="48"/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A20" s="48"/>
      <c r="B20" s="314"/>
      <c r="C20" s="422" t="s">
        <v>16</v>
      </c>
      <c r="D20" s="253"/>
      <c r="E20" s="253"/>
      <c r="F20" s="253"/>
      <c r="G20" s="253"/>
      <c r="H20" s="253"/>
      <c r="I20" s="157"/>
      <c r="J20" s="606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A22" s="48"/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A23" s="48"/>
      <c r="B23" s="195"/>
      <c r="C23" s="48" t="s">
        <v>603</v>
      </c>
      <c r="D23" s="669"/>
      <c r="E23" s="670"/>
      <c r="F23" s="659"/>
      <c r="G23" s="671"/>
      <c r="H23" s="672"/>
      <c r="I23" s="364"/>
      <c r="J23" s="348"/>
    </row>
    <row r="24" spans="1:10">
      <c r="A24" s="48"/>
      <c r="B24" s="62"/>
      <c r="C24" s="48" t="s">
        <v>604</v>
      </c>
      <c r="D24" s="673"/>
      <c r="E24" s="673"/>
      <c r="F24" s="674"/>
      <c r="G24" s="674"/>
      <c r="H24" s="674"/>
      <c r="I24" s="674"/>
      <c r="J24" s="179"/>
    </row>
    <row r="25" spans="1:10">
      <c r="A25" s="48"/>
      <c r="B25" s="256"/>
      <c r="C25" s="48" t="s">
        <v>605</v>
      </c>
      <c r="D25" s="675"/>
      <c r="E25" s="675"/>
      <c r="F25" s="659"/>
      <c r="G25" s="676"/>
      <c r="H25" s="676"/>
      <c r="I25" s="673"/>
      <c r="J25" s="179"/>
    </row>
    <row r="26" spans="1:10">
      <c r="A26" s="48"/>
      <c r="B26" s="256"/>
      <c r="C26" s="48" t="s">
        <v>606</v>
      </c>
      <c r="D26" s="675"/>
      <c r="E26" s="675"/>
      <c r="F26" s="671"/>
      <c r="G26" s="671"/>
      <c r="H26" s="677"/>
      <c r="I26" s="678"/>
      <c r="J26" s="349"/>
    </row>
    <row r="27" spans="1:10">
      <c r="A27" s="48"/>
      <c r="B27" s="256"/>
      <c r="C27" s="48"/>
      <c r="D27" s="657"/>
      <c r="E27" s="658"/>
      <c r="F27" s="659"/>
      <c r="G27" s="660"/>
      <c r="H27" s="661"/>
      <c r="I27" s="662"/>
      <c r="J27" s="349"/>
    </row>
    <row r="28" spans="1:10">
      <c r="A28" s="48"/>
      <c r="B28" s="256"/>
      <c r="C28" s="48" t="s">
        <v>607</v>
      </c>
      <c r="D28" s="663"/>
      <c r="E28" s="663"/>
      <c r="F28" s="663"/>
      <c r="G28" s="664"/>
      <c r="H28" s="664"/>
      <c r="I28" s="353"/>
      <c r="J28" s="349"/>
    </row>
    <row r="29" spans="1:10">
      <c r="A29" s="48"/>
      <c r="B29" s="304"/>
      <c r="C29" s="48" t="s">
        <v>608</v>
      </c>
      <c r="D29" s="654"/>
      <c r="E29" s="654"/>
      <c r="F29" s="131"/>
      <c r="G29" s="138"/>
      <c r="H29" s="138"/>
      <c r="I29" s="138"/>
      <c r="J29" s="35"/>
    </row>
    <row r="30" spans="1:10">
      <c r="A30" s="48"/>
      <c r="B30" s="256"/>
      <c r="C30" s="48" t="s">
        <v>609</v>
      </c>
      <c r="D30" s="141"/>
      <c r="E30" s="141"/>
      <c r="F30" s="140"/>
      <c r="G30" s="140"/>
      <c r="H30" s="140"/>
      <c r="I30" s="140"/>
      <c r="J30" s="35"/>
    </row>
    <row r="31" spans="1:10">
      <c r="A31" s="48"/>
      <c r="B31" s="41"/>
      <c r="C31" s="48" t="s">
        <v>610</v>
      </c>
      <c r="D31" s="41"/>
      <c r="E31" s="41"/>
      <c r="F31" s="63"/>
      <c r="G31" s="63"/>
      <c r="H31" s="63"/>
      <c r="I31" s="41"/>
      <c r="J31" s="41"/>
    </row>
    <row r="32" spans="1:10" ht="15.4">
      <c r="A32" s="48"/>
      <c r="B32" s="41"/>
      <c r="C32" s="656" t="s">
        <v>611</v>
      </c>
      <c r="D32" s="41"/>
      <c r="E32" s="41"/>
      <c r="F32" s="63"/>
      <c r="G32" s="63"/>
      <c r="H32" s="63"/>
      <c r="I32" s="41"/>
      <c r="J32" s="41"/>
    </row>
    <row r="33" spans="1:10">
      <c r="A33" s="48"/>
      <c r="B33" s="63"/>
      <c r="C33" s="99"/>
      <c r="D33" s="63"/>
      <c r="E33" s="63"/>
      <c r="F33" s="63"/>
      <c r="G33" s="63"/>
      <c r="H33" s="63"/>
      <c r="I33" s="63"/>
      <c r="J33" s="41"/>
    </row>
    <row r="34" spans="1:10">
      <c r="A34" s="48"/>
      <c r="B34" s="106"/>
      <c r="C34" s="48" t="s">
        <v>612</v>
      </c>
      <c r="D34" s="41"/>
      <c r="E34" s="41"/>
      <c r="F34" s="100"/>
      <c r="G34" s="28"/>
      <c r="H34" s="41"/>
      <c r="I34" s="41"/>
      <c r="J34" s="41"/>
    </row>
    <row r="35" spans="1:10" ht="15.4">
      <c r="A35" s="48"/>
      <c r="B35" s="127"/>
      <c r="C35" s="247" t="s">
        <v>613</v>
      </c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609" t="s">
        <v>10</v>
      </c>
      <c r="C39" s="41"/>
      <c r="D39" s="41"/>
      <c r="E39" s="41"/>
      <c r="F39" s="668" t="s">
        <v>601</v>
      </c>
      <c r="G39" s="667"/>
      <c r="H39" s="331"/>
      <c r="I39" s="41"/>
      <c r="J39" s="41"/>
    </row>
    <row r="40" spans="1:10">
      <c r="A40" s="48"/>
      <c r="B40" s="605"/>
      <c r="C40" s="74"/>
      <c r="D40" s="606"/>
      <c r="E40" s="59"/>
      <c r="F40" s="59"/>
      <c r="G40" s="174"/>
      <c r="H40" s="174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9"/>
      <c r="G41" s="41"/>
      <c r="H41" s="41"/>
      <c r="I41" s="41"/>
      <c r="J41" s="41"/>
    </row>
    <row r="42" spans="1:10">
      <c r="A42" s="48"/>
      <c r="B42" s="97"/>
      <c r="C42" s="97"/>
      <c r="D42" s="97"/>
      <c r="E42" s="97"/>
      <c r="F42" s="146"/>
      <c r="G42" s="59"/>
      <c r="H42" s="59"/>
      <c r="I42" s="41"/>
      <c r="J42" s="41"/>
    </row>
    <row r="43" spans="1:10">
      <c r="A43" s="48"/>
      <c r="B43" s="189"/>
      <c r="C43" s="189"/>
      <c r="D43" s="189"/>
      <c r="E43" s="189"/>
      <c r="F43" s="205"/>
      <c r="G43" s="606"/>
      <c r="H43" s="606"/>
      <c r="I43" s="606"/>
      <c r="J43" s="606"/>
    </row>
    <row r="44" spans="1:10">
      <c r="A44" s="48"/>
      <c r="B44" s="206" t="s">
        <v>288</v>
      </c>
      <c r="C44" s="296"/>
      <c r="D44" s="296"/>
      <c r="E44" s="179"/>
      <c r="F44" s="206"/>
      <c r="G44" s="59"/>
      <c r="H44" s="59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8:G8"/>
  </mergeCells>
  <pageMargins left="0.35" right="0.10833333333333334" top="0.37820512820512819" bottom="0.6858974358974359" header="0.3" footer="0.3"/>
  <pageSetup paperSize="9" orientation="portrait" horizont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6F4C-E2F1-45B4-B13B-B34814E15956}">
  <sheetPr codeName="Лист49">
    <tabColor theme="8" tint="0.39997558519241921"/>
  </sheetPr>
  <dimension ref="A1:J54"/>
  <sheetViews>
    <sheetView view="pageLayout" topLeftCell="A13" zoomScaleNormal="100" zoomScaleSheetLayoutView="110" workbookViewId="0">
      <selection activeCell="F31" sqref="F31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106"/>
      <c r="D3" s="108"/>
      <c r="E3" s="108"/>
      <c r="F3" s="104"/>
      <c r="G3" s="108"/>
      <c r="H3" s="108"/>
      <c r="I3" s="106"/>
      <c r="J3" s="106"/>
    </row>
    <row r="4" spans="1:10" ht="15" customHeight="1">
      <c r="A4" s="48"/>
      <c r="B4" s="106"/>
      <c r="C4" s="106"/>
      <c r="D4" s="106"/>
      <c r="E4" s="106"/>
      <c r="F4" s="104"/>
      <c r="G4" s="106"/>
      <c r="H4" s="106"/>
      <c r="I4" s="106"/>
      <c r="J4" s="106"/>
    </row>
    <row r="5" spans="1:10" ht="15" customHeight="1">
      <c r="A5" s="48"/>
      <c r="B5" s="106"/>
      <c r="C5" s="58"/>
      <c r="D5" s="58"/>
      <c r="E5" s="58"/>
      <c r="F5" s="102"/>
      <c r="G5" s="243"/>
      <c r="H5" s="109"/>
      <c r="I5" s="109"/>
      <c r="J5" s="106"/>
    </row>
    <row r="6" spans="1:10">
      <c r="A6" s="48"/>
      <c r="B6" s="246"/>
      <c r="C6" s="111"/>
      <c r="D6" s="111"/>
      <c r="E6" s="111"/>
      <c r="F6" s="104"/>
      <c r="G6" s="244"/>
      <c r="H6" s="245"/>
      <c r="I6" s="245"/>
      <c r="J6" s="106"/>
    </row>
    <row r="7" spans="1:10">
      <c r="A7" s="48"/>
      <c r="B7" s="59"/>
      <c r="C7" s="59"/>
      <c r="D7" s="59"/>
      <c r="E7" s="59"/>
      <c r="F7" s="59"/>
      <c r="G7" s="59"/>
      <c r="H7" s="60"/>
      <c r="I7" s="60"/>
      <c r="J7" s="60"/>
    </row>
    <row r="8" spans="1:10" ht="17.25">
      <c r="A8" s="48"/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1:10">
      <c r="A9" s="48"/>
      <c r="B9" s="100"/>
      <c r="C9" s="100"/>
      <c r="D9" s="608" t="s">
        <v>614</v>
      </c>
      <c r="E9" s="100"/>
      <c r="F9" s="100"/>
      <c r="G9" s="100"/>
      <c r="H9" s="100"/>
      <c r="I9" s="60"/>
      <c r="J9" s="60"/>
    </row>
    <row r="10" spans="1:10">
      <c r="A10" s="48"/>
      <c r="B10" s="60"/>
      <c r="C10" s="607"/>
      <c r="D10" s="99"/>
      <c r="E10" s="607"/>
      <c r="F10" s="607"/>
      <c r="G10" s="607"/>
      <c r="H10" s="607"/>
      <c r="I10" s="60"/>
      <c r="J10" s="60"/>
    </row>
    <row r="11" spans="1:10">
      <c r="A11" s="48"/>
      <c r="B11" s="60"/>
      <c r="C11" s="100"/>
      <c r="D11" s="60"/>
      <c r="E11" s="60"/>
      <c r="F11" s="60"/>
      <c r="G11" s="60"/>
      <c r="H11" s="60"/>
      <c r="I11" s="60"/>
      <c r="J11" s="60"/>
    </row>
    <row r="12" spans="1:10">
      <c r="A12" s="48"/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1:10" ht="15" customHeight="1">
      <c r="A13" s="48"/>
      <c r="B13" s="316" t="s">
        <v>301</v>
      </c>
      <c r="C13" s="122"/>
      <c r="D13" s="123"/>
      <c r="E13" s="59"/>
      <c r="F13" s="59"/>
      <c r="G13" s="59"/>
      <c r="H13" s="98"/>
      <c r="I13" s="63"/>
      <c r="J13" s="60"/>
    </row>
    <row r="14" spans="1:10" ht="15" customHeight="1">
      <c r="A14" s="48"/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1:10" ht="15" customHeight="1">
      <c r="A15" s="48"/>
      <c r="B15" s="316" t="s">
        <v>569</v>
      </c>
      <c r="C15" s="83"/>
      <c r="D15" s="83"/>
      <c r="E15" s="94"/>
      <c r="F15" s="60"/>
      <c r="G15" s="60"/>
      <c r="H15" s="41"/>
      <c r="I15" s="41"/>
      <c r="J15" s="60"/>
    </row>
    <row r="16" spans="1:10">
      <c r="A16" s="48"/>
      <c r="B16" s="316"/>
      <c r="C16" s="108"/>
      <c r="D16" s="63"/>
      <c r="E16" s="63"/>
      <c r="F16" s="63"/>
      <c r="G16" s="63"/>
      <c r="H16" s="63"/>
      <c r="I16" s="63"/>
      <c r="J16" s="41"/>
    </row>
    <row r="17" spans="1:10">
      <c r="A17" s="125"/>
      <c r="B17" s="316"/>
      <c r="C17" s="304"/>
      <c r="D17" s="304"/>
      <c r="E17" s="125"/>
      <c r="F17" s="125"/>
      <c r="G17" s="125"/>
      <c r="H17" s="125"/>
      <c r="I17" s="125"/>
      <c r="J17" s="125"/>
    </row>
    <row r="18" spans="1:10">
      <c r="A18" s="125"/>
      <c r="B18" s="316" t="s">
        <v>2</v>
      </c>
      <c r="C18" s="643"/>
      <c r="D18" s="318"/>
      <c r="E18" s="304"/>
      <c r="F18" s="304"/>
      <c r="G18" s="125"/>
      <c r="H18" s="125"/>
      <c r="I18" s="125"/>
      <c r="J18" s="125"/>
    </row>
    <row r="19" spans="1:10">
      <c r="A19" s="48"/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A20" s="48"/>
      <c r="B20" s="314"/>
      <c r="C20" s="422" t="s">
        <v>16</v>
      </c>
      <c r="D20" s="253"/>
      <c r="E20" s="253"/>
      <c r="F20" s="253"/>
      <c r="G20" s="253"/>
      <c r="H20" s="253"/>
      <c r="I20" s="157"/>
      <c r="J20" s="606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A22" s="48"/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A23" s="48"/>
      <c r="B23" s="195"/>
      <c r="C23" s="48" t="s">
        <v>615</v>
      </c>
      <c r="D23" s="669"/>
      <c r="E23" s="670"/>
      <c r="F23" s="659"/>
      <c r="G23" s="671"/>
      <c r="H23" s="672"/>
      <c r="I23" s="364"/>
      <c r="J23" s="348"/>
    </row>
    <row r="24" spans="1:10" ht="15.4">
      <c r="A24" s="48"/>
      <c r="B24" s="62"/>
      <c r="C24" s="656" t="s">
        <v>616</v>
      </c>
      <c r="D24" s="673"/>
      <c r="E24" s="673"/>
      <c r="F24" s="674"/>
      <c r="G24" s="674"/>
      <c r="H24" s="674"/>
      <c r="I24" s="674"/>
      <c r="J24" s="179"/>
    </row>
    <row r="25" spans="1:10">
      <c r="A25" s="48"/>
      <c r="B25" s="256"/>
      <c r="C25" s="48" t="s">
        <v>617</v>
      </c>
      <c r="D25" s="675"/>
      <c r="E25" s="675"/>
      <c r="F25" s="659"/>
      <c r="G25" s="676"/>
      <c r="H25" s="676"/>
      <c r="I25" s="673"/>
      <c r="J25" s="179"/>
    </row>
    <row r="26" spans="1:10" ht="15.4">
      <c r="A26" s="48"/>
      <c r="B26" s="256"/>
      <c r="C26" s="247" t="s">
        <v>618</v>
      </c>
      <c r="D26" s="675"/>
      <c r="E26" s="675"/>
      <c r="F26" s="671"/>
      <c r="G26" s="671"/>
      <c r="H26" s="677"/>
      <c r="I26" s="678"/>
      <c r="J26" s="349"/>
    </row>
    <row r="27" spans="1:10">
      <c r="A27" s="48"/>
      <c r="B27" s="256"/>
      <c r="C27" s="48"/>
      <c r="D27" s="657"/>
      <c r="E27" s="658"/>
      <c r="F27" s="659"/>
      <c r="G27" s="660"/>
      <c r="H27" s="661"/>
      <c r="I27" s="662"/>
      <c r="J27" s="349"/>
    </row>
    <row r="28" spans="1:10">
      <c r="A28" s="48"/>
      <c r="B28" s="256"/>
      <c r="C28" s="48" t="s">
        <v>619</v>
      </c>
      <c r="D28" s="663"/>
      <c r="E28" s="663"/>
      <c r="F28" s="663"/>
      <c r="G28" s="664"/>
      <c r="H28" s="664"/>
      <c r="I28" s="353"/>
      <c r="J28" s="349"/>
    </row>
    <row r="29" spans="1:10" ht="15.4">
      <c r="A29" s="48"/>
      <c r="B29" s="304"/>
      <c r="C29" s="656" t="s">
        <v>620</v>
      </c>
      <c r="D29" s="654"/>
      <c r="E29" s="654"/>
      <c r="F29" s="131"/>
      <c r="G29" s="138"/>
      <c r="H29" s="138"/>
      <c r="I29" s="138"/>
      <c r="J29" s="35"/>
    </row>
    <row r="30" spans="1:10">
      <c r="A30" s="48"/>
      <c r="B30" s="256"/>
      <c r="C30" s="48"/>
      <c r="D30" s="141"/>
      <c r="E30" s="141"/>
      <c r="F30" s="140"/>
      <c r="G30" s="140"/>
      <c r="H30" s="140"/>
      <c r="I30" s="140"/>
      <c r="J30" s="35"/>
    </row>
    <row r="31" spans="1:10">
      <c r="A31" s="48"/>
      <c r="B31" s="41"/>
      <c r="C31" s="48"/>
      <c r="D31" s="41"/>
      <c r="E31" s="41"/>
      <c r="F31" s="63"/>
      <c r="G31" s="63"/>
      <c r="H31" s="63"/>
      <c r="I31" s="41"/>
      <c r="J31" s="41"/>
    </row>
    <row r="32" spans="1:10" ht="15.4">
      <c r="A32" s="48"/>
      <c r="B32" s="41"/>
      <c r="C32" s="656"/>
      <c r="D32" s="41"/>
      <c r="E32" s="41"/>
      <c r="F32" s="63"/>
      <c r="G32" s="63"/>
      <c r="H32" s="63"/>
      <c r="I32" s="41"/>
      <c r="J32" s="41"/>
    </row>
    <row r="33" spans="1:10">
      <c r="A33" s="48"/>
      <c r="B33" s="63"/>
      <c r="C33" s="99"/>
      <c r="D33" s="63"/>
      <c r="E33" s="63"/>
      <c r="F33" s="63"/>
      <c r="G33" s="63"/>
      <c r="H33" s="63"/>
      <c r="I33" s="63"/>
      <c r="J33" s="41"/>
    </row>
    <row r="34" spans="1:10">
      <c r="A34" s="48"/>
      <c r="B34" s="106"/>
      <c r="C34" s="48"/>
      <c r="D34" s="41"/>
      <c r="E34" s="41"/>
      <c r="F34" s="100"/>
      <c r="G34" s="28"/>
      <c r="H34" s="41"/>
      <c r="I34" s="41"/>
      <c r="J34" s="41"/>
    </row>
    <row r="35" spans="1:10" ht="15.4">
      <c r="A35" s="48"/>
      <c r="B35" s="127"/>
      <c r="C35" s="247"/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609" t="s">
        <v>10</v>
      </c>
      <c r="C39" s="41"/>
      <c r="D39" s="41"/>
      <c r="E39" s="41"/>
      <c r="F39" s="668" t="s">
        <v>601</v>
      </c>
      <c r="G39" s="667"/>
      <c r="H39" s="331"/>
      <c r="I39" s="41"/>
      <c r="J39" s="41"/>
    </row>
    <row r="40" spans="1:10">
      <c r="A40" s="48"/>
      <c r="B40" s="605"/>
      <c r="C40" s="74"/>
      <c r="D40" s="606"/>
      <c r="E40" s="59"/>
      <c r="F40" s="59"/>
      <c r="G40" s="174"/>
      <c r="H40" s="174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9"/>
      <c r="G41" s="41"/>
      <c r="H41" s="41"/>
      <c r="I41" s="41"/>
      <c r="J41" s="41"/>
    </row>
    <row r="42" spans="1:10">
      <c r="A42" s="48"/>
      <c r="B42" s="97"/>
      <c r="C42" s="97"/>
      <c r="D42" s="97"/>
      <c r="E42" s="97"/>
      <c r="F42" s="146"/>
      <c r="G42" s="59"/>
      <c r="H42" s="59"/>
      <c r="I42" s="41"/>
      <c r="J42" s="41"/>
    </row>
    <row r="43" spans="1:10">
      <c r="A43" s="48"/>
      <c r="B43" s="189"/>
      <c r="C43" s="189"/>
      <c r="D43" s="189"/>
      <c r="E43" s="189"/>
      <c r="F43" s="205"/>
      <c r="G43" s="606"/>
      <c r="H43" s="606"/>
      <c r="I43" s="606"/>
      <c r="J43" s="606"/>
    </row>
    <row r="44" spans="1:10">
      <c r="A44" s="48"/>
      <c r="B44" s="206" t="s">
        <v>288</v>
      </c>
      <c r="C44" s="296"/>
      <c r="D44" s="296"/>
      <c r="E44" s="179"/>
      <c r="F44" s="206"/>
      <c r="G44" s="59"/>
      <c r="H44" s="59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8:G8"/>
  </mergeCells>
  <pageMargins left="0.35" right="0.10833333333333334" top="0.37820512820512819" bottom="0.6858974358974359" header="0.3" footer="0.3"/>
  <pageSetup paperSize="9" orientation="portrait" horizont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E24E-16EF-44D1-A1FC-6796B52E8E1F}">
  <sheetPr codeName="Лист50">
    <tabColor theme="8" tint="0.39997558519241921"/>
  </sheetPr>
  <dimension ref="A1:J54"/>
  <sheetViews>
    <sheetView view="pageLayout" topLeftCell="A4" zoomScaleNormal="100" zoomScaleSheetLayoutView="110" workbookViewId="0">
      <selection activeCell="C33" sqref="C33"/>
    </sheetView>
  </sheetViews>
  <sheetFormatPr defaultColWidth="8.86328125" defaultRowHeight="14.25"/>
  <cols>
    <col min="1" max="1" width="4.6640625" customWidth="1"/>
    <col min="2" max="2" width="15.86328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106"/>
      <c r="D3" s="108"/>
      <c r="E3" s="108"/>
      <c r="F3" s="104"/>
      <c r="G3" s="108"/>
      <c r="H3" s="108"/>
      <c r="I3" s="106"/>
      <c r="J3" s="106"/>
    </row>
    <row r="4" spans="1:10" ht="15" customHeight="1">
      <c r="A4" s="48"/>
      <c r="B4" s="106"/>
      <c r="C4" s="106"/>
      <c r="D4" s="106"/>
      <c r="E4" s="106"/>
      <c r="F4" s="104"/>
      <c r="G4" s="106"/>
      <c r="H4" s="106"/>
      <c r="I4" s="106"/>
      <c r="J4" s="106"/>
    </row>
    <row r="5" spans="1:10" ht="15" customHeight="1">
      <c r="A5" s="48"/>
      <c r="B5" s="106"/>
      <c r="C5" s="58"/>
      <c r="D5" s="58"/>
      <c r="E5" s="58"/>
      <c r="F5" s="102"/>
      <c r="G5" s="243"/>
      <c r="H5" s="109"/>
      <c r="I5" s="109"/>
      <c r="J5" s="106"/>
    </row>
    <row r="6" spans="1:10">
      <c r="A6" s="48"/>
      <c r="B6" s="246"/>
      <c r="C6" s="111"/>
      <c r="D6" s="111"/>
      <c r="E6" s="111"/>
      <c r="F6" s="104"/>
      <c r="G6" s="244"/>
      <c r="H6" s="245"/>
      <c r="I6" s="245"/>
      <c r="J6" s="106"/>
    </row>
    <row r="7" spans="1:10">
      <c r="A7" s="48"/>
      <c r="B7" s="59"/>
      <c r="C7" s="59"/>
      <c r="D7" s="59"/>
      <c r="E7" s="59"/>
      <c r="F7" s="59"/>
      <c r="G7" s="59"/>
      <c r="H7" s="60"/>
      <c r="I7" s="60"/>
      <c r="J7" s="60"/>
    </row>
    <row r="8" spans="1:10" ht="17.25">
      <c r="A8" s="48"/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1:10">
      <c r="A9" s="48"/>
      <c r="B9" s="100"/>
      <c r="C9" s="100"/>
      <c r="D9" s="640" t="s">
        <v>621</v>
      </c>
      <c r="E9" s="100"/>
      <c r="F9" s="100"/>
      <c r="G9" s="100"/>
      <c r="H9" s="100"/>
      <c r="I9" s="60"/>
      <c r="J9" s="60"/>
    </row>
    <row r="10" spans="1:10">
      <c r="A10" s="48"/>
      <c r="B10" s="60"/>
      <c r="C10" s="639"/>
      <c r="D10" s="99"/>
      <c r="E10" s="639"/>
      <c r="F10" s="639"/>
      <c r="G10" s="639"/>
      <c r="H10" s="639"/>
      <c r="I10" s="60"/>
      <c r="J10" s="60"/>
    </row>
    <row r="11" spans="1:10">
      <c r="A11" s="48"/>
      <c r="B11" s="60"/>
      <c r="C11" s="100"/>
      <c r="D11" s="60"/>
      <c r="E11" s="60"/>
      <c r="F11" s="60"/>
      <c r="G11" s="60"/>
      <c r="H11" s="60"/>
      <c r="I11" s="60"/>
      <c r="J11" s="60"/>
    </row>
    <row r="12" spans="1:10">
      <c r="A12" s="48"/>
      <c r="B12" s="124" t="s">
        <v>268</v>
      </c>
      <c r="C12" s="122"/>
      <c r="D12" s="122"/>
      <c r="E12" s="60"/>
      <c r="F12" s="60"/>
      <c r="G12" s="60"/>
      <c r="H12" s="60"/>
      <c r="I12" s="60"/>
      <c r="J12" s="60"/>
    </row>
    <row r="13" spans="1:10" ht="15" customHeight="1">
      <c r="A13" s="48"/>
      <c r="B13" s="316" t="s">
        <v>301</v>
      </c>
      <c r="C13" s="122"/>
      <c r="D13" s="123"/>
      <c r="E13" s="59"/>
      <c r="F13" s="59"/>
      <c r="G13" s="59"/>
      <c r="H13" s="98"/>
      <c r="I13" s="63"/>
      <c r="J13" s="60"/>
    </row>
    <row r="14" spans="1:10" ht="15" customHeight="1">
      <c r="A14" s="48"/>
      <c r="B14" s="243" t="s">
        <v>270</v>
      </c>
      <c r="C14" s="83"/>
      <c r="D14" s="83"/>
      <c r="E14" s="60"/>
      <c r="F14" s="60"/>
      <c r="G14" s="60"/>
      <c r="H14" s="41"/>
      <c r="I14" s="41"/>
      <c r="J14" s="60"/>
    </row>
    <row r="15" spans="1:10" ht="15" customHeight="1">
      <c r="A15" s="48"/>
      <c r="B15" s="316" t="s">
        <v>569</v>
      </c>
      <c r="C15" s="83"/>
      <c r="D15" s="83"/>
      <c r="E15" s="94"/>
      <c r="F15" s="60"/>
      <c r="G15" s="60"/>
      <c r="H15" s="41"/>
      <c r="I15" s="41"/>
      <c r="J15" s="60"/>
    </row>
    <row r="16" spans="1:10">
      <c r="A16" s="48"/>
      <c r="B16" s="316"/>
      <c r="C16" s="108"/>
      <c r="D16" s="63"/>
      <c r="E16" s="63"/>
      <c r="F16" s="63"/>
      <c r="G16" s="63"/>
      <c r="H16" s="63"/>
      <c r="I16" s="63"/>
      <c r="J16" s="41"/>
    </row>
    <row r="17" spans="1:10">
      <c r="A17" s="125"/>
      <c r="B17" s="316"/>
      <c r="C17" s="304"/>
      <c r="D17" s="304"/>
      <c r="E17" s="125"/>
      <c r="F17" s="125"/>
      <c r="G17" s="125"/>
      <c r="H17" s="125"/>
      <c r="I17" s="125"/>
      <c r="J17" s="125"/>
    </row>
    <row r="18" spans="1:10">
      <c r="A18" s="125"/>
      <c r="B18" s="316" t="s">
        <v>2</v>
      </c>
      <c r="C18" s="643"/>
      <c r="D18" s="318"/>
      <c r="E18" s="304"/>
      <c r="F18" s="304"/>
      <c r="G18" s="125"/>
      <c r="H18" s="125"/>
      <c r="I18" s="125"/>
      <c r="J18" s="125"/>
    </row>
    <row r="19" spans="1:10">
      <c r="A19" s="48"/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A20" s="48"/>
      <c r="B20" s="314"/>
      <c r="C20" s="422" t="s">
        <v>16</v>
      </c>
      <c r="D20" s="253"/>
      <c r="E20" s="253"/>
      <c r="F20" s="253"/>
      <c r="G20" s="253"/>
      <c r="H20" s="253"/>
      <c r="I20" s="157"/>
      <c r="J20" s="637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A22" s="48"/>
      <c r="B22" s="324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A23" s="48"/>
      <c r="B23" s="195"/>
      <c r="C23" s="48" t="s">
        <v>622</v>
      </c>
      <c r="D23" s="669"/>
      <c r="E23" s="670"/>
      <c r="F23" s="659"/>
      <c r="G23" s="671"/>
      <c r="H23" s="672"/>
      <c r="I23" s="364"/>
      <c r="J23" s="348"/>
    </row>
    <row r="24" spans="1:10">
      <c r="A24" s="48"/>
      <c r="B24" s="62"/>
      <c r="C24" s="48" t="s">
        <v>623</v>
      </c>
      <c r="D24" s="673"/>
      <c r="E24" s="673"/>
      <c r="F24" s="674"/>
      <c r="G24" s="674"/>
      <c r="H24" s="674"/>
      <c r="I24" s="674"/>
      <c r="J24" s="179"/>
    </row>
    <row r="25" spans="1:10">
      <c r="A25" s="48"/>
      <c r="B25" s="256"/>
      <c r="C25" s="48" t="s">
        <v>624</v>
      </c>
      <c r="D25" s="675"/>
      <c r="E25" s="675"/>
      <c r="F25" s="659"/>
      <c r="G25" s="676"/>
      <c r="H25" s="676"/>
      <c r="I25" s="673"/>
      <c r="J25" s="179"/>
    </row>
    <row r="26" spans="1:10" ht="15.4">
      <c r="A26" s="48"/>
      <c r="B26" s="256"/>
      <c r="C26" s="656" t="s">
        <v>625</v>
      </c>
      <c r="D26" s="675"/>
      <c r="E26" s="675"/>
      <c r="F26" s="671"/>
      <c r="G26" s="671"/>
      <c r="H26" s="677"/>
      <c r="I26" s="678"/>
      <c r="J26" s="349"/>
    </row>
    <row r="27" spans="1:10">
      <c r="A27" s="48"/>
      <c r="B27" s="256"/>
      <c r="C27" s="48"/>
      <c r="D27" s="657"/>
      <c r="E27" s="658"/>
      <c r="F27" s="659"/>
      <c r="G27" s="660"/>
      <c r="H27" s="661"/>
      <c r="I27" s="662"/>
      <c r="J27" s="349"/>
    </row>
    <row r="28" spans="1:10">
      <c r="A28" s="48"/>
      <c r="B28" s="256"/>
      <c r="C28" s="48" t="s">
        <v>626</v>
      </c>
      <c r="D28" s="663"/>
      <c r="E28" s="663"/>
      <c r="F28" s="663"/>
      <c r="G28" s="664"/>
      <c r="H28" s="664"/>
      <c r="I28" s="353"/>
      <c r="J28" s="349"/>
    </row>
    <row r="29" spans="1:10" ht="15.4">
      <c r="A29" s="48"/>
      <c r="B29" s="304"/>
      <c r="C29" s="656" t="s">
        <v>627</v>
      </c>
      <c r="D29" s="654"/>
      <c r="E29" s="654"/>
      <c r="F29" s="131"/>
      <c r="G29" s="138"/>
      <c r="H29" s="138"/>
      <c r="I29" s="138"/>
      <c r="J29" s="35"/>
    </row>
    <row r="30" spans="1:10">
      <c r="A30" s="48"/>
      <c r="B30" s="256"/>
      <c r="C30" s="48"/>
      <c r="D30" s="141"/>
      <c r="E30" s="141"/>
      <c r="F30" s="140"/>
      <c r="G30" s="140"/>
      <c r="H30" s="140"/>
      <c r="I30" s="140"/>
      <c r="J30" s="35"/>
    </row>
    <row r="31" spans="1:10">
      <c r="A31" s="48"/>
      <c r="B31" s="41"/>
      <c r="C31" s="48"/>
      <c r="D31" s="41"/>
      <c r="E31" s="41"/>
      <c r="F31" s="63"/>
      <c r="G31" s="63"/>
      <c r="H31" s="63"/>
      <c r="I31" s="41"/>
      <c r="J31" s="41"/>
    </row>
    <row r="32" spans="1:10" ht="15.4">
      <c r="A32" s="48"/>
      <c r="B32" s="41"/>
      <c r="C32" s="656"/>
      <c r="D32" s="41"/>
      <c r="E32" s="41"/>
      <c r="F32" s="63"/>
      <c r="G32" s="63"/>
      <c r="H32" s="63"/>
      <c r="I32" s="41"/>
      <c r="J32" s="41"/>
    </row>
    <row r="33" spans="1:10">
      <c r="A33" s="48"/>
      <c r="B33" s="63"/>
      <c r="C33" s="99"/>
      <c r="D33" s="63"/>
      <c r="E33" s="63"/>
      <c r="F33" s="63"/>
      <c r="G33" s="63"/>
      <c r="H33" s="63"/>
      <c r="I33" s="63"/>
      <c r="J33" s="41"/>
    </row>
    <row r="34" spans="1:10">
      <c r="A34" s="48"/>
      <c r="B34" s="106"/>
      <c r="C34" s="48"/>
      <c r="D34" s="41"/>
      <c r="E34" s="41"/>
      <c r="F34" s="100"/>
      <c r="G34" s="28"/>
      <c r="H34" s="41"/>
      <c r="I34" s="41"/>
      <c r="J34" s="41"/>
    </row>
    <row r="35" spans="1:10" ht="15.4">
      <c r="A35" s="48"/>
      <c r="B35" s="127"/>
      <c r="C35" s="247"/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641" t="s">
        <v>10</v>
      </c>
      <c r="C39" s="41"/>
      <c r="D39" s="41"/>
      <c r="E39" s="41"/>
      <c r="F39" s="668" t="s">
        <v>601</v>
      </c>
      <c r="G39" s="667"/>
      <c r="H39" s="331"/>
      <c r="I39" s="41"/>
      <c r="J39" s="41"/>
    </row>
    <row r="40" spans="1:10">
      <c r="A40" s="48"/>
      <c r="B40" s="636"/>
      <c r="C40" s="74"/>
      <c r="D40" s="637"/>
      <c r="E40" s="59"/>
      <c r="F40" s="59"/>
      <c r="G40" s="174"/>
      <c r="H40" s="174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9"/>
      <c r="G41" s="41"/>
      <c r="H41" s="41"/>
      <c r="I41" s="41"/>
      <c r="J41" s="41"/>
    </row>
    <row r="42" spans="1:10">
      <c r="A42" s="48"/>
      <c r="B42" s="97"/>
      <c r="C42" s="97"/>
      <c r="D42" s="97"/>
      <c r="E42" s="97"/>
      <c r="F42" s="146"/>
      <c r="G42" s="59"/>
      <c r="H42" s="59"/>
      <c r="I42" s="41"/>
      <c r="J42" s="41"/>
    </row>
    <row r="43" spans="1:10">
      <c r="A43" s="48"/>
      <c r="B43" s="189"/>
      <c r="C43" s="189"/>
      <c r="D43" s="189"/>
      <c r="E43" s="189"/>
      <c r="F43" s="205"/>
      <c r="G43" s="637"/>
      <c r="H43" s="637"/>
      <c r="I43" s="637"/>
      <c r="J43" s="637"/>
    </row>
    <row r="44" spans="1:10">
      <c r="A44" s="48"/>
      <c r="B44" s="206" t="s">
        <v>288</v>
      </c>
      <c r="C44" s="296"/>
      <c r="D44" s="296"/>
      <c r="E44" s="179"/>
      <c r="F44" s="206"/>
      <c r="G44" s="59"/>
      <c r="H44" s="59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8:G8"/>
  </mergeCells>
  <pageMargins left="0.34166666666666667" right="0.10833333333333334" top="0.37820512820512819" bottom="0.6858974358974359" header="0.3" footer="0.3"/>
  <pageSetup paperSize="9" orientation="portrait" horizont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5A0C-098C-437D-9F41-0D4A5678B4A8}">
  <sheetPr codeName="Лист51">
    <tabColor theme="8" tint="0.39997558519241921"/>
  </sheetPr>
  <dimension ref="A1:J54"/>
  <sheetViews>
    <sheetView view="pageLayout" topLeftCell="A16" zoomScaleNormal="100" zoomScaleSheetLayoutView="110" workbookViewId="0">
      <selection activeCell="H49" sqref="H49"/>
    </sheetView>
  </sheetViews>
  <sheetFormatPr defaultColWidth="8.86328125" defaultRowHeight="14.25"/>
  <cols>
    <col min="1" max="1" width="4.6640625" customWidth="1"/>
    <col min="2" max="2" width="15.33203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8" max="8" width="9.796875" customWidth="1"/>
    <col min="9" max="9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106"/>
      <c r="D3" s="108"/>
      <c r="E3" s="108"/>
      <c r="F3" s="104"/>
      <c r="G3" s="108"/>
      <c r="H3" s="108"/>
      <c r="I3" s="106"/>
      <c r="J3" s="106"/>
    </row>
    <row r="4" spans="1:10" ht="15" customHeight="1">
      <c r="A4" s="48"/>
      <c r="B4" s="106"/>
      <c r="C4" s="106"/>
      <c r="D4" s="106"/>
      <c r="E4" s="106"/>
      <c r="F4" s="104"/>
      <c r="G4" s="106"/>
      <c r="H4" s="106"/>
      <c r="I4" s="106"/>
      <c r="J4" s="106"/>
    </row>
    <row r="5" spans="1:10" ht="15" customHeight="1">
      <c r="A5" s="48"/>
      <c r="B5" s="106"/>
      <c r="C5" s="58"/>
      <c r="D5" s="58"/>
      <c r="E5" s="58"/>
      <c r="F5" s="102"/>
      <c r="G5" s="243"/>
      <c r="H5" s="109"/>
      <c r="I5" s="109"/>
      <c r="J5" s="106"/>
    </row>
    <row r="6" spans="1:10">
      <c r="A6" s="48"/>
      <c r="B6" s="246"/>
      <c r="C6" s="111"/>
      <c r="D6" s="111"/>
      <c r="E6" s="111"/>
      <c r="F6" s="104"/>
      <c r="G6" s="244"/>
      <c r="H6" s="245"/>
      <c r="I6" s="245"/>
      <c r="J6" s="106"/>
    </row>
    <row r="7" spans="1:10">
      <c r="A7" s="48"/>
      <c r="B7" s="59"/>
      <c r="C7" s="59"/>
      <c r="D7" s="59"/>
      <c r="E7" s="59"/>
      <c r="F7" s="59"/>
      <c r="G7" s="59"/>
      <c r="H7" s="60"/>
      <c r="I7" s="60"/>
      <c r="J7" s="60"/>
    </row>
    <row r="8" spans="1:10" ht="17.25">
      <c r="A8" s="48"/>
      <c r="B8" s="247"/>
      <c r="C8" s="1343" t="s">
        <v>267</v>
      </c>
      <c r="D8" s="1343"/>
      <c r="E8" s="1343"/>
      <c r="F8" s="1343"/>
      <c r="G8" s="1343"/>
      <c r="H8" s="247"/>
      <c r="I8" s="60"/>
      <c r="J8" s="60"/>
    </row>
    <row r="9" spans="1:10">
      <c r="A9" s="48"/>
      <c r="B9" s="100"/>
      <c r="C9" s="100"/>
      <c r="D9" s="640" t="s">
        <v>628</v>
      </c>
      <c r="E9" s="100"/>
      <c r="F9" s="100"/>
      <c r="G9" s="100"/>
      <c r="H9" s="100"/>
      <c r="I9" s="60"/>
      <c r="J9" s="60"/>
    </row>
    <row r="10" spans="1:10">
      <c r="A10" s="48"/>
      <c r="B10" s="60"/>
      <c r="C10" s="639"/>
      <c r="D10" s="99"/>
      <c r="E10" s="639"/>
      <c r="F10" s="639"/>
      <c r="G10" s="639"/>
      <c r="H10" s="639"/>
      <c r="I10" s="60"/>
      <c r="J10" s="60"/>
    </row>
    <row r="11" spans="1:10">
      <c r="A11" s="48"/>
      <c r="B11" s="60"/>
      <c r="C11" s="100"/>
      <c r="D11" s="60"/>
      <c r="E11" s="60"/>
      <c r="F11" s="60"/>
      <c r="G11" s="60"/>
      <c r="H11" s="60"/>
      <c r="I11" s="60"/>
      <c r="J11" s="60"/>
    </row>
    <row r="12" spans="1:10">
      <c r="A12" s="48"/>
      <c r="B12" s="124" t="s">
        <v>268</v>
      </c>
      <c r="C12" s="122"/>
      <c r="D12" s="122"/>
      <c r="E12" s="60"/>
      <c r="F12" s="60"/>
      <c r="G12" s="492" t="s">
        <v>629</v>
      </c>
      <c r="H12" s="122"/>
      <c r="I12" s="122"/>
      <c r="J12" s="60"/>
    </row>
    <row r="13" spans="1:10" ht="15" customHeight="1">
      <c r="A13" s="48"/>
      <c r="B13" s="316" t="s">
        <v>301</v>
      </c>
      <c r="C13" s="122"/>
      <c r="D13" s="123"/>
      <c r="E13" s="59"/>
      <c r="F13" s="59"/>
      <c r="G13" s="59"/>
      <c r="H13" s="98"/>
      <c r="I13" s="63"/>
      <c r="J13" s="60"/>
    </row>
    <row r="14" spans="1:10" ht="15" customHeight="1">
      <c r="A14" s="48"/>
      <c r="B14" s="243" t="s">
        <v>270</v>
      </c>
      <c r="C14" s="83"/>
      <c r="D14" s="83"/>
      <c r="E14" s="60"/>
      <c r="F14" s="60"/>
      <c r="G14" s="641" t="s">
        <v>289</v>
      </c>
      <c r="H14" s="233"/>
      <c r="I14" s="233"/>
      <c r="J14" s="60"/>
    </row>
    <row r="15" spans="1:10" ht="15" customHeight="1">
      <c r="A15" s="48"/>
      <c r="B15" s="316" t="s">
        <v>569</v>
      </c>
      <c r="C15" s="83"/>
      <c r="D15" s="83"/>
      <c r="E15" s="94"/>
      <c r="F15" s="60"/>
      <c r="G15" s="685" t="s">
        <v>489</v>
      </c>
      <c r="H15" s="233"/>
      <c r="I15" s="233"/>
      <c r="J15" s="60"/>
    </row>
    <row r="16" spans="1:10">
      <c r="A16" s="48"/>
      <c r="B16" s="316"/>
      <c r="C16" s="108"/>
      <c r="D16" s="63"/>
      <c r="E16" s="63"/>
      <c r="F16" s="63"/>
      <c r="G16" s="63"/>
      <c r="H16" s="63"/>
      <c r="I16" s="63"/>
      <c r="J16" s="41"/>
    </row>
    <row r="17" spans="1:10">
      <c r="A17" s="125"/>
      <c r="B17" s="316"/>
      <c r="C17" s="304"/>
      <c r="D17" s="304"/>
      <c r="E17" s="125"/>
      <c r="F17" s="125"/>
      <c r="G17" s="125"/>
      <c r="H17" s="125"/>
      <c r="I17" s="125"/>
      <c r="J17" s="125"/>
    </row>
    <row r="18" spans="1:10">
      <c r="A18" s="125"/>
      <c r="B18" s="316" t="s">
        <v>2</v>
      </c>
      <c r="C18" s="643"/>
      <c r="D18" s="318"/>
      <c r="E18" s="304"/>
      <c r="F18" s="304"/>
      <c r="G18" s="125"/>
      <c r="H18" s="125"/>
      <c r="I18" s="125"/>
      <c r="J18" s="125"/>
    </row>
    <row r="19" spans="1:10">
      <c r="A19" s="48"/>
      <c r="B19" s="205"/>
      <c r="C19" s="146"/>
      <c r="D19" s="146"/>
      <c r="E19" s="146"/>
      <c r="F19" s="100"/>
      <c r="G19" s="60"/>
      <c r="H19" s="60"/>
      <c r="I19" s="60"/>
      <c r="J19" s="60"/>
    </row>
    <row r="20" spans="1:10">
      <c r="A20" s="48"/>
      <c r="B20" s="314"/>
      <c r="C20" s="422" t="s">
        <v>16</v>
      </c>
      <c r="D20" s="253"/>
      <c r="E20" s="253"/>
      <c r="F20" s="253"/>
      <c r="G20" s="253"/>
      <c r="H20" s="253"/>
      <c r="I20" s="157"/>
      <c r="J20" s="637"/>
    </row>
    <row r="21" spans="1:10">
      <c r="A21" s="262" t="s">
        <v>273</v>
      </c>
      <c r="B21" s="267"/>
      <c r="C21" s="140"/>
      <c r="D21" s="262"/>
      <c r="E21" s="262"/>
      <c r="F21" s="262"/>
      <c r="G21" s="262"/>
      <c r="H21" s="262"/>
      <c r="I21" s="262"/>
      <c r="J21" s="262"/>
    </row>
    <row r="22" spans="1:10">
      <c r="A22" s="48"/>
      <c r="B22" s="401" t="s">
        <v>272</v>
      </c>
      <c r="C22" s="140"/>
      <c r="D22" s="257"/>
      <c r="E22" s="258"/>
      <c r="F22" s="255"/>
      <c r="G22" s="259"/>
      <c r="H22" s="260"/>
      <c r="I22" s="198"/>
      <c r="J22" s="71"/>
    </row>
    <row r="23" spans="1:10">
      <c r="A23" s="48"/>
      <c r="B23" s="195"/>
      <c r="C23" s="48" t="s">
        <v>630</v>
      </c>
      <c r="D23" s="669"/>
      <c r="E23" s="670"/>
      <c r="F23" s="686"/>
      <c r="G23" s="687"/>
      <c r="H23" s="672"/>
      <c r="I23" s="364"/>
      <c r="J23" s="348"/>
    </row>
    <row r="24" spans="1:10">
      <c r="A24" s="48"/>
      <c r="B24" s="62"/>
      <c r="C24" s="48"/>
      <c r="D24" s="673"/>
      <c r="E24" s="673"/>
      <c r="F24" s="688"/>
      <c r="G24" s="674"/>
      <c r="H24" s="674"/>
      <c r="I24" s="674"/>
      <c r="J24" s="179"/>
    </row>
    <row r="25" spans="1:10">
      <c r="A25" s="48"/>
      <c r="B25" s="256"/>
      <c r="C25" s="48" t="s">
        <v>631</v>
      </c>
      <c r="D25" s="673"/>
      <c r="E25" s="673"/>
      <c r="F25" s="691">
        <v>0.30555555555555552</v>
      </c>
      <c r="G25" s="689" t="s">
        <v>632</v>
      </c>
      <c r="H25" s="676" t="s">
        <v>50</v>
      </c>
      <c r="I25" s="692">
        <v>44190</v>
      </c>
      <c r="J25" s="179"/>
    </row>
    <row r="26" spans="1:10">
      <c r="A26" s="48"/>
      <c r="B26" s="256"/>
      <c r="C26" s="48"/>
      <c r="D26" s="675"/>
      <c r="E26" s="675"/>
      <c r="F26" s="671"/>
      <c r="G26" s="671"/>
      <c r="H26" s="677"/>
      <c r="I26" s="690"/>
      <c r="J26" s="349"/>
    </row>
    <row r="27" spans="1:10">
      <c r="A27" s="48"/>
      <c r="B27" s="256"/>
      <c r="C27" s="48" t="s">
        <v>633</v>
      </c>
      <c r="D27" s="657"/>
      <c r="E27" s="658"/>
      <c r="F27" s="659"/>
      <c r="G27" s="691">
        <v>0.30555555555555552</v>
      </c>
      <c r="H27" s="661" t="s">
        <v>634</v>
      </c>
      <c r="I27" s="692">
        <v>44190</v>
      </c>
      <c r="J27" s="349"/>
    </row>
    <row r="28" spans="1:10">
      <c r="A28" s="48"/>
      <c r="B28" s="256"/>
      <c r="C28" s="48"/>
      <c r="D28" s="663"/>
      <c r="E28" s="658"/>
      <c r="F28" s="663"/>
      <c r="G28" s="664"/>
      <c r="H28" s="664"/>
      <c r="I28" s="353"/>
      <c r="J28" s="349"/>
    </row>
    <row r="29" spans="1:10" ht="15.4">
      <c r="A29" s="48"/>
      <c r="B29" s="304"/>
      <c r="C29" s="656" t="s">
        <v>635</v>
      </c>
      <c r="D29" s="654"/>
      <c r="E29" s="658"/>
      <c r="F29" s="131"/>
      <c r="G29" s="138"/>
      <c r="H29" s="138"/>
      <c r="I29" s="138"/>
      <c r="J29" s="35"/>
    </row>
    <row r="30" spans="1:10">
      <c r="A30" s="48"/>
      <c r="B30" s="256"/>
      <c r="C30" s="48" t="s">
        <v>636</v>
      </c>
      <c r="D30" s="141"/>
      <c r="E30" s="141"/>
      <c r="F30" s="140"/>
      <c r="G30" s="140"/>
      <c r="H30" s="140"/>
      <c r="I30" s="140"/>
      <c r="J30" s="35"/>
    </row>
    <row r="31" spans="1:10">
      <c r="A31" s="48"/>
      <c r="B31" s="41"/>
      <c r="C31" s="48"/>
      <c r="D31" s="41"/>
      <c r="E31" s="41"/>
      <c r="F31" s="63"/>
      <c r="G31" s="63"/>
      <c r="H31" s="63"/>
      <c r="I31" s="41"/>
      <c r="J31" s="41"/>
    </row>
    <row r="32" spans="1:10" ht="15.4">
      <c r="A32" s="48"/>
      <c r="B32" s="41"/>
      <c r="C32" s="656"/>
      <c r="D32" s="41"/>
      <c r="E32" s="41"/>
      <c r="F32" s="63"/>
      <c r="G32" s="63"/>
      <c r="H32" s="63"/>
      <c r="I32" s="41"/>
      <c r="J32" s="41"/>
    </row>
    <row r="33" spans="1:10">
      <c r="A33" s="48"/>
      <c r="B33" s="63"/>
      <c r="C33" s="99"/>
      <c r="D33" s="63"/>
      <c r="E33" s="63"/>
      <c r="F33" s="63"/>
      <c r="G33" s="63"/>
      <c r="H33" s="63"/>
      <c r="I33" s="63"/>
      <c r="J33" s="41"/>
    </row>
    <row r="34" spans="1:10">
      <c r="A34" s="48"/>
      <c r="B34" s="106"/>
      <c r="C34" s="48"/>
      <c r="D34" s="41"/>
      <c r="E34" s="41"/>
      <c r="F34" s="100"/>
      <c r="G34" s="28"/>
      <c r="H34" s="41"/>
      <c r="I34" s="41"/>
      <c r="J34" s="41"/>
    </row>
    <row r="35" spans="1:10" ht="15.4">
      <c r="A35" s="48"/>
      <c r="B35" s="127"/>
      <c r="C35" s="247"/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126" t="s">
        <v>10</v>
      </c>
      <c r="C39" s="41"/>
      <c r="D39" s="41"/>
      <c r="E39" s="693"/>
      <c r="F39" s="693"/>
      <c r="G39" s="314" t="s">
        <v>637</v>
      </c>
      <c r="H39" s="694"/>
      <c r="I39" s="694"/>
      <c r="J39" s="41"/>
    </row>
    <row r="40" spans="1:10">
      <c r="A40" s="48"/>
      <c r="B40" s="636"/>
      <c r="C40" s="74"/>
      <c r="D40" s="637"/>
      <c r="E40" s="59"/>
      <c r="F40" s="59"/>
      <c r="G40" s="59"/>
      <c r="H40" s="59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5" t="s">
        <v>287</v>
      </c>
      <c r="G41" s="295"/>
      <c r="H41" s="186"/>
      <c r="I41" s="41"/>
      <c r="J41" s="41"/>
    </row>
    <row r="42" spans="1:10">
      <c r="A42" s="48"/>
      <c r="B42" s="97"/>
      <c r="C42" s="97"/>
      <c r="D42" s="97"/>
      <c r="E42" s="97"/>
      <c r="F42" s="97"/>
      <c r="G42" s="97"/>
      <c r="H42" s="97"/>
      <c r="I42" s="41"/>
      <c r="J42" s="41"/>
    </row>
    <row r="43" spans="1:10">
      <c r="A43" s="48"/>
      <c r="B43" s="189"/>
      <c r="C43" s="189"/>
      <c r="D43" s="189"/>
      <c r="E43" s="189"/>
      <c r="F43" s="189"/>
      <c r="G43" s="189"/>
      <c r="H43" s="189"/>
      <c r="I43" s="637"/>
      <c r="J43" s="637"/>
    </row>
    <row r="44" spans="1:10">
      <c r="A44" s="48"/>
      <c r="B44" s="206" t="s">
        <v>288</v>
      </c>
      <c r="C44" s="296"/>
      <c r="D44" s="296"/>
      <c r="E44" s="179"/>
      <c r="F44" s="206" t="s">
        <v>288</v>
      </c>
      <c r="G44" s="296"/>
      <c r="H44" s="296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8:G8"/>
  </mergeCells>
  <pageMargins left="0.29166666666666669" right="0.10833333333333334" top="0.37820512820512819" bottom="0.6858974358974359" header="0.3" footer="0.3"/>
  <pageSetup paperSize="9" orientation="portrait" horizont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54F5-F1C8-4FB2-BAF8-196A24F72BD0}">
  <sheetPr codeName="Лист52">
    <tabColor theme="8" tint="0.39997558519241921"/>
  </sheetPr>
  <dimension ref="A1:J54"/>
  <sheetViews>
    <sheetView view="pageLayout" topLeftCell="A22" zoomScaleNormal="100" zoomScaleSheetLayoutView="110" workbookViewId="0">
      <selection activeCell="C36" sqref="C36"/>
    </sheetView>
  </sheetViews>
  <sheetFormatPr defaultColWidth="8.86328125" defaultRowHeight="14.25"/>
  <cols>
    <col min="1" max="1" width="4.6640625" customWidth="1"/>
    <col min="2" max="2" width="15.33203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8" max="8" width="9.796875" customWidth="1"/>
    <col min="9" max="9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58"/>
      <c r="D3" s="58"/>
      <c r="E3" s="58"/>
      <c r="F3" s="102"/>
      <c r="G3" s="243"/>
      <c r="H3" s="109"/>
      <c r="I3" s="109"/>
      <c r="J3" s="106"/>
    </row>
    <row r="4" spans="1:10" ht="15" customHeight="1">
      <c r="A4" s="48"/>
      <c r="B4" s="246"/>
      <c r="C4" s="111"/>
      <c r="D4" s="111"/>
      <c r="E4" s="111"/>
      <c r="F4" s="104"/>
      <c r="G4" s="244"/>
      <c r="H4" s="245"/>
      <c r="I4" s="245"/>
      <c r="J4" s="106"/>
    </row>
    <row r="5" spans="1:10" ht="15" customHeight="1">
      <c r="A5" s="48"/>
      <c r="B5" s="59"/>
      <c r="C5" s="59"/>
      <c r="D5" s="59"/>
      <c r="E5" s="59"/>
      <c r="F5" s="59"/>
      <c r="G5" s="59"/>
      <c r="H5" s="60"/>
      <c r="I5" s="60"/>
      <c r="J5" s="60"/>
    </row>
    <row r="6" spans="1:10" ht="17.25">
      <c r="A6" s="48"/>
      <c r="B6" s="247"/>
      <c r="C6" s="1343" t="s">
        <v>267</v>
      </c>
      <c r="D6" s="1343"/>
      <c r="E6" s="1343"/>
      <c r="F6" s="1343"/>
      <c r="G6" s="1343"/>
      <c r="H6" s="247"/>
      <c r="I6" s="60"/>
      <c r="J6" s="60"/>
    </row>
    <row r="7" spans="1:10">
      <c r="A7" s="48"/>
      <c r="B7" s="100"/>
      <c r="C7" s="100"/>
      <c r="D7" s="640" t="s">
        <v>639</v>
      </c>
      <c r="E7" s="100"/>
      <c r="F7" s="100"/>
      <c r="G7" s="100"/>
      <c r="H7" s="100"/>
      <c r="I7" s="60"/>
      <c r="J7" s="60"/>
    </row>
    <row r="8" spans="1:10">
      <c r="A8" s="48"/>
      <c r="B8" s="60"/>
      <c r="C8" s="639"/>
      <c r="D8" s="99"/>
      <c r="E8" s="639"/>
      <c r="F8" s="639"/>
      <c r="G8" s="639"/>
      <c r="H8" s="639"/>
      <c r="I8" s="60"/>
      <c r="J8" s="60"/>
    </row>
    <row r="9" spans="1:10">
      <c r="A9" s="48"/>
      <c r="B9" s="60"/>
      <c r="C9" s="100"/>
      <c r="D9" s="60"/>
      <c r="E9" s="60"/>
      <c r="F9" s="60"/>
      <c r="G9" s="60"/>
      <c r="H9" s="60"/>
      <c r="I9" s="60"/>
      <c r="J9" s="60"/>
    </row>
    <row r="10" spans="1:10">
      <c r="A10" s="48"/>
      <c r="B10" s="124" t="s">
        <v>268</v>
      </c>
      <c r="C10" s="122"/>
      <c r="D10" s="122"/>
      <c r="E10" s="60"/>
      <c r="F10" s="60"/>
      <c r="G10" s="492"/>
      <c r="H10" s="60"/>
      <c r="I10" s="60"/>
      <c r="J10" s="60"/>
    </row>
    <row r="11" spans="1:10">
      <c r="A11" s="48"/>
      <c r="B11" s="316" t="s">
        <v>301</v>
      </c>
      <c r="C11" s="122"/>
      <c r="D11" s="123"/>
      <c r="E11" s="59"/>
      <c r="F11" s="59"/>
      <c r="G11" s="59"/>
      <c r="H11" s="98"/>
      <c r="I11" s="63"/>
      <c r="J11" s="60"/>
    </row>
    <row r="12" spans="1:10">
      <c r="A12" s="48"/>
      <c r="B12" s="243" t="s">
        <v>638</v>
      </c>
      <c r="C12" s="83"/>
      <c r="D12" s="83"/>
      <c r="E12" s="60"/>
      <c r="F12" s="60"/>
      <c r="G12" s="641"/>
      <c r="H12" s="41"/>
      <c r="I12" s="41"/>
      <c r="J12" s="60"/>
    </row>
    <row r="13" spans="1:10" ht="15" customHeight="1">
      <c r="A13" s="48"/>
      <c r="B13" s="316" t="s">
        <v>569</v>
      </c>
      <c r="C13" s="83"/>
      <c r="D13" s="83"/>
      <c r="E13" s="94"/>
      <c r="F13" s="60"/>
      <c r="G13" s="685"/>
      <c r="H13" s="41"/>
      <c r="I13" s="41"/>
      <c r="J13" s="60"/>
    </row>
    <row r="14" spans="1:10" ht="15" customHeight="1">
      <c r="A14" s="48"/>
      <c r="B14" s="316"/>
      <c r="C14" s="108"/>
      <c r="D14" s="63"/>
      <c r="E14" s="63"/>
      <c r="F14" s="63"/>
      <c r="G14" s="63"/>
      <c r="H14" s="63"/>
      <c r="I14" s="63"/>
      <c r="J14" s="41"/>
    </row>
    <row r="15" spans="1:10" ht="15" customHeight="1">
      <c r="A15" s="125"/>
      <c r="B15" s="316"/>
      <c r="C15" s="304"/>
      <c r="D15" s="304"/>
      <c r="E15" s="125"/>
      <c r="F15" s="125"/>
      <c r="G15" s="125"/>
      <c r="H15" s="125"/>
      <c r="I15" s="125"/>
      <c r="J15" s="125"/>
    </row>
    <row r="16" spans="1:10">
      <c r="A16" s="125"/>
      <c r="B16" s="316" t="s">
        <v>2</v>
      </c>
      <c r="C16" s="643"/>
      <c r="D16" s="318"/>
      <c r="E16" s="304"/>
      <c r="F16" s="304"/>
      <c r="G16" s="125"/>
      <c r="H16" s="125"/>
      <c r="I16" s="125"/>
      <c r="J16" s="125"/>
    </row>
    <row r="17" spans="1:10">
      <c r="A17" s="48"/>
      <c r="B17" s="205"/>
      <c r="C17" s="146"/>
      <c r="D17" s="146"/>
      <c r="E17" s="146"/>
      <c r="F17" s="100"/>
      <c r="G17" s="60"/>
      <c r="H17" s="60"/>
      <c r="I17" s="60"/>
      <c r="J17" s="60"/>
    </row>
    <row r="18" spans="1:10">
      <c r="A18" s="48"/>
      <c r="B18" s="314"/>
      <c r="C18" s="422" t="s">
        <v>16</v>
      </c>
      <c r="D18" s="253"/>
      <c r="E18" s="253"/>
      <c r="F18" s="253"/>
      <c r="G18" s="253"/>
      <c r="H18" s="253"/>
      <c r="I18" s="157"/>
      <c r="J18" s="637"/>
    </row>
    <row r="19" spans="1:10">
      <c r="A19" s="262" t="s">
        <v>273</v>
      </c>
      <c r="B19" s="267"/>
      <c r="C19" s="140"/>
      <c r="D19" s="262"/>
      <c r="E19" s="262"/>
      <c r="F19" s="262"/>
      <c r="G19" s="262"/>
      <c r="H19" s="262"/>
      <c r="I19" s="262"/>
      <c r="J19" s="262"/>
    </row>
    <row r="20" spans="1:10">
      <c r="A20" s="48"/>
      <c r="B20" s="401" t="s">
        <v>272</v>
      </c>
      <c r="C20" s="140"/>
      <c r="D20" s="257"/>
      <c r="E20" s="258"/>
      <c r="F20" s="255"/>
      <c r="G20" s="259"/>
      <c r="H20" s="260"/>
      <c r="I20" s="198"/>
      <c r="J20" s="71"/>
    </row>
    <row r="21" spans="1:10">
      <c r="A21" s="48"/>
      <c r="B21" s="195"/>
      <c r="C21" s="615" t="s">
        <v>640</v>
      </c>
      <c r="D21" s="669"/>
      <c r="E21" s="670"/>
      <c r="F21" s="659"/>
      <c r="G21" s="671"/>
      <c r="H21" s="672"/>
      <c r="I21" s="364"/>
      <c r="J21" s="348"/>
    </row>
    <row r="22" spans="1:10">
      <c r="A22" s="48"/>
      <c r="B22" s="696"/>
      <c r="C22" s="615" t="s">
        <v>641</v>
      </c>
      <c r="D22" s="673"/>
      <c r="E22" s="673"/>
      <c r="F22" s="688"/>
      <c r="G22" s="674"/>
      <c r="H22" s="674"/>
      <c r="I22" s="674"/>
      <c r="J22" s="179"/>
    </row>
    <row r="23" spans="1:10">
      <c r="A23" s="48"/>
      <c r="B23" s="256"/>
      <c r="C23" s="615"/>
      <c r="D23" s="673"/>
      <c r="E23" s="673"/>
      <c r="F23" s="688"/>
      <c r="G23" s="689"/>
      <c r="H23" s="676"/>
      <c r="I23" s="690"/>
      <c r="J23" s="179"/>
    </row>
    <row r="24" spans="1:10">
      <c r="A24" s="48"/>
      <c r="B24" s="256"/>
      <c r="C24" s="615" t="s">
        <v>642</v>
      </c>
      <c r="D24" s="675"/>
      <c r="E24" s="675"/>
      <c r="F24" s="671"/>
      <c r="G24" s="671"/>
      <c r="H24" s="677"/>
      <c r="I24" s="690"/>
      <c r="J24" s="349"/>
    </row>
    <row r="25" spans="1:10">
      <c r="A25" s="48"/>
      <c r="B25" s="256"/>
      <c r="C25" s="361" t="s">
        <v>643</v>
      </c>
      <c r="D25" s="695"/>
      <c r="E25" s="658"/>
      <c r="F25" s="659"/>
      <c r="G25" s="688"/>
      <c r="H25" s="661"/>
      <c r="I25" s="690"/>
      <c r="J25" s="349"/>
    </row>
    <row r="26" spans="1:10" ht="15.4">
      <c r="A26" s="48"/>
      <c r="B26" s="256"/>
      <c r="C26" s="634" t="s">
        <v>645</v>
      </c>
      <c r="D26" s="663"/>
      <c r="E26" s="658"/>
      <c r="F26" s="663"/>
      <c r="G26" s="664"/>
      <c r="H26" s="664"/>
      <c r="I26" s="353"/>
      <c r="J26" s="349"/>
    </row>
    <row r="27" spans="1:10" ht="15.4">
      <c r="A27" s="48"/>
      <c r="B27" s="256"/>
      <c r="C27" s="634" t="s">
        <v>644</v>
      </c>
      <c r="D27" s="654"/>
      <c r="E27" s="658"/>
      <c r="F27" s="131"/>
      <c r="G27" s="138"/>
      <c r="H27" s="138"/>
      <c r="I27" s="138"/>
      <c r="J27" s="35"/>
    </row>
    <row r="28" spans="1:10" ht="15.4">
      <c r="A28" s="48"/>
      <c r="B28" s="256"/>
      <c r="C28" s="634" t="s">
        <v>644</v>
      </c>
      <c r="D28" s="141"/>
      <c r="E28" s="141"/>
      <c r="F28" s="140"/>
      <c r="G28" s="140"/>
      <c r="H28" s="140"/>
      <c r="I28" s="140"/>
      <c r="J28" s="35"/>
    </row>
    <row r="29" spans="1:10">
      <c r="A29" s="48"/>
      <c r="B29" s="256"/>
      <c r="C29" s="48" t="s">
        <v>646</v>
      </c>
      <c r="D29" s="41"/>
      <c r="E29" s="41"/>
      <c r="F29" s="63"/>
      <c r="G29" s="63"/>
      <c r="H29" s="63"/>
      <c r="I29" s="41"/>
      <c r="J29" s="41"/>
    </row>
    <row r="30" spans="1:10" ht="15.4">
      <c r="A30" s="48"/>
      <c r="B30" s="256"/>
      <c r="C30" s="656"/>
      <c r="D30" s="41"/>
      <c r="E30" s="41"/>
      <c r="F30" s="63"/>
      <c r="G30" s="63"/>
      <c r="H30" s="63"/>
      <c r="I30" s="41"/>
      <c r="J30" s="41"/>
    </row>
    <row r="31" spans="1:10">
      <c r="A31" s="48"/>
      <c r="B31" s="63"/>
      <c r="C31" s="99"/>
      <c r="D31" s="63"/>
      <c r="E31" s="63"/>
      <c r="F31" s="63"/>
      <c r="G31" s="63"/>
      <c r="H31" s="63"/>
      <c r="I31" s="63"/>
      <c r="J31" s="41"/>
    </row>
    <row r="32" spans="1:10">
      <c r="A32" s="48"/>
      <c r="B32" s="106"/>
      <c r="C32" s="48" t="s">
        <v>647</v>
      </c>
      <c r="D32" s="41"/>
      <c r="E32" s="41"/>
      <c r="F32" s="100"/>
      <c r="G32" s="28"/>
      <c r="H32" s="41"/>
      <c r="I32" s="41"/>
      <c r="J32" s="41"/>
    </row>
    <row r="33" spans="1:10" ht="15.4">
      <c r="A33" s="48"/>
      <c r="B33" s="127"/>
      <c r="C33" s="247" t="s">
        <v>648</v>
      </c>
      <c r="D33" s="127"/>
      <c r="E33" s="127"/>
      <c r="F33" s="313"/>
      <c r="G33" s="28"/>
      <c r="H33" s="313"/>
      <c r="I33" s="127"/>
      <c r="J33" s="127"/>
    </row>
    <row r="34" spans="1:10" ht="15.4">
      <c r="A34" s="48"/>
      <c r="B34" s="127"/>
      <c r="C34" s="247" t="s">
        <v>649</v>
      </c>
      <c r="D34" s="127"/>
      <c r="E34" s="127"/>
      <c r="F34" s="313"/>
      <c r="G34" s="28"/>
      <c r="H34" s="313"/>
      <c r="I34" s="127"/>
      <c r="J34" s="127"/>
    </row>
    <row r="35" spans="1:10" ht="15.4">
      <c r="A35" s="48"/>
      <c r="B35" s="127"/>
      <c r="C35" s="247"/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126" t="s">
        <v>10</v>
      </c>
      <c r="C39" s="41"/>
      <c r="D39" s="41"/>
      <c r="E39" s="693"/>
      <c r="F39" s="693"/>
      <c r="G39" s="642" t="s">
        <v>650</v>
      </c>
      <c r="H39" s="694"/>
      <c r="I39" s="694"/>
      <c r="J39" s="41"/>
    </row>
    <row r="40" spans="1:10">
      <c r="A40" s="48"/>
      <c r="B40" s="636"/>
      <c r="C40" s="74"/>
      <c r="D40" s="637"/>
      <c r="E40" s="59"/>
      <c r="F40" s="59"/>
      <c r="G40" s="59"/>
      <c r="H40" s="59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5" t="s">
        <v>287</v>
      </c>
      <c r="G41" s="295"/>
      <c r="H41" s="186"/>
      <c r="I41" s="41"/>
      <c r="J41" s="41"/>
    </row>
    <row r="42" spans="1:10">
      <c r="A42" s="48"/>
      <c r="B42" s="97"/>
      <c r="C42" s="97"/>
      <c r="D42" s="97"/>
      <c r="E42" s="97"/>
      <c r="F42" s="97"/>
      <c r="G42" s="97"/>
      <c r="H42" s="97"/>
      <c r="I42" s="41"/>
      <c r="J42" s="41"/>
    </row>
    <row r="43" spans="1:10">
      <c r="A43" s="48"/>
      <c r="B43" s="189"/>
      <c r="C43" s="189"/>
      <c r="D43" s="189"/>
      <c r="E43" s="189"/>
      <c r="F43" s="189"/>
      <c r="G43" s="189"/>
      <c r="H43" s="189"/>
      <c r="I43" s="637"/>
      <c r="J43" s="637"/>
    </row>
    <row r="44" spans="1:10">
      <c r="A44" s="48"/>
      <c r="B44" s="206" t="s">
        <v>288</v>
      </c>
      <c r="C44" s="296"/>
      <c r="D44" s="296"/>
      <c r="E44" s="179"/>
      <c r="F44" s="206" t="s">
        <v>288</v>
      </c>
      <c r="G44" s="296"/>
      <c r="H44" s="296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6:G6"/>
  </mergeCells>
  <pageMargins left="0.28333333333333333" right="0.10833333333333334" top="0.37820512820512819" bottom="0.6858974358974359" header="0.3" footer="0.3"/>
  <pageSetup paperSize="9" orientation="portrait" horizont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129" r:id="rId4" name="Check Box 8">
              <controlPr defaultSize="0" autoFill="0" autoLine="0" autoPict="0">
                <anchor moveWithCells="1" sizeWithCells="1">
                  <from>
                    <xdr:col>1</xdr:col>
                    <xdr:colOff>823913</xdr:colOff>
                    <xdr:row>22</xdr:row>
                    <xdr:rowOff>176213</xdr:rowOff>
                  </from>
                  <to>
                    <xdr:col>2</xdr:col>
                    <xdr:colOff>366713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0" r:id="rId5" name="Check Box 2">
              <controlPr defaultSize="0" autoFill="0" autoLine="0" autoPict="0">
                <anchor moveWithCells="1" sizeWithCells="1">
                  <from>
                    <xdr:col>1</xdr:col>
                    <xdr:colOff>823913</xdr:colOff>
                    <xdr:row>23</xdr:row>
                    <xdr:rowOff>176213</xdr:rowOff>
                  </from>
                  <to>
                    <xdr:col>2</xdr:col>
                    <xdr:colOff>366713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1" r:id="rId6" name="Check Box 3">
              <controlPr defaultSize="0" autoFill="0" autoLine="0" autoPict="0">
                <anchor moveWithCells="1" sizeWithCells="1">
                  <from>
                    <xdr:col>1</xdr:col>
                    <xdr:colOff>823913</xdr:colOff>
                    <xdr:row>24</xdr:row>
                    <xdr:rowOff>176213</xdr:rowOff>
                  </from>
                  <to>
                    <xdr:col>2</xdr:col>
                    <xdr:colOff>366713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2" r:id="rId7" name="Check Box 4">
              <controlPr defaultSize="0" autoFill="0" autoLine="0" autoPict="0">
                <anchor moveWithCells="1" sizeWithCells="1">
                  <from>
                    <xdr:col>1</xdr:col>
                    <xdr:colOff>823913</xdr:colOff>
                    <xdr:row>25</xdr:row>
                    <xdr:rowOff>176213</xdr:rowOff>
                  </from>
                  <to>
                    <xdr:col>2</xdr:col>
                    <xdr:colOff>366713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3" r:id="rId8" name="Check Box 5">
              <controlPr defaultSize="0" autoFill="0" autoLine="0" autoPict="0">
                <anchor moveWithCells="1" sizeWithCells="1">
                  <from>
                    <xdr:col>1</xdr:col>
                    <xdr:colOff>823913</xdr:colOff>
                    <xdr:row>26</xdr:row>
                    <xdr:rowOff>176213</xdr:rowOff>
                  </from>
                  <to>
                    <xdr:col>2</xdr:col>
                    <xdr:colOff>366713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4" r:id="rId9" name="Check Box 6">
              <controlPr defaultSize="0" autoFill="0" autoLine="0" autoPict="0">
                <anchor moveWithCells="1" sizeWithCells="1">
                  <from>
                    <xdr:col>1</xdr:col>
                    <xdr:colOff>823913</xdr:colOff>
                    <xdr:row>27</xdr:row>
                    <xdr:rowOff>176213</xdr:rowOff>
                  </from>
                  <to>
                    <xdr:col>2</xdr:col>
                    <xdr:colOff>366713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5" r:id="rId10" name="Check Box 7">
              <controlPr defaultSize="0" autoFill="0" autoLine="0" autoPict="0">
                <anchor moveWithCells="1" sizeWithCells="1">
                  <from>
                    <xdr:col>1</xdr:col>
                    <xdr:colOff>823913</xdr:colOff>
                    <xdr:row>28</xdr:row>
                    <xdr:rowOff>176213</xdr:rowOff>
                  </from>
                  <to>
                    <xdr:col>2</xdr:col>
                    <xdr:colOff>366713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6" r:id="rId11" name="Check Box 8">
              <controlPr defaultSize="0" autoFill="0" autoLine="0" autoPict="0">
                <anchor moveWithCells="1" sizeWithCells="1">
                  <from>
                    <xdr:col>1</xdr:col>
                    <xdr:colOff>823913</xdr:colOff>
                    <xdr:row>24</xdr:row>
                    <xdr:rowOff>176213</xdr:rowOff>
                  </from>
                  <to>
                    <xdr:col>2</xdr:col>
                    <xdr:colOff>366713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7" r:id="rId12" name="Check Box 9">
              <controlPr defaultSize="0" autoFill="0" autoLine="0" autoPict="0">
                <anchor moveWithCells="1" sizeWithCells="1">
                  <from>
                    <xdr:col>1</xdr:col>
                    <xdr:colOff>823913</xdr:colOff>
                    <xdr:row>26</xdr:row>
                    <xdr:rowOff>176213</xdr:rowOff>
                  </from>
                  <to>
                    <xdr:col>2</xdr:col>
                    <xdr:colOff>366713</xdr:colOff>
                    <xdr:row>28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00DF-B62B-4DA6-A4C9-2129388CD88A}">
  <sheetPr codeName="Лист53">
    <tabColor theme="8" tint="0.39997558519241921"/>
  </sheetPr>
  <dimension ref="A1:J54"/>
  <sheetViews>
    <sheetView view="pageLayout" topLeftCell="A10" zoomScaleNormal="100" zoomScaleSheetLayoutView="110" workbookViewId="0">
      <selection activeCell="C50" sqref="C50"/>
    </sheetView>
  </sheetViews>
  <sheetFormatPr defaultColWidth="8.86328125" defaultRowHeight="14.25"/>
  <cols>
    <col min="1" max="1" width="4.6640625" customWidth="1"/>
    <col min="2" max="2" width="15.33203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8" max="8" width="9.796875" customWidth="1"/>
    <col min="9" max="9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58"/>
      <c r="D3" s="58"/>
      <c r="E3" s="58"/>
      <c r="F3" s="102"/>
      <c r="G3" s="243"/>
      <c r="H3" s="109"/>
      <c r="I3" s="109"/>
      <c r="J3" s="106"/>
    </row>
    <row r="4" spans="1:10" ht="15" customHeight="1">
      <c r="A4" s="48"/>
      <c r="B4" s="246"/>
      <c r="C4" s="111"/>
      <c r="D4" s="111"/>
      <c r="E4" s="111"/>
      <c r="F4" s="104"/>
      <c r="G4" s="244"/>
      <c r="H4" s="245"/>
      <c r="I4" s="245"/>
      <c r="J4" s="106"/>
    </row>
    <row r="5" spans="1:10" ht="15" customHeight="1">
      <c r="A5" s="48"/>
      <c r="B5" s="59"/>
      <c r="C5" s="59"/>
      <c r="D5" s="59"/>
      <c r="E5" s="59"/>
      <c r="F5" s="59"/>
      <c r="G5" s="59"/>
      <c r="H5" s="60"/>
      <c r="I5" s="60"/>
      <c r="J5" s="60"/>
    </row>
    <row r="6" spans="1:10" ht="17.25">
      <c r="A6" s="48"/>
      <c r="B6" s="247"/>
      <c r="C6" s="1343" t="s">
        <v>267</v>
      </c>
      <c r="D6" s="1343"/>
      <c r="E6" s="1343"/>
      <c r="F6" s="1343"/>
      <c r="G6" s="1343"/>
      <c r="H6" s="247"/>
      <c r="I6" s="60"/>
      <c r="J6" s="60"/>
    </row>
    <row r="7" spans="1:10">
      <c r="A7" s="48"/>
      <c r="B7" s="100"/>
      <c r="C7" s="100"/>
      <c r="D7" s="640" t="s">
        <v>651</v>
      </c>
      <c r="E7" s="100"/>
      <c r="F7" s="100"/>
      <c r="G7" s="100"/>
      <c r="H7" s="100"/>
      <c r="I7" s="60"/>
      <c r="J7" s="60"/>
    </row>
    <row r="8" spans="1:10">
      <c r="A8" s="48"/>
      <c r="B8" s="60"/>
      <c r="C8" s="639"/>
      <c r="D8" s="99"/>
      <c r="E8" s="639"/>
      <c r="F8" s="639"/>
      <c r="G8" s="639"/>
      <c r="H8" s="639"/>
      <c r="I8" s="60"/>
      <c r="J8" s="60"/>
    </row>
    <row r="9" spans="1:10">
      <c r="A9" s="48"/>
      <c r="B9" s="60"/>
      <c r="C9" s="100"/>
      <c r="D9" s="60"/>
      <c r="E9" s="60"/>
      <c r="F9" s="60"/>
      <c r="G9" s="60"/>
      <c r="H9" s="60"/>
      <c r="I9" s="60"/>
      <c r="J9" s="60"/>
    </row>
    <row r="10" spans="1:10">
      <c r="A10" s="48"/>
      <c r="B10" s="124" t="s">
        <v>268</v>
      </c>
      <c r="C10" s="122"/>
      <c r="D10" s="122"/>
      <c r="E10" s="60"/>
      <c r="F10" s="60"/>
      <c r="G10" s="492"/>
      <c r="H10" s="60"/>
      <c r="I10" s="60"/>
      <c r="J10" s="60"/>
    </row>
    <row r="11" spans="1:10">
      <c r="A11" s="48"/>
      <c r="B11" s="316" t="s">
        <v>301</v>
      </c>
      <c r="C11" s="122"/>
      <c r="D11" s="123"/>
      <c r="E11" s="59"/>
      <c r="F11" s="59"/>
      <c r="G11" s="59"/>
      <c r="H11" s="98"/>
      <c r="I11" s="63"/>
      <c r="J11" s="60"/>
    </row>
    <row r="12" spans="1:10">
      <c r="A12" s="48"/>
      <c r="B12" s="243" t="s">
        <v>638</v>
      </c>
      <c r="C12" s="83"/>
      <c r="D12" s="83"/>
      <c r="E12" s="60"/>
      <c r="F12" s="60"/>
      <c r="G12" s="641"/>
      <c r="H12" s="41"/>
      <c r="I12" s="41"/>
      <c r="J12" s="60"/>
    </row>
    <row r="13" spans="1:10" ht="15" customHeight="1">
      <c r="A13" s="48"/>
      <c r="B13" s="316" t="s">
        <v>569</v>
      </c>
      <c r="C13" s="83"/>
      <c r="D13" s="83"/>
      <c r="E13" s="94"/>
      <c r="F13" s="60"/>
      <c r="G13" s="685"/>
      <c r="H13" s="41"/>
      <c r="I13" s="41"/>
      <c r="J13" s="60"/>
    </row>
    <row r="14" spans="1:10" ht="15" customHeight="1">
      <c r="A14" s="48"/>
      <c r="B14" s="316"/>
      <c r="C14" s="108"/>
      <c r="D14" s="63"/>
      <c r="E14" s="63"/>
      <c r="F14" s="63"/>
      <c r="G14" s="63"/>
      <c r="H14" s="63"/>
      <c r="I14" s="63"/>
      <c r="J14" s="41"/>
    </row>
    <row r="15" spans="1:10" ht="15" customHeight="1">
      <c r="A15" s="125"/>
      <c r="B15" s="316" t="s">
        <v>2</v>
      </c>
      <c r="C15" s="643"/>
      <c r="D15" s="318"/>
      <c r="E15" s="125"/>
      <c r="F15" s="125"/>
      <c r="G15" s="125"/>
      <c r="H15" s="125"/>
      <c r="I15" s="125"/>
      <c r="J15" s="125"/>
    </row>
    <row r="16" spans="1:10">
      <c r="A16" s="125"/>
      <c r="B16" s="316" t="s">
        <v>2</v>
      </c>
      <c r="C16" s="643"/>
      <c r="D16" s="318"/>
      <c r="E16" s="304"/>
      <c r="F16" s="304"/>
      <c r="G16" s="125"/>
      <c r="H16" s="125"/>
      <c r="I16" s="125"/>
      <c r="J16" s="125"/>
    </row>
    <row r="17" spans="1:10">
      <c r="A17" s="48"/>
      <c r="B17" s="205"/>
      <c r="C17" s="146"/>
      <c r="D17" s="146"/>
      <c r="E17" s="146"/>
      <c r="F17" s="100"/>
      <c r="G17" s="60"/>
      <c r="H17" s="60"/>
      <c r="I17" s="60"/>
      <c r="J17" s="60"/>
    </row>
    <row r="18" spans="1:10">
      <c r="A18" s="48"/>
      <c r="B18" s="314"/>
      <c r="C18" s="422" t="s">
        <v>16</v>
      </c>
      <c r="D18" s="253"/>
      <c r="E18" s="253"/>
      <c r="F18" s="253"/>
      <c r="G18" s="253"/>
      <c r="H18" s="253"/>
      <c r="I18" s="157"/>
      <c r="J18" s="637"/>
    </row>
    <row r="19" spans="1:10">
      <c r="A19" s="262" t="s">
        <v>273</v>
      </c>
      <c r="B19" s="267"/>
      <c r="C19" s="140"/>
      <c r="D19" s="262"/>
      <c r="E19" s="262"/>
      <c r="F19" s="262"/>
      <c r="G19" s="262"/>
      <c r="H19" s="262"/>
      <c r="I19" s="262"/>
      <c r="J19" s="262"/>
    </row>
    <row r="20" spans="1:10">
      <c r="A20" s="48"/>
      <c r="B20" s="401" t="s">
        <v>272</v>
      </c>
      <c r="C20" s="350"/>
      <c r="D20" s="698"/>
      <c r="E20" s="670"/>
      <c r="F20" s="659"/>
      <c r="G20" s="671"/>
      <c r="H20" s="672"/>
      <c r="I20" s="699"/>
      <c r="J20" s="347"/>
    </row>
    <row r="21" spans="1:10">
      <c r="A21" s="48"/>
      <c r="B21" s="615"/>
      <c r="C21" s="615" t="s">
        <v>652</v>
      </c>
      <c r="D21" s="669"/>
      <c r="E21" s="670"/>
      <c r="F21" s="659"/>
      <c r="G21" s="671"/>
      <c r="H21" s="672"/>
      <c r="I21" s="364"/>
      <c r="J21" s="348"/>
    </row>
    <row r="22" spans="1:10">
      <c r="A22" s="48"/>
      <c r="B22" s="700"/>
      <c r="C22" s="615" t="s">
        <v>653</v>
      </c>
      <c r="D22" s="673"/>
      <c r="E22" s="673"/>
      <c r="F22" s="688"/>
      <c r="G22" s="674"/>
      <c r="H22" s="674"/>
      <c r="I22" s="674"/>
      <c r="J22" s="179"/>
    </row>
    <row r="23" spans="1:10">
      <c r="A23" s="48"/>
      <c r="B23" s="97"/>
      <c r="C23" s="615" t="s">
        <v>654</v>
      </c>
      <c r="D23" s="673"/>
      <c r="E23" s="673"/>
      <c r="F23" s="688"/>
      <c r="G23" s="689"/>
      <c r="H23" s="676"/>
      <c r="I23" s="690"/>
      <c r="J23" s="179"/>
    </row>
    <row r="24" spans="1:10">
      <c r="A24" s="48"/>
      <c r="B24" s="97"/>
      <c r="C24" s="615"/>
      <c r="D24" s="675"/>
      <c r="E24" s="675"/>
      <c r="F24" s="671"/>
      <c r="G24" s="671"/>
      <c r="H24" s="677"/>
      <c r="I24" s="690"/>
      <c r="J24" s="349"/>
    </row>
    <row r="25" spans="1:10" ht="15">
      <c r="A25" s="48"/>
      <c r="B25" s="97"/>
      <c r="C25" s="361" t="s">
        <v>655</v>
      </c>
      <c r="D25" s="695"/>
      <c r="E25" s="658"/>
      <c r="F25" s="686"/>
      <c r="G25" s="703" t="s">
        <v>660</v>
      </c>
      <c r="H25" s="661" t="s">
        <v>656</v>
      </c>
      <c r="I25" s="690" t="s">
        <v>657</v>
      </c>
      <c r="J25" s="349"/>
    </row>
    <row r="26" spans="1:10">
      <c r="A26" s="48"/>
      <c r="B26" s="97"/>
      <c r="C26" s="615"/>
      <c r="D26" s="663"/>
      <c r="E26" s="658"/>
      <c r="F26" s="663"/>
      <c r="G26" s="664"/>
      <c r="H26" s="664"/>
      <c r="I26" s="353"/>
      <c r="J26" s="349"/>
    </row>
    <row r="27" spans="1:10" ht="15">
      <c r="A27" s="48"/>
      <c r="B27" s="97"/>
      <c r="C27" s="615" t="s">
        <v>658</v>
      </c>
      <c r="D27" s="701"/>
      <c r="E27" s="658"/>
      <c r="F27" s="697"/>
      <c r="G27" s="349"/>
      <c r="H27" s="367"/>
      <c r="I27" s="702" t="s">
        <v>659</v>
      </c>
      <c r="J27" s="349"/>
    </row>
    <row r="28" spans="1:10">
      <c r="A28" s="48"/>
      <c r="B28" s="97"/>
      <c r="C28" s="615"/>
      <c r="D28" s="638"/>
      <c r="E28" s="638"/>
      <c r="F28" s="350"/>
      <c r="G28" s="350"/>
      <c r="H28" s="350"/>
      <c r="I28" s="350"/>
      <c r="J28" s="349"/>
    </row>
    <row r="29" spans="1:10">
      <c r="A29" s="48"/>
      <c r="B29" s="97"/>
      <c r="C29" s="48" t="s">
        <v>661</v>
      </c>
      <c r="D29" s="178"/>
      <c r="E29" s="178"/>
      <c r="F29" s="343"/>
      <c r="G29" s="343"/>
      <c r="H29" s="343"/>
      <c r="I29" s="178"/>
      <c r="J29" s="178"/>
    </row>
    <row r="30" spans="1:10" ht="15.4">
      <c r="A30" s="48"/>
      <c r="B30" s="256"/>
      <c r="C30" s="656"/>
      <c r="D30" s="41"/>
      <c r="E30" s="41"/>
      <c r="F30" s="63"/>
      <c r="G30" s="63"/>
      <c r="H30" s="63"/>
      <c r="I30" s="41"/>
      <c r="J30" s="41"/>
    </row>
    <row r="31" spans="1:10">
      <c r="A31" s="48"/>
      <c r="B31" s="63"/>
      <c r="C31" s="99" t="s">
        <v>662</v>
      </c>
      <c r="D31" s="63"/>
      <c r="E31" s="63"/>
      <c r="F31" s="63"/>
      <c r="G31" s="63"/>
      <c r="H31" s="63"/>
      <c r="I31" s="63"/>
      <c r="J31" s="41"/>
    </row>
    <row r="32" spans="1:10">
      <c r="A32" s="48"/>
      <c r="B32" s="106"/>
      <c r="C32" s="48" t="s">
        <v>663</v>
      </c>
      <c r="D32" s="41"/>
      <c r="E32" s="41"/>
      <c r="F32" s="100"/>
      <c r="G32" s="28"/>
      <c r="H32" s="41"/>
      <c r="I32" s="41"/>
      <c r="J32" s="41"/>
    </row>
    <row r="33" spans="1:10" ht="15.4">
      <c r="A33" s="48"/>
      <c r="B33" s="127"/>
      <c r="C33" s="247"/>
      <c r="D33" s="127"/>
      <c r="E33" s="127"/>
      <c r="F33" s="313"/>
      <c r="G33" s="28"/>
      <c r="H33" s="313"/>
      <c r="I33" s="127"/>
      <c r="J33" s="127"/>
    </row>
    <row r="34" spans="1:10" ht="15.4">
      <c r="A34" s="48"/>
      <c r="B34" s="127"/>
      <c r="C34" s="247" t="s">
        <v>664</v>
      </c>
      <c r="D34" s="127"/>
      <c r="E34" s="127"/>
      <c r="F34" s="313"/>
      <c r="G34" s="28"/>
      <c r="H34" s="313"/>
      <c r="I34" s="127"/>
      <c r="J34" s="127"/>
    </row>
    <row r="35" spans="1:10" ht="15.4">
      <c r="A35" s="48"/>
      <c r="B35" s="127"/>
      <c r="C35" s="247" t="s">
        <v>665</v>
      </c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126" t="s">
        <v>10</v>
      </c>
      <c r="C39" s="41"/>
      <c r="D39" s="41"/>
      <c r="E39" s="693"/>
      <c r="F39" s="693"/>
      <c r="G39" s="610" t="s">
        <v>666</v>
      </c>
      <c r="H39" s="694"/>
      <c r="I39" s="694"/>
      <c r="J39" s="41"/>
    </row>
    <row r="40" spans="1:10">
      <c r="A40" s="48"/>
      <c r="B40" s="636"/>
      <c r="C40" s="74"/>
      <c r="D40" s="637"/>
      <c r="E40" s="59"/>
      <c r="F40" s="59"/>
      <c r="G40" s="59"/>
      <c r="H40" s="59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5" t="s">
        <v>287</v>
      </c>
      <c r="G41" s="295"/>
      <c r="H41" s="186"/>
      <c r="I41" s="41"/>
      <c r="J41" s="41"/>
    </row>
    <row r="42" spans="1:10">
      <c r="A42" s="48"/>
      <c r="B42" s="97"/>
      <c r="C42" s="97"/>
      <c r="D42" s="97"/>
      <c r="E42" s="97"/>
      <c r="F42" s="97"/>
      <c r="G42" s="97"/>
      <c r="H42" s="97"/>
      <c r="I42" s="41"/>
      <c r="J42" s="41"/>
    </row>
    <row r="43" spans="1:10">
      <c r="A43" s="48"/>
      <c r="B43" s="189"/>
      <c r="C43" s="189"/>
      <c r="D43" s="189"/>
      <c r="E43" s="189"/>
      <c r="F43" s="189"/>
      <c r="G43" s="189"/>
      <c r="H43" s="189"/>
      <c r="I43" s="637"/>
      <c r="J43" s="637"/>
    </row>
    <row r="44" spans="1:10">
      <c r="A44" s="48"/>
      <c r="B44" s="206" t="s">
        <v>288</v>
      </c>
      <c r="C44" s="296"/>
      <c r="D44" s="296"/>
      <c r="E44" s="179"/>
      <c r="F44" s="206" t="s">
        <v>288</v>
      </c>
      <c r="G44" s="296"/>
      <c r="H44" s="296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6:G6"/>
  </mergeCells>
  <pageMargins left="0.25" right="0.10833333333333334" top="0.37820512820512819" bottom="0.6858974358974359" header="0.3" footer="0.3"/>
  <pageSetup paperSize="9" orientation="portrait" horizont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21CB-72E1-478C-8C91-9ED0ED554BA2}">
  <sheetPr codeName="Лист54">
    <tabColor theme="8" tint="0.39997558519241921"/>
  </sheetPr>
  <dimension ref="A1:J54"/>
  <sheetViews>
    <sheetView view="pageLayout" topLeftCell="A7" zoomScaleNormal="100" zoomScaleSheetLayoutView="110" workbookViewId="0">
      <selection activeCell="C29" sqref="C29"/>
    </sheetView>
  </sheetViews>
  <sheetFormatPr defaultColWidth="8.86328125" defaultRowHeight="14.25"/>
  <cols>
    <col min="1" max="1" width="4.6640625" customWidth="1"/>
    <col min="2" max="2" width="15.33203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8" max="8" width="9.796875" customWidth="1"/>
    <col min="9" max="9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58"/>
      <c r="D3" s="58"/>
      <c r="E3" s="58"/>
      <c r="F3" s="102"/>
      <c r="G3" s="243"/>
      <c r="H3" s="109"/>
      <c r="I3" s="109"/>
      <c r="J3" s="106"/>
    </row>
    <row r="4" spans="1:10" ht="15" customHeight="1">
      <c r="A4" s="48"/>
      <c r="B4" s="246"/>
      <c r="C4" s="111"/>
      <c r="D4" s="111"/>
      <c r="E4" s="111"/>
      <c r="F4" s="104"/>
      <c r="G4" s="244"/>
      <c r="H4" s="245"/>
      <c r="I4" s="245"/>
      <c r="J4" s="106"/>
    </row>
    <row r="5" spans="1:10" ht="15" customHeight="1">
      <c r="A5" s="48"/>
      <c r="B5" s="59"/>
      <c r="C5" s="59"/>
      <c r="D5" s="59"/>
      <c r="E5" s="59"/>
      <c r="F5" s="59"/>
      <c r="G5" s="59"/>
      <c r="H5" s="60"/>
      <c r="I5" s="60"/>
      <c r="J5" s="60"/>
    </row>
    <row r="6" spans="1:10" ht="17.25">
      <c r="A6" s="48"/>
      <c r="B6" s="247"/>
      <c r="C6" s="1108" t="s">
        <v>267</v>
      </c>
      <c r="D6" s="1108"/>
      <c r="E6" s="1108"/>
      <c r="F6" s="1108"/>
      <c r="G6" s="1108"/>
      <c r="H6" s="247"/>
      <c r="I6" s="60"/>
      <c r="J6" s="60"/>
    </row>
    <row r="7" spans="1:10">
      <c r="A7" s="48"/>
      <c r="B7" s="100"/>
      <c r="C7" s="100"/>
      <c r="D7" s="640" t="s">
        <v>667</v>
      </c>
      <c r="E7" s="100"/>
      <c r="F7" s="100"/>
      <c r="G7" s="100"/>
      <c r="H7" s="100"/>
      <c r="I7" s="60"/>
      <c r="J7" s="60"/>
    </row>
    <row r="8" spans="1:10">
      <c r="A8" s="48"/>
      <c r="B8" s="60"/>
      <c r="C8" s="639"/>
      <c r="D8" s="99"/>
      <c r="E8" s="639"/>
      <c r="F8" s="639"/>
      <c r="G8" s="639"/>
      <c r="H8" s="639"/>
      <c r="I8" s="60"/>
      <c r="J8" s="60"/>
    </row>
    <row r="9" spans="1:10">
      <c r="A9" s="48"/>
      <c r="B9" s="60"/>
      <c r="C9" s="100"/>
      <c r="D9" s="60"/>
      <c r="E9" s="60"/>
      <c r="F9" s="60"/>
      <c r="G9" s="60"/>
      <c r="H9" s="60"/>
      <c r="I9" s="60"/>
      <c r="J9" s="60"/>
    </row>
    <row r="10" spans="1:10">
      <c r="A10" s="48"/>
      <c r="B10" s="124" t="s">
        <v>268</v>
      </c>
      <c r="C10" s="122"/>
      <c r="D10" s="122"/>
      <c r="E10" s="60"/>
      <c r="F10" s="60"/>
      <c r="G10" s="492"/>
      <c r="H10" s="60"/>
      <c r="I10" s="60"/>
      <c r="J10" s="60"/>
    </row>
    <row r="11" spans="1:10">
      <c r="A11" s="48"/>
      <c r="B11" s="316" t="s">
        <v>301</v>
      </c>
      <c r="C11" s="122"/>
      <c r="D11" s="123"/>
      <c r="E11" s="59"/>
      <c r="F11" s="59"/>
      <c r="G11" s="59"/>
      <c r="H11" s="98"/>
      <c r="I11" s="63"/>
      <c r="J11" s="60"/>
    </row>
    <row r="12" spans="1:10">
      <c r="A12" s="48"/>
      <c r="B12" s="243" t="s">
        <v>638</v>
      </c>
      <c r="C12" s="83"/>
      <c r="D12" s="83"/>
      <c r="E12" s="60"/>
      <c r="F12" s="60"/>
      <c r="G12" s="641"/>
      <c r="H12" s="41"/>
      <c r="I12" s="41"/>
      <c r="J12" s="60"/>
    </row>
    <row r="13" spans="1:10" ht="15" customHeight="1">
      <c r="A13" s="48"/>
      <c r="B13" s="316" t="s">
        <v>569</v>
      </c>
      <c r="C13" s="83"/>
      <c r="D13" s="83"/>
      <c r="E13" s="94"/>
      <c r="F13" s="60"/>
      <c r="G13" s="685"/>
      <c r="H13" s="41"/>
      <c r="I13" s="41"/>
      <c r="J13" s="60"/>
    </row>
    <row r="14" spans="1:10" ht="15" customHeight="1">
      <c r="A14" s="48"/>
      <c r="B14" s="316"/>
      <c r="C14" s="108"/>
      <c r="D14" s="63"/>
      <c r="E14" s="63"/>
      <c r="F14" s="63"/>
      <c r="G14" s="63"/>
      <c r="H14" s="63"/>
      <c r="I14" s="63"/>
      <c r="J14" s="41"/>
    </row>
    <row r="15" spans="1:10" ht="15" customHeight="1">
      <c r="A15" s="125"/>
      <c r="B15" s="316" t="s">
        <v>2</v>
      </c>
      <c r="C15" s="643"/>
      <c r="D15" s="318"/>
      <c r="E15" s="125"/>
      <c r="F15" s="125"/>
      <c r="G15" s="125"/>
      <c r="H15" s="125"/>
      <c r="I15" s="125"/>
      <c r="J15" s="125"/>
    </row>
    <row r="16" spans="1:10">
      <c r="A16" s="125"/>
      <c r="B16" s="316" t="s">
        <v>2</v>
      </c>
      <c r="C16" s="643"/>
      <c r="D16" s="318"/>
      <c r="E16" s="304"/>
      <c r="F16" s="304"/>
      <c r="G16" s="125"/>
      <c r="H16" s="125"/>
      <c r="I16" s="125"/>
      <c r="J16" s="125"/>
    </row>
    <row r="17" spans="1:10">
      <c r="A17" s="48"/>
      <c r="B17" s="205"/>
      <c r="C17" s="146"/>
      <c r="D17" s="146"/>
      <c r="E17" s="146"/>
      <c r="F17" s="100"/>
      <c r="G17" s="60"/>
      <c r="H17" s="60"/>
      <c r="I17" s="60"/>
      <c r="J17" s="60"/>
    </row>
    <row r="18" spans="1:10">
      <c r="A18" s="48"/>
      <c r="B18" s="314"/>
      <c r="C18" s="422" t="s">
        <v>16</v>
      </c>
      <c r="D18" s="253"/>
      <c r="E18" s="253"/>
      <c r="F18" s="253"/>
      <c r="G18" s="253"/>
      <c r="H18" s="253"/>
      <c r="I18" s="157"/>
      <c r="J18" s="637"/>
    </row>
    <row r="19" spans="1:10">
      <c r="A19" s="262" t="s">
        <v>273</v>
      </c>
      <c r="B19" s="267"/>
      <c r="C19" s="140"/>
      <c r="D19" s="262"/>
      <c r="E19" s="262"/>
      <c r="F19" s="262"/>
      <c r="G19" s="262"/>
      <c r="H19" s="262"/>
      <c r="I19" s="262"/>
      <c r="J19" s="262"/>
    </row>
    <row r="20" spans="1:10">
      <c r="A20" s="48"/>
      <c r="B20" s="401" t="s">
        <v>272</v>
      </c>
      <c r="C20" s="350"/>
      <c r="D20" s="698"/>
      <c r="E20" s="670"/>
      <c r="F20" s="659"/>
      <c r="G20" s="671"/>
      <c r="H20" s="672"/>
      <c r="I20" s="699"/>
      <c r="J20" s="347"/>
    </row>
    <row r="21" spans="1:10">
      <c r="A21" s="48"/>
      <c r="B21" s="615"/>
      <c r="C21" s="615" t="s">
        <v>668</v>
      </c>
      <c r="D21" s="669"/>
      <c r="E21" s="670"/>
      <c r="F21" s="659"/>
      <c r="G21" s="671"/>
      <c r="H21" s="672"/>
      <c r="I21" s="364"/>
      <c r="J21" s="348"/>
    </row>
    <row r="22" spans="1:10">
      <c r="A22" s="48"/>
      <c r="B22" s="700"/>
      <c r="C22" s="615" t="s">
        <v>669</v>
      </c>
      <c r="D22" s="673"/>
      <c r="E22" s="673"/>
      <c r="F22" s="688"/>
      <c r="G22" s="674"/>
      <c r="H22" s="674"/>
      <c r="I22" s="674"/>
      <c r="J22" s="179"/>
    </row>
    <row r="23" spans="1:10">
      <c r="A23" s="48"/>
      <c r="B23" s="97"/>
      <c r="C23" s="235"/>
      <c r="D23" s="383" t="s">
        <v>670</v>
      </c>
      <c r="E23" s="673"/>
      <c r="F23" s="688"/>
      <c r="G23" s="689"/>
      <c r="H23" s="676"/>
      <c r="I23" s="690"/>
      <c r="J23" s="179"/>
    </row>
    <row r="24" spans="1:10">
      <c r="A24" s="48"/>
      <c r="B24" s="97"/>
      <c r="C24" s="615"/>
      <c r="D24" s="675"/>
      <c r="E24" s="675"/>
      <c r="F24" s="671"/>
      <c r="G24" s="671"/>
      <c r="H24" s="677"/>
      <c r="I24" s="690"/>
      <c r="J24" s="349"/>
    </row>
    <row r="25" spans="1:10" ht="15">
      <c r="A25" s="48"/>
      <c r="B25" s="97"/>
      <c r="C25" s="361" t="s">
        <v>671</v>
      </c>
      <c r="D25" s="695"/>
      <c r="E25" s="658"/>
      <c r="F25" s="659"/>
      <c r="G25" s="703"/>
      <c r="H25" s="661"/>
      <c r="I25" s="690"/>
      <c r="J25" s="349"/>
    </row>
    <row r="26" spans="1:10">
      <c r="A26" s="48"/>
      <c r="B26" s="97"/>
      <c r="C26" s="615" t="s">
        <v>672</v>
      </c>
      <c r="D26" s="663"/>
      <c r="E26" s="658"/>
      <c r="F26" s="663"/>
      <c r="G26" s="664"/>
      <c r="H26" s="664"/>
      <c r="I26" s="353"/>
      <c r="J26" s="349"/>
    </row>
    <row r="27" spans="1:10" ht="15">
      <c r="A27" s="48"/>
      <c r="B27" s="97"/>
      <c r="C27" s="615" t="s">
        <v>673</v>
      </c>
      <c r="D27" s="701"/>
      <c r="E27" s="658"/>
      <c r="F27" s="697"/>
      <c r="G27" s="349"/>
      <c r="H27" s="349"/>
      <c r="I27" s="702"/>
      <c r="J27" s="349"/>
    </row>
    <row r="28" spans="1:10">
      <c r="A28" s="48"/>
      <c r="B28" s="97"/>
      <c r="C28" s="615"/>
      <c r="D28" s="638"/>
      <c r="E28" s="638"/>
      <c r="F28" s="350"/>
      <c r="G28" s="350"/>
      <c r="H28" s="350"/>
      <c r="I28" s="350"/>
      <c r="J28" s="349"/>
    </row>
    <row r="29" spans="1:10">
      <c r="A29" s="48"/>
      <c r="B29" s="97"/>
      <c r="C29" s="615"/>
      <c r="D29" s="178"/>
      <c r="E29" s="178"/>
      <c r="F29" s="343"/>
      <c r="G29" s="343"/>
      <c r="H29" s="343"/>
      <c r="I29" s="178"/>
      <c r="J29" s="178"/>
    </row>
    <row r="30" spans="1:10" ht="15.4">
      <c r="A30" s="48"/>
      <c r="B30" s="256"/>
      <c r="C30" s="634"/>
      <c r="D30" s="41"/>
      <c r="E30" s="41"/>
      <c r="F30" s="63"/>
      <c r="G30" s="63"/>
      <c r="H30" s="63"/>
      <c r="I30" s="41"/>
      <c r="J30" s="41"/>
    </row>
    <row r="31" spans="1:10">
      <c r="A31" s="48"/>
      <c r="B31" s="63"/>
      <c r="C31" s="177"/>
      <c r="D31" s="63"/>
      <c r="E31" s="63"/>
      <c r="F31" s="63"/>
      <c r="G31" s="63"/>
      <c r="H31" s="63"/>
      <c r="I31" s="63"/>
      <c r="J31" s="41"/>
    </row>
    <row r="32" spans="1:10">
      <c r="A32" s="48"/>
      <c r="B32" s="106"/>
      <c r="C32" s="615"/>
      <c r="D32" s="41"/>
      <c r="E32" s="41"/>
      <c r="F32" s="146"/>
      <c r="G32" s="28"/>
      <c r="H32" s="41"/>
      <c r="I32" s="41"/>
      <c r="J32" s="41"/>
    </row>
    <row r="33" spans="1:10" ht="15.4">
      <c r="A33" s="48"/>
      <c r="B33" s="127"/>
      <c r="C33" s="635"/>
      <c r="D33" s="127"/>
      <c r="E33" s="127"/>
      <c r="F33" s="313"/>
      <c r="G33" s="28"/>
      <c r="H33" s="313"/>
      <c r="I33" s="127"/>
      <c r="J33" s="127"/>
    </row>
    <row r="34" spans="1:10" ht="15.4">
      <c r="A34" s="48"/>
      <c r="B34" s="127"/>
      <c r="C34" s="635"/>
      <c r="D34" s="127"/>
      <c r="E34" s="127"/>
      <c r="F34" s="313"/>
      <c r="G34" s="28"/>
      <c r="H34" s="313"/>
      <c r="I34" s="127"/>
      <c r="J34" s="127"/>
    </row>
    <row r="35" spans="1:10" ht="15.4">
      <c r="A35" s="48"/>
      <c r="B35" s="127"/>
      <c r="C35" s="635"/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126" t="s">
        <v>10</v>
      </c>
      <c r="C39" s="41"/>
      <c r="D39" s="41"/>
      <c r="E39" s="693"/>
      <c r="F39" s="693"/>
      <c r="G39" s="610" t="s">
        <v>666</v>
      </c>
      <c r="H39" s="694"/>
      <c r="I39" s="694"/>
      <c r="J39" s="41"/>
    </row>
    <row r="40" spans="1:10">
      <c r="A40" s="48"/>
      <c r="B40" s="636"/>
      <c r="C40" s="74"/>
      <c r="D40" s="637"/>
      <c r="E40" s="59"/>
      <c r="F40" s="59"/>
      <c r="G40" s="59"/>
      <c r="H40" s="59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5" t="s">
        <v>287</v>
      </c>
      <c r="G41" s="295"/>
      <c r="H41" s="186"/>
      <c r="I41" s="41"/>
      <c r="J41" s="41"/>
    </row>
    <row r="42" spans="1:10">
      <c r="A42" s="48"/>
      <c r="B42" s="97"/>
      <c r="C42" s="97"/>
      <c r="D42" s="97"/>
      <c r="E42" s="97"/>
      <c r="F42" s="97"/>
      <c r="G42" s="97"/>
      <c r="H42" s="97"/>
      <c r="I42" s="41"/>
      <c r="J42" s="41"/>
    </row>
    <row r="43" spans="1:10">
      <c r="A43" s="48"/>
      <c r="B43" s="189"/>
      <c r="C43" s="189"/>
      <c r="D43" s="189"/>
      <c r="E43" s="189"/>
      <c r="F43" s="189"/>
      <c r="G43" s="189"/>
      <c r="H43" s="189"/>
      <c r="I43" s="637"/>
      <c r="J43" s="637"/>
    </row>
    <row r="44" spans="1:10">
      <c r="A44" s="48"/>
      <c r="B44" s="206" t="s">
        <v>288</v>
      </c>
      <c r="C44" s="296"/>
      <c r="D44" s="296"/>
      <c r="E44" s="179"/>
      <c r="F44" s="206" t="s">
        <v>288</v>
      </c>
      <c r="G44" s="296"/>
      <c r="H44" s="296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6:G6"/>
  </mergeCells>
  <pageMargins left="0.31666666666666665" right="0.10833333333333334" top="0.37820512820512819" bottom="0.6858974358974359" header="0.3" footer="0.3"/>
  <pageSetup paperSize="9" orientation="portrait" horizont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F4AD-FD10-4A1A-A92F-D3F259FF999C}">
  <sheetPr codeName="Лист55">
    <tabColor theme="8" tint="0.39997558519241921"/>
  </sheetPr>
  <dimension ref="A1:J54"/>
  <sheetViews>
    <sheetView view="pageLayout" topLeftCell="A4" zoomScaleNormal="100" zoomScaleSheetLayoutView="110" workbookViewId="0">
      <selection activeCell="C28" sqref="C28"/>
    </sheetView>
  </sheetViews>
  <sheetFormatPr defaultColWidth="8.86328125" defaultRowHeight="14.25"/>
  <cols>
    <col min="1" max="1" width="4.6640625" customWidth="1"/>
    <col min="2" max="2" width="15.33203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8" max="8" width="9.796875" customWidth="1"/>
    <col min="9" max="9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58"/>
      <c r="D3" s="58"/>
      <c r="E3" s="58"/>
      <c r="F3" s="102"/>
      <c r="G3" s="243"/>
      <c r="H3" s="109"/>
      <c r="I3" s="109"/>
      <c r="J3" s="106"/>
    </row>
    <row r="4" spans="1:10" ht="15" customHeight="1">
      <c r="A4" s="48"/>
      <c r="B4" s="246"/>
      <c r="C4" s="111"/>
      <c r="D4" s="111"/>
      <c r="E4" s="111"/>
      <c r="F4" s="104"/>
      <c r="G4" s="244"/>
      <c r="H4" s="245"/>
      <c r="I4" s="245"/>
      <c r="J4" s="106"/>
    </row>
    <row r="5" spans="1:10" ht="15" customHeight="1">
      <c r="A5" s="48"/>
      <c r="B5" s="59"/>
      <c r="C5" s="59"/>
      <c r="D5" s="59"/>
      <c r="E5" s="59"/>
      <c r="F5" s="59"/>
      <c r="G5" s="59"/>
      <c r="H5" s="60"/>
      <c r="I5" s="60"/>
      <c r="J5" s="60"/>
    </row>
    <row r="6" spans="1:10" ht="17.25">
      <c r="A6" s="48"/>
      <c r="B6" s="247"/>
      <c r="C6" s="1108" t="s">
        <v>267</v>
      </c>
      <c r="D6" s="1108"/>
      <c r="E6" s="1108"/>
      <c r="F6" s="1108"/>
      <c r="G6" s="1108"/>
      <c r="H6" s="247"/>
      <c r="I6" s="60"/>
      <c r="J6" s="60"/>
    </row>
    <row r="7" spans="1:10">
      <c r="A7" s="48"/>
      <c r="B7" s="100"/>
      <c r="C7" s="100"/>
      <c r="D7" s="640" t="s">
        <v>667</v>
      </c>
      <c r="E7" s="100"/>
      <c r="F7" s="100"/>
      <c r="G7" s="100"/>
      <c r="H7" s="100"/>
      <c r="I7" s="60"/>
      <c r="J7" s="60"/>
    </row>
    <row r="8" spans="1:10">
      <c r="A8" s="48"/>
      <c r="B8" s="60"/>
      <c r="C8" s="639"/>
      <c r="D8" s="99"/>
      <c r="E8" s="639"/>
      <c r="F8" s="639"/>
      <c r="G8" s="639"/>
      <c r="H8" s="639"/>
      <c r="I8" s="60"/>
      <c r="J8" s="60"/>
    </row>
    <row r="9" spans="1:10">
      <c r="A9" s="48"/>
      <c r="B9" s="60"/>
      <c r="C9" s="100"/>
      <c r="D9" s="60"/>
      <c r="E9" s="60"/>
      <c r="F9" s="60"/>
      <c r="G9" s="60"/>
      <c r="H9" s="60"/>
      <c r="I9" s="60"/>
      <c r="J9" s="60"/>
    </row>
    <row r="10" spans="1:10">
      <c r="A10" s="48"/>
      <c r="B10" s="124" t="s">
        <v>268</v>
      </c>
      <c r="C10" s="122"/>
      <c r="D10" s="122"/>
      <c r="E10" s="60"/>
      <c r="F10" s="60"/>
      <c r="G10" s="492"/>
      <c r="H10" s="60"/>
      <c r="I10" s="60"/>
      <c r="J10" s="60"/>
    </row>
    <row r="11" spans="1:10">
      <c r="A11" s="48"/>
      <c r="B11" s="316" t="s">
        <v>301</v>
      </c>
      <c r="C11" s="122"/>
      <c r="D11" s="123"/>
      <c r="E11" s="59"/>
      <c r="F11" s="59"/>
      <c r="G11" s="59"/>
      <c r="H11" s="98"/>
      <c r="I11" s="63"/>
      <c r="J11" s="60"/>
    </row>
    <row r="12" spans="1:10">
      <c r="A12" s="48"/>
      <c r="B12" s="243" t="s">
        <v>638</v>
      </c>
      <c r="C12" s="83"/>
      <c r="D12" s="83"/>
      <c r="E12" s="60"/>
      <c r="F12" s="60"/>
      <c r="G12" s="641"/>
      <c r="H12" s="41"/>
      <c r="I12" s="41"/>
      <c r="J12" s="60"/>
    </row>
    <row r="13" spans="1:10" ht="15" customHeight="1">
      <c r="A13" s="48"/>
      <c r="B13" s="316" t="s">
        <v>569</v>
      </c>
      <c r="C13" s="83"/>
      <c r="D13" s="83"/>
      <c r="E13" s="94"/>
      <c r="F13" s="60"/>
      <c r="G13" s="685"/>
      <c r="H13" s="41"/>
      <c r="I13" s="41"/>
      <c r="J13" s="60"/>
    </row>
    <row r="14" spans="1:10" ht="15" customHeight="1">
      <c r="A14" s="48"/>
      <c r="B14" s="316"/>
      <c r="C14" s="108"/>
      <c r="D14" s="63"/>
      <c r="E14" s="63"/>
      <c r="F14" s="63"/>
      <c r="G14" s="63"/>
      <c r="H14" s="63"/>
      <c r="I14" s="63"/>
      <c r="J14" s="41"/>
    </row>
    <row r="15" spans="1:10" ht="15" customHeight="1">
      <c r="A15" s="125"/>
      <c r="B15" s="316" t="s">
        <v>2</v>
      </c>
      <c r="C15" s="643"/>
      <c r="D15" s="318"/>
      <c r="E15" s="125"/>
      <c r="F15" s="125"/>
      <c r="G15" s="125"/>
      <c r="H15" s="125"/>
      <c r="I15" s="125"/>
      <c r="J15" s="125"/>
    </row>
    <row r="16" spans="1:10">
      <c r="A16" s="125"/>
      <c r="B16" s="316" t="s">
        <v>2</v>
      </c>
      <c r="C16" s="643"/>
      <c r="D16" s="318"/>
      <c r="E16" s="304"/>
      <c r="F16" s="304"/>
      <c r="G16" s="125"/>
      <c r="H16" s="125"/>
      <c r="I16" s="125"/>
      <c r="J16" s="125"/>
    </row>
    <row r="17" spans="1:10">
      <c r="A17" s="48"/>
      <c r="B17" s="205"/>
      <c r="C17" s="146"/>
      <c r="D17" s="146"/>
      <c r="E17" s="146"/>
      <c r="F17" s="100"/>
      <c r="G17" s="60"/>
      <c r="H17" s="60"/>
      <c r="I17" s="60"/>
      <c r="J17" s="60"/>
    </row>
    <row r="18" spans="1:10">
      <c r="A18" s="48"/>
      <c r="B18" s="314"/>
      <c r="C18" s="422" t="s">
        <v>16</v>
      </c>
      <c r="D18" s="253"/>
      <c r="E18" s="253"/>
      <c r="F18" s="253"/>
      <c r="G18" s="253"/>
      <c r="H18" s="253"/>
      <c r="I18" s="157"/>
      <c r="J18" s="637"/>
    </row>
    <row r="19" spans="1:10">
      <c r="A19" s="262" t="s">
        <v>273</v>
      </c>
      <c r="B19" s="267"/>
      <c r="C19" s="140"/>
      <c r="D19" s="262"/>
      <c r="E19" s="262"/>
      <c r="F19" s="262"/>
      <c r="G19" s="262"/>
      <c r="H19" s="262"/>
      <c r="I19" s="262"/>
      <c r="J19" s="262"/>
    </row>
    <row r="20" spans="1:10">
      <c r="A20" s="48"/>
      <c r="B20" s="401" t="s">
        <v>272</v>
      </c>
      <c r="C20" s="350"/>
      <c r="D20" s="698"/>
      <c r="E20" s="670"/>
      <c r="F20" s="659"/>
      <c r="G20" s="671"/>
      <c r="H20" s="672"/>
      <c r="I20" s="699"/>
      <c r="J20" s="347"/>
    </row>
    <row r="21" spans="1:10">
      <c r="A21" s="48"/>
      <c r="B21" s="615"/>
      <c r="C21" s="615" t="s">
        <v>674</v>
      </c>
      <c r="D21" s="669"/>
      <c r="E21" s="670"/>
      <c r="F21" s="659"/>
      <c r="G21" s="671"/>
      <c r="H21" s="672"/>
      <c r="I21" s="364"/>
      <c r="J21" s="348"/>
    </row>
    <row r="22" spans="1:10">
      <c r="A22" s="48"/>
      <c r="B22" s="700"/>
      <c r="C22" s="615" t="s">
        <v>675</v>
      </c>
      <c r="D22" s="673"/>
      <c r="E22" s="673"/>
      <c r="F22" s="688"/>
      <c r="G22" s="674"/>
      <c r="H22" s="674"/>
      <c r="I22" s="674"/>
      <c r="J22" s="179"/>
    </row>
    <row r="23" spans="1:10">
      <c r="A23" s="48"/>
      <c r="B23" s="97"/>
      <c r="C23" s="615" t="s">
        <v>676</v>
      </c>
      <c r="D23" s="383"/>
      <c r="E23" s="673"/>
      <c r="F23" s="688"/>
      <c r="G23" s="689"/>
      <c r="H23" s="676"/>
      <c r="I23" s="690"/>
      <c r="J23" s="179"/>
    </row>
    <row r="24" spans="1:10">
      <c r="A24" s="48"/>
      <c r="B24" s="97"/>
      <c r="C24" s="615" t="s">
        <v>677</v>
      </c>
      <c r="D24" s="675"/>
      <c r="E24" s="675"/>
      <c r="F24" s="671"/>
      <c r="G24" s="671"/>
      <c r="H24" s="677"/>
      <c r="I24" s="690"/>
      <c r="J24" s="349"/>
    </row>
    <row r="25" spans="1:10" ht="15">
      <c r="A25" s="48"/>
      <c r="B25" s="97"/>
      <c r="C25" s="615"/>
      <c r="D25" s="695"/>
      <c r="E25" s="658"/>
      <c r="F25" s="659"/>
      <c r="G25" s="703"/>
      <c r="H25" s="661"/>
      <c r="I25" s="690"/>
      <c r="J25" s="349"/>
    </row>
    <row r="26" spans="1:10">
      <c r="A26" s="48"/>
      <c r="B26" s="97"/>
      <c r="C26" s="615"/>
      <c r="D26" s="663"/>
      <c r="E26" s="658"/>
      <c r="F26" s="663"/>
      <c r="G26" s="664"/>
      <c r="H26" s="664"/>
      <c r="I26" s="353"/>
      <c r="J26" s="349"/>
    </row>
    <row r="27" spans="1:10" ht="15">
      <c r="A27" s="48"/>
      <c r="B27" s="97"/>
      <c r="C27" s="615"/>
      <c r="D27" s="701"/>
      <c r="E27" s="658"/>
      <c r="F27" s="697"/>
      <c r="G27" s="349"/>
      <c r="H27" s="349"/>
      <c r="I27" s="702"/>
      <c r="J27" s="349"/>
    </row>
    <row r="28" spans="1:10">
      <c r="A28" s="48"/>
      <c r="B28" s="97"/>
      <c r="C28" s="615"/>
      <c r="D28" s="638"/>
      <c r="E28" s="638"/>
      <c r="F28" s="350"/>
      <c r="G28" s="350"/>
      <c r="H28" s="350"/>
      <c r="I28" s="350"/>
      <c r="J28" s="349"/>
    </row>
    <row r="29" spans="1:10">
      <c r="A29" s="48"/>
      <c r="B29" s="97"/>
      <c r="C29" s="615"/>
      <c r="D29" s="178"/>
      <c r="E29" s="178"/>
      <c r="F29" s="343"/>
      <c r="G29" s="343"/>
      <c r="H29" s="343"/>
      <c r="I29" s="178"/>
      <c r="J29" s="178"/>
    </row>
    <row r="30" spans="1:10" ht="15.4">
      <c r="A30" s="48"/>
      <c r="B30" s="256"/>
      <c r="C30" s="634"/>
      <c r="D30" s="41"/>
      <c r="E30" s="41"/>
      <c r="F30" s="63"/>
      <c r="G30" s="63"/>
      <c r="H30" s="63"/>
      <c r="I30" s="41"/>
      <c r="J30" s="41"/>
    </row>
    <row r="31" spans="1:10">
      <c r="A31" s="48"/>
      <c r="B31" s="63"/>
      <c r="C31" s="177"/>
      <c r="D31" s="63"/>
      <c r="E31" s="63"/>
      <c r="F31" s="63"/>
      <c r="G31" s="63"/>
      <c r="H31" s="63"/>
      <c r="I31" s="63"/>
      <c r="J31" s="41"/>
    </row>
    <row r="32" spans="1:10">
      <c r="A32" s="48"/>
      <c r="B32" s="106"/>
      <c r="C32" s="615"/>
      <c r="D32" s="41"/>
      <c r="E32" s="41"/>
      <c r="F32" s="146"/>
      <c r="G32" s="28"/>
      <c r="H32" s="41"/>
      <c r="I32" s="41"/>
      <c r="J32" s="41"/>
    </row>
    <row r="33" spans="1:10" ht="15.4">
      <c r="A33" s="48"/>
      <c r="B33" s="127"/>
      <c r="C33" s="635"/>
      <c r="D33" s="127"/>
      <c r="E33" s="127"/>
      <c r="F33" s="313"/>
      <c r="G33" s="28"/>
      <c r="H33" s="313"/>
      <c r="I33" s="127"/>
      <c r="J33" s="127"/>
    </row>
    <row r="34" spans="1:10" ht="15.4">
      <c r="A34" s="48"/>
      <c r="B34" s="127"/>
      <c r="C34" s="635"/>
      <c r="D34" s="127"/>
      <c r="E34" s="127"/>
      <c r="F34" s="313"/>
      <c r="G34" s="28"/>
      <c r="H34" s="313"/>
      <c r="I34" s="127"/>
      <c r="J34" s="127"/>
    </row>
    <row r="35" spans="1:10" ht="15.4">
      <c r="A35" s="48"/>
      <c r="B35" s="127"/>
      <c r="C35" s="635"/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126" t="s">
        <v>10</v>
      </c>
      <c r="C39" s="41"/>
      <c r="D39" s="41"/>
      <c r="E39" s="693"/>
      <c r="F39" s="693"/>
      <c r="G39" s="610" t="s">
        <v>684</v>
      </c>
      <c r="H39" s="694"/>
      <c r="I39" s="694"/>
      <c r="J39" s="41"/>
    </row>
    <row r="40" spans="1:10">
      <c r="A40" s="48"/>
      <c r="B40" s="636"/>
      <c r="C40" s="74"/>
      <c r="D40" s="637"/>
      <c r="E40" s="59"/>
      <c r="F40" s="59"/>
      <c r="G40" s="59"/>
      <c r="H40" s="59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5" t="s">
        <v>287</v>
      </c>
      <c r="G41" s="295"/>
      <c r="H41" s="186"/>
      <c r="I41" s="41"/>
      <c r="J41" s="41"/>
    </row>
    <row r="42" spans="1:10">
      <c r="A42" s="48"/>
      <c r="B42" s="97"/>
      <c r="C42" s="97"/>
      <c r="D42" s="97"/>
      <c r="E42" s="97"/>
      <c r="F42" s="97"/>
      <c r="G42" s="97"/>
      <c r="H42" s="97"/>
      <c r="I42" s="41"/>
      <c r="J42" s="41"/>
    </row>
    <row r="43" spans="1:10">
      <c r="A43" s="48"/>
      <c r="B43" s="189"/>
      <c r="C43" s="189"/>
      <c r="D43" s="189"/>
      <c r="E43" s="189"/>
      <c r="F43" s="189"/>
      <c r="G43" s="189"/>
      <c r="H43" s="189"/>
      <c r="I43" s="637"/>
      <c r="J43" s="637"/>
    </row>
    <row r="44" spans="1:10">
      <c r="A44" s="48"/>
      <c r="B44" s="206" t="s">
        <v>288</v>
      </c>
      <c r="C44" s="296"/>
      <c r="D44" s="296"/>
      <c r="E44" s="179"/>
      <c r="F44" s="206" t="s">
        <v>288</v>
      </c>
      <c r="G44" s="296"/>
      <c r="H44" s="296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6:G6"/>
  </mergeCells>
  <pageMargins left="0.31666666666666665" right="0.10833333333333334" top="0.37820512820512819" bottom="0.6858974358974359" header="0.3" footer="0.3"/>
  <pageSetup paperSize="9" orientation="portrait" horizont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E084-BB72-4B12-9682-6715F75C4C42}">
  <sheetPr codeName="Лист56">
    <tabColor theme="8" tint="0.39997558519241921"/>
  </sheetPr>
  <dimension ref="A1:J54"/>
  <sheetViews>
    <sheetView view="pageLayout" topLeftCell="A10" zoomScaleNormal="100" zoomScaleSheetLayoutView="110" workbookViewId="0">
      <selection activeCell="B47" sqref="B47"/>
    </sheetView>
  </sheetViews>
  <sheetFormatPr defaultColWidth="8.86328125" defaultRowHeight="14.25"/>
  <cols>
    <col min="1" max="1" width="4.6640625" customWidth="1"/>
    <col min="2" max="2" width="15.33203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8" max="8" width="9.796875" customWidth="1"/>
    <col min="9" max="9" width="10.1328125" bestFit="1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58"/>
      <c r="D3" s="58"/>
      <c r="E3" s="58"/>
      <c r="F3" s="102"/>
      <c r="G3" s="243"/>
      <c r="H3" s="109"/>
      <c r="I3" s="109"/>
      <c r="J3" s="106"/>
    </row>
    <row r="4" spans="1:10" ht="15" customHeight="1">
      <c r="A4" s="48"/>
      <c r="B4" s="246"/>
      <c r="C4" s="111"/>
      <c r="D4" s="111"/>
      <c r="E4" s="111"/>
      <c r="F4" s="104"/>
      <c r="G4" s="244"/>
      <c r="H4" s="245"/>
      <c r="I4" s="245"/>
      <c r="J4" s="106"/>
    </row>
    <row r="5" spans="1:10" ht="15" customHeight="1">
      <c r="A5" s="48"/>
      <c r="B5" s="59"/>
      <c r="C5" s="59"/>
      <c r="D5" s="59"/>
      <c r="E5" s="59"/>
      <c r="F5" s="59"/>
      <c r="G5" s="59"/>
      <c r="H5" s="60"/>
      <c r="I5" s="60"/>
      <c r="J5" s="60"/>
    </row>
    <row r="6" spans="1:10" ht="17.25">
      <c r="A6" s="48"/>
      <c r="B6" s="247"/>
      <c r="C6" s="1108" t="s">
        <v>267</v>
      </c>
      <c r="D6" s="1108"/>
      <c r="E6" s="1108"/>
      <c r="F6" s="1108"/>
      <c r="G6" s="1108"/>
      <c r="H6" s="247"/>
      <c r="I6" s="60"/>
      <c r="J6" s="60"/>
    </row>
    <row r="7" spans="1:10">
      <c r="A7" s="48"/>
      <c r="B7" s="100"/>
      <c r="C7" s="100"/>
      <c r="D7" s="683" t="s">
        <v>678</v>
      </c>
      <c r="E7" s="100"/>
      <c r="F7" s="100"/>
      <c r="G7" s="100"/>
      <c r="H7" s="100"/>
      <c r="I7" s="60"/>
      <c r="J7" s="60"/>
    </row>
    <row r="8" spans="1:10">
      <c r="A8" s="48"/>
      <c r="B8" s="60"/>
      <c r="C8" s="682"/>
      <c r="D8" s="99"/>
      <c r="E8" s="682"/>
      <c r="F8" s="682"/>
      <c r="G8" s="682"/>
      <c r="H8" s="682"/>
      <c r="I8" s="60"/>
      <c r="J8" s="60"/>
    </row>
    <row r="9" spans="1:10">
      <c r="A9" s="48"/>
      <c r="B9" s="60"/>
      <c r="C9" s="100"/>
      <c r="D9" s="60"/>
      <c r="E9" s="60"/>
      <c r="F9" s="60"/>
      <c r="G9" s="60"/>
      <c r="H9" s="60"/>
      <c r="I9" s="60"/>
      <c r="J9" s="60"/>
    </row>
    <row r="10" spans="1:10">
      <c r="A10" s="48"/>
      <c r="B10" s="124" t="s">
        <v>268</v>
      </c>
      <c r="C10" s="122"/>
      <c r="D10" s="122"/>
      <c r="E10" s="60"/>
      <c r="F10" s="60"/>
      <c r="G10" s="492"/>
      <c r="H10" s="60"/>
      <c r="I10" s="60"/>
      <c r="J10" s="60"/>
    </row>
    <row r="11" spans="1:10">
      <c r="A11" s="48"/>
      <c r="B11" s="316" t="s">
        <v>301</v>
      </c>
      <c r="C11" s="122"/>
      <c r="D11" s="123"/>
      <c r="E11" s="59"/>
      <c r="F11" s="59"/>
      <c r="G11" s="59"/>
      <c r="H11" s="98"/>
      <c r="I11" s="63"/>
      <c r="J11" s="60"/>
    </row>
    <row r="12" spans="1:10">
      <c r="A12" s="48"/>
      <c r="B12" s="243" t="s">
        <v>638</v>
      </c>
      <c r="C12" s="83"/>
      <c r="D12" s="83"/>
      <c r="E12" s="60"/>
      <c r="F12" s="60"/>
      <c r="G12" s="684"/>
      <c r="H12" s="41"/>
      <c r="I12" s="41"/>
      <c r="J12" s="60"/>
    </row>
    <row r="13" spans="1:10" ht="15" customHeight="1">
      <c r="A13" s="48"/>
      <c r="B13" s="316" t="s">
        <v>569</v>
      </c>
      <c r="C13" s="83"/>
      <c r="D13" s="83"/>
      <c r="E13" s="94"/>
      <c r="F13" s="60"/>
      <c r="G13" s="685"/>
      <c r="H13" s="41"/>
      <c r="I13" s="41"/>
      <c r="J13" s="60"/>
    </row>
    <row r="14" spans="1:10" ht="15" customHeight="1">
      <c r="A14" s="48"/>
      <c r="B14" s="316"/>
      <c r="C14" s="108"/>
      <c r="D14" s="63"/>
      <c r="E14" s="63"/>
      <c r="F14" s="63"/>
      <c r="G14" s="63"/>
      <c r="H14" s="63"/>
      <c r="I14" s="63"/>
      <c r="J14" s="41"/>
    </row>
    <row r="15" spans="1:10" ht="15" customHeight="1">
      <c r="A15" s="125"/>
      <c r="B15" s="316" t="s">
        <v>2</v>
      </c>
      <c r="C15" s="643"/>
      <c r="D15" s="318"/>
      <c r="E15" s="125"/>
      <c r="F15" s="125"/>
      <c r="G15" s="125"/>
      <c r="H15" s="125"/>
      <c r="I15" s="125"/>
      <c r="J15" s="125"/>
    </row>
    <row r="16" spans="1:10">
      <c r="A16" s="125"/>
      <c r="B16" s="316" t="s">
        <v>2</v>
      </c>
      <c r="C16" s="643"/>
      <c r="D16" s="318"/>
      <c r="E16" s="304"/>
      <c r="F16" s="304"/>
      <c r="G16" s="125"/>
      <c r="H16" s="125"/>
      <c r="I16" s="125"/>
      <c r="J16" s="125"/>
    </row>
    <row r="17" spans="1:10">
      <c r="A17" s="48"/>
      <c r="B17" s="205"/>
      <c r="C17" s="146"/>
      <c r="D17" s="146"/>
      <c r="E17" s="146"/>
      <c r="F17" s="100"/>
      <c r="G17" s="60"/>
      <c r="H17" s="60"/>
      <c r="I17" s="60"/>
      <c r="J17" s="60"/>
    </row>
    <row r="18" spans="1:10">
      <c r="A18" s="48"/>
      <c r="B18" s="314"/>
      <c r="C18" s="422" t="s">
        <v>16</v>
      </c>
      <c r="D18" s="253"/>
      <c r="E18" s="253"/>
      <c r="F18" s="253"/>
      <c r="G18" s="253"/>
      <c r="H18" s="253"/>
      <c r="I18" s="157"/>
      <c r="J18" s="680"/>
    </row>
    <row r="19" spans="1:10">
      <c r="A19" s="262" t="s">
        <v>273</v>
      </c>
      <c r="B19" s="267"/>
      <c r="C19" s="140"/>
      <c r="D19" s="262"/>
      <c r="E19" s="262"/>
      <c r="F19" s="262"/>
      <c r="G19" s="262"/>
      <c r="H19" s="262"/>
      <c r="I19" s="262"/>
      <c r="J19" s="262"/>
    </row>
    <row r="20" spans="1:10">
      <c r="A20" s="48"/>
      <c r="B20" s="401" t="s">
        <v>272</v>
      </c>
      <c r="C20" s="350"/>
      <c r="D20" s="698"/>
      <c r="E20" s="670"/>
      <c r="F20" s="659"/>
      <c r="G20" s="671"/>
      <c r="H20" s="672"/>
      <c r="I20" s="699"/>
      <c r="J20" s="347"/>
    </row>
    <row r="21" spans="1:10">
      <c r="A21" s="48"/>
      <c r="B21" s="615"/>
      <c r="C21" s="361" t="s">
        <v>679</v>
      </c>
      <c r="D21" s="669"/>
      <c r="E21" s="670"/>
      <c r="F21" s="659"/>
      <c r="G21" s="671"/>
      <c r="H21" s="672"/>
      <c r="I21" s="364"/>
      <c r="J21" s="348"/>
    </row>
    <row r="22" spans="1:10">
      <c r="A22" s="48"/>
      <c r="B22" s="700"/>
      <c r="C22" s="97" t="s">
        <v>680</v>
      </c>
      <c r="D22" s="673"/>
      <c r="E22" s="673"/>
      <c r="F22" s="688"/>
      <c r="G22" s="674"/>
      <c r="H22" s="674"/>
      <c r="I22" s="674"/>
      <c r="J22" s="179"/>
    </row>
    <row r="23" spans="1:10">
      <c r="A23" s="48"/>
      <c r="B23" s="97"/>
      <c r="C23" s="615" t="s">
        <v>681</v>
      </c>
      <c r="D23" s="383"/>
      <c r="E23" s="673"/>
      <c r="F23" s="688"/>
      <c r="G23" s="689"/>
      <c r="H23" s="676"/>
      <c r="I23" s="690"/>
      <c r="J23" s="179"/>
    </row>
    <row r="24" spans="1:10">
      <c r="A24" s="48"/>
      <c r="B24" s="97"/>
      <c r="C24" s="615" t="s">
        <v>682</v>
      </c>
      <c r="D24" s="675"/>
      <c r="E24" s="675"/>
      <c r="F24" s="671"/>
      <c r="G24" s="671"/>
      <c r="H24" s="677"/>
      <c r="I24" s="690"/>
      <c r="J24" s="349"/>
    </row>
    <row r="25" spans="1:10" ht="15">
      <c r="A25" s="48"/>
      <c r="B25" s="97"/>
      <c r="C25" s="615" t="s">
        <v>683</v>
      </c>
      <c r="D25" s="695"/>
      <c r="E25" s="658"/>
      <c r="F25" s="659"/>
      <c r="G25" s="703"/>
      <c r="H25" s="661"/>
      <c r="I25" s="690"/>
      <c r="J25" s="349"/>
    </row>
    <row r="26" spans="1:10">
      <c r="A26" s="48"/>
      <c r="B26" s="97"/>
      <c r="C26" s="615"/>
      <c r="D26" s="663"/>
      <c r="E26" s="658"/>
      <c r="F26" s="663"/>
      <c r="G26" s="664"/>
      <c r="H26" s="664"/>
      <c r="I26" s="353"/>
      <c r="J26" s="349"/>
    </row>
    <row r="27" spans="1:10" ht="15">
      <c r="A27" s="48"/>
      <c r="B27" s="97"/>
      <c r="C27" s="615"/>
      <c r="D27" s="701"/>
      <c r="E27" s="658"/>
      <c r="F27" s="697"/>
      <c r="G27" s="349"/>
      <c r="H27" s="349"/>
      <c r="I27" s="702"/>
      <c r="J27" s="349"/>
    </row>
    <row r="28" spans="1:10">
      <c r="A28" s="48"/>
      <c r="B28" s="97"/>
      <c r="C28" s="615"/>
      <c r="D28" s="681"/>
      <c r="E28" s="681"/>
      <c r="F28" s="350"/>
      <c r="G28" s="350"/>
      <c r="H28" s="350"/>
      <c r="I28" s="350"/>
      <c r="J28" s="349"/>
    </row>
    <row r="29" spans="1:10">
      <c r="A29" s="48"/>
      <c r="B29" s="97"/>
      <c r="C29" s="615"/>
      <c r="D29" s="178"/>
      <c r="E29" s="178"/>
      <c r="F29" s="343"/>
      <c r="G29" s="343"/>
      <c r="H29" s="343"/>
      <c r="I29" s="178"/>
      <c r="J29" s="178"/>
    </row>
    <row r="30" spans="1:10" ht="15.4">
      <c r="A30" s="48"/>
      <c r="B30" s="256"/>
      <c r="C30" s="634"/>
      <c r="D30" s="41"/>
      <c r="E30" s="41"/>
      <c r="F30" s="63"/>
      <c r="G30" s="63"/>
      <c r="H30" s="63"/>
      <c r="I30" s="41"/>
      <c r="J30" s="41"/>
    </row>
    <row r="31" spans="1:10">
      <c r="A31" s="48"/>
      <c r="B31" s="63"/>
      <c r="C31" s="177"/>
      <c r="D31" s="63"/>
      <c r="E31" s="63"/>
      <c r="F31" s="63"/>
      <c r="G31" s="63"/>
      <c r="H31" s="63"/>
      <c r="I31" s="63"/>
      <c r="J31" s="41"/>
    </row>
    <row r="32" spans="1:10">
      <c r="A32" s="48"/>
      <c r="B32" s="106"/>
      <c r="C32" s="615"/>
      <c r="D32" s="41"/>
      <c r="E32" s="41"/>
      <c r="F32" s="146"/>
      <c r="G32" s="28"/>
      <c r="H32" s="41"/>
      <c r="I32" s="41"/>
      <c r="J32" s="41"/>
    </row>
    <row r="33" spans="1:10" ht="15.4">
      <c r="A33" s="48"/>
      <c r="B33" s="127"/>
      <c r="C33" s="635"/>
      <c r="D33" s="127"/>
      <c r="E33" s="127"/>
      <c r="F33" s="313"/>
      <c r="G33" s="28"/>
      <c r="H33" s="313"/>
      <c r="I33" s="127"/>
      <c r="J33" s="127"/>
    </row>
    <row r="34" spans="1:10" ht="15.4">
      <c r="A34" s="48"/>
      <c r="B34" s="127"/>
      <c r="C34" s="635"/>
      <c r="D34" s="127"/>
      <c r="E34" s="127"/>
      <c r="F34" s="313"/>
      <c r="G34" s="28"/>
      <c r="H34" s="313"/>
      <c r="I34" s="127"/>
      <c r="J34" s="127"/>
    </row>
    <row r="35" spans="1:10" ht="15.4">
      <c r="A35" s="48"/>
      <c r="B35" s="127"/>
      <c r="C35" s="635"/>
      <c r="D35" s="127"/>
      <c r="E35" s="127"/>
      <c r="F35" s="313"/>
      <c r="G35" s="28"/>
      <c r="H35" s="313"/>
      <c r="I35" s="127"/>
      <c r="J35" s="127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27"/>
      <c r="D37" s="106"/>
      <c r="E37" s="127"/>
      <c r="F37" s="127"/>
      <c r="G37" s="28" t="s">
        <v>480</v>
      </c>
      <c r="H37" s="127"/>
      <c r="I37" s="127"/>
      <c r="J37" s="127"/>
    </row>
    <row r="38" spans="1:10">
      <c r="A38" s="48"/>
      <c r="B38" s="127"/>
      <c r="C38" s="127"/>
      <c r="D38" s="106"/>
      <c r="E38" s="127"/>
      <c r="F38" s="127"/>
      <c r="G38" s="127"/>
      <c r="H38" s="127"/>
      <c r="I38" s="127"/>
      <c r="J38" s="127"/>
    </row>
    <row r="39" spans="1:10" ht="15">
      <c r="A39" s="48"/>
      <c r="B39" s="126" t="s">
        <v>10</v>
      </c>
      <c r="C39" s="41"/>
      <c r="D39" s="41"/>
      <c r="E39" s="693"/>
      <c r="F39" s="693"/>
      <c r="G39" s="610" t="s">
        <v>650</v>
      </c>
      <c r="H39" s="694"/>
      <c r="I39" s="694"/>
      <c r="J39" s="41"/>
    </row>
    <row r="40" spans="1:10">
      <c r="A40" s="48"/>
      <c r="B40" s="679"/>
      <c r="C40" s="74"/>
      <c r="D40" s="680"/>
      <c r="E40" s="59"/>
      <c r="F40" s="59"/>
      <c r="G40" s="59"/>
      <c r="H40" s="59"/>
      <c r="I40" s="41"/>
      <c r="J40" s="41"/>
    </row>
    <row r="41" spans="1:10">
      <c r="A41" s="48"/>
      <c r="B41" s="185" t="s">
        <v>287</v>
      </c>
      <c r="C41" s="295"/>
      <c r="D41" s="186"/>
      <c r="E41" s="189"/>
      <c r="F41" s="185" t="s">
        <v>287</v>
      </c>
      <c r="G41" s="295"/>
      <c r="H41" s="186"/>
      <c r="I41" s="41"/>
      <c r="J41" s="41"/>
    </row>
    <row r="42" spans="1:10">
      <c r="A42" s="48"/>
      <c r="B42" s="97"/>
      <c r="C42" s="97"/>
      <c r="D42" s="97"/>
      <c r="E42" s="97"/>
      <c r="F42" s="97"/>
      <c r="G42" s="97"/>
      <c r="H42" s="97"/>
      <c r="I42" s="41"/>
      <c r="J42" s="41"/>
    </row>
    <row r="43" spans="1:10">
      <c r="A43" s="48"/>
      <c r="B43" s="189"/>
      <c r="C43" s="189"/>
      <c r="D43" s="189"/>
      <c r="E43" s="189"/>
      <c r="F43" s="189"/>
      <c r="G43" s="189"/>
      <c r="H43" s="189"/>
      <c r="I43" s="680"/>
      <c r="J43" s="680"/>
    </row>
    <row r="44" spans="1:10">
      <c r="A44" s="48"/>
      <c r="B44" s="206" t="s">
        <v>288</v>
      </c>
      <c r="C44" s="296"/>
      <c r="D44" s="296"/>
      <c r="E44" s="179"/>
      <c r="F44" s="206" t="s">
        <v>288</v>
      </c>
      <c r="G44" s="296"/>
      <c r="H44" s="296"/>
      <c r="I44" s="41"/>
      <c r="J44" s="41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49"/>
      <c r="C46" s="49"/>
      <c r="D46" s="49"/>
      <c r="E46" s="49"/>
      <c r="F46" s="60"/>
      <c r="G46" s="60"/>
      <c r="H46" s="60"/>
      <c r="I46" s="49"/>
      <c r="J46" s="49"/>
    </row>
    <row r="47" spans="1:10">
      <c r="A47" s="48"/>
      <c r="B47" s="294" t="s">
        <v>1</v>
      </c>
      <c r="C47" s="297">
        <f ca="1">TODAY()</f>
        <v>46054</v>
      </c>
      <c r="D47" s="186"/>
      <c r="E47" s="185"/>
      <c r="F47" s="665"/>
      <c r="G47" s="666"/>
      <c r="H47" s="615"/>
      <c r="I47" s="48"/>
      <c r="J47" s="48"/>
    </row>
    <row r="48" spans="1:10">
      <c r="A48" s="48"/>
      <c r="B48" s="48"/>
      <c r="C48" s="48"/>
      <c r="D48" s="48"/>
      <c r="E48" s="48"/>
      <c r="F48" s="615"/>
      <c r="G48" s="615"/>
      <c r="H48" s="615"/>
      <c r="I48" s="48"/>
      <c r="J48" s="48"/>
    </row>
    <row r="49" spans="1:10" ht="12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12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15" customHeight="1"/>
    <row r="52" spans="1:10">
      <c r="B52" s="303"/>
      <c r="C52" s="303"/>
      <c r="D52" s="303"/>
      <c r="E52" s="303"/>
      <c r="F52" s="303"/>
      <c r="G52" s="303"/>
      <c r="H52" s="303"/>
      <c r="I52" s="303"/>
      <c r="J52" s="303"/>
    </row>
    <row r="53" spans="1:10"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27"/>
      <c r="C54" s="1"/>
      <c r="D54" s="1"/>
      <c r="E54" s="1"/>
      <c r="F54" s="1"/>
      <c r="G54" s="1"/>
      <c r="H54" s="1"/>
      <c r="I54" s="1"/>
      <c r="J54" s="1"/>
    </row>
  </sheetData>
  <mergeCells count="1">
    <mergeCell ref="C6:G6"/>
  </mergeCells>
  <pageMargins left="0.31666666666666665" right="0.10833333333333334" top="0.37820512820512819" bottom="0.6858974358974359" header="0.3" footer="0.3"/>
  <pageSetup paperSize="9" orientation="portrait" horizont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AC53-0AB4-41B3-83E2-9EAF2D98693D}">
  <sheetPr codeName="Лист57">
    <tabColor theme="8" tint="0.39997558519241921"/>
  </sheetPr>
  <dimension ref="A1:J55"/>
  <sheetViews>
    <sheetView view="pageLayout" topLeftCell="A19" zoomScaleNormal="100" zoomScaleSheetLayoutView="110" workbookViewId="0">
      <selection activeCell="E8" sqref="E8"/>
    </sheetView>
  </sheetViews>
  <sheetFormatPr defaultColWidth="8.86328125" defaultRowHeight="14.25"/>
  <cols>
    <col min="1" max="1" width="4.6640625" customWidth="1"/>
    <col min="2" max="2" width="15.33203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8" max="8" width="9.796875" customWidth="1"/>
    <col min="9" max="9" width="10.1328125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58"/>
      <c r="D3" s="58"/>
      <c r="E3" s="58"/>
      <c r="F3" s="102"/>
      <c r="G3" s="243"/>
      <c r="H3" s="109"/>
      <c r="I3" s="109"/>
      <c r="J3" s="106"/>
    </row>
    <row r="4" spans="1:10" ht="15" customHeight="1">
      <c r="A4" s="48"/>
      <c r="B4" s="246"/>
      <c r="C4" s="111"/>
      <c r="D4" s="111"/>
      <c r="E4" s="111"/>
      <c r="F4" s="104"/>
      <c r="G4" s="244"/>
      <c r="H4" s="245"/>
      <c r="I4" s="245"/>
      <c r="J4" s="106"/>
    </row>
    <row r="5" spans="1:10" ht="15" customHeight="1">
      <c r="A5" s="48"/>
      <c r="B5" s="59"/>
      <c r="C5" s="59"/>
      <c r="D5" s="59"/>
      <c r="E5" s="59"/>
      <c r="F5" s="59"/>
      <c r="G5" s="59"/>
      <c r="H5" s="60"/>
      <c r="I5" s="60"/>
      <c r="J5" s="60"/>
    </row>
    <row r="6" spans="1:10" ht="17.25">
      <c r="A6" s="48"/>
      <c r="B6" s="247"/>
      <c r="C6" s="1108" t="s">
        <v>267</v>
      </c>
      <c r="D6" s="1108"/>
      <c r="E6" s="1108"/>
      <c r="F6" s="1108"/>
      <c r="G6" s="1108"/>
      <c r="H6" s="247"/>
      <c r="I6" s="60"/>
      <c r="J6" s="60"/>
    </row>
    <row r="7" spans="1:10">
      <c r="A7" s="48"/>
      <c r="B7" s="100"/>
      <c r="C7" s="100"/>
      <c r="D7" s="727" t="s">
        <v>708</v>
      </c>
      <c r="E7" s="100"/>
      <c r="F7" s="100"/>
      <c r="G7" s="100"/>
      <c r="H7" s="100"/>
      <c r="I7" s="60"/>
      <c r="J7" s="60"/>
    </row>
    <row r="8" spans="1:10">
      <c r="A8" s="48"/>
      <c r="B8" s="60"/>
      <c r="C8" s="682"/>
      <c r="D8" s="99"/>
      <c r="E8" s="682"/>
      <c r="F8" s="682"/>
      <c r="G8" s="682"/>
      <c r="H8" s="682"/>
      <c r="I8" s="60"/>
      <c r="J8" s="60"/>
    </row>
    <row r="9" spans="1:10">
      <c r="A9" s="48"/>
      <c r="B9" s="60"/>
      <c r="C9" s="100"/>
      <c r="D9" s="60"/>
      <c r="E9" s="60"/>
      <c r="F9" s="60"/>
      <c r="G9" s="60"/>
      <c r="H9" s="60"/>
      <c r="I9" s="60"/>
      <c r="J9" s="60"/>
    </row>
    <row r="10" spans="1:10">
      <c r="A10" s="48"/>
      <c r="B10" s="124" t="s">
        <v>268</v>
      </c>
      <c r="C10" s="122"/>
      <c r="D10" s="122"/>
      <c r="E10" s="60"/>
      <c r="F10" s="60"/>
      <c r="G10" s="492"/>
      <c r="H10" s="60"/>
      <c r="I10" s="60"/>
      <c r="J10" s="60"/>
    </row>
    <row r="11" spans="1:10">
      <c r="A11" s="48"/>
      <c r="B11" s="316" t="s">
        <v>301</v>
      </c>
      <c r="C11" s="122"/>
      <c r="D11" s="123"/>
      <c r="E11" s="59"/>
      <c r="F11" s="59"/>
      <c r="G11" s="59"/>
      <c r="H11" s="98"/>
      <c r="I11" s="63"/>
      <c r="J11" s="60"/>
    </row>
    <row r="12" spans="1:10">
      <c r="A12" s="48"/>
      <c r="B12" s="243" t="s">
        <v>638</v>
      </c>
      <c r="C12" s="83"/>
      <c r="D12" s="83"/>
      <c r="E12" s="60"/>
      <c r="F12" s="60"/>
      <c r="G12" s="684"/>
      <c r="H12" s="41"/>
      <c r="I12" s="41"/>
      <c r="J12" s="60"/>
    </row>
    <row r="13" spans="1:10" ht="15" customHeight="1">
      <c r="A13" s="48"/>
      <c r="B13" s="316" t="s">
        <v>569</v>
      </c>
      <c r="C13" s="83"/>
      <c r="D13" s="83"/>
      <c r="E13" s="94"/>
      <c r="F13" s="60"/>
      <c r="G13" s="685"/>
      <c r="H13" s="41"/>
      <c r="I13" s="41"/>
      <c r="J13" s="60"/>
    </row>
    <row r="14" spans="1:10" ht="15" customHeight="1">
      <c r="A14" s="48"/>
      <c r="B14" s="316"/>
      <c r="C14" s="108"/>
      <c r="D14" s="63"/>
      <c r="E14" s="63"/>
      <c r="F14" s="63"/>
      <c r="G14" s="63"/>
      <c r="H14" s="63"/>
      <c r="I14" s="63"/>
      <c r="J14" s="41"/>
    </row>
    <row r="15" spans="1:10" ht="15" customHeight="1">
      <c r="A15" s="125"/>
      <c r="B15" s="316" t="s">
        <v>2</v>
      </c>
      <c r="C15" s="643"/>
      <c r="D15" s="318"/>
      <c r="E15" s="125"/>
      <c r="F15" s="125"/>
      <c r="G15" s="125"/>
      <c r="H15" s="125"/>
      <c r="I15" s="125"/>
      <c r="J15" s="125"/>
    </row>
    <row r="16" spans="1:10">
      <c r="A16" s="125"/>
      <c r="B16" s="316" t="s">
        <v>2</v>
      </c>
      <c r="C16" s="643"/>
      <c r="D16" s="318"/>
      <c r="E16" s="304"/>
      <c r="F16" s="304"/>
      <c r="G16" s="125"/>
      <c r="H16" s="125"/>
      <c r="I16" s="125"/>
      <c r="J16" s="125"/>
    </row>
    <row r="17" spans="1:10">
      <c r="A17" s="48"/>
      <c r="B17" s="205"/>
      <c r="C17" s="146"/>
      <c r="D17" s="146"/>
      <c r="E17" s="146"/>
      <c r="F17" s="100"/>
      <c r="G17" s="60"/>
      <c r="H17" s="60"/>
      <c r="I17" s="60"/>
      <c r="J17" s="60"/>
    </row>
    <row r="18" spans="1:10">
      <c r="A18" s="48"/>
      <c r="B18" s="314"/>
      <c r="C18" s="422" t="s">
        <v>16</v>
      </c>
      <c r="D18" s="253"/>
      <c r="E18" s="253"/>
      <c r="F18" s="253"/>
      <c r="G18" s="253"/>
      <c r="H18" s="253"/>
      <c r="I18" s="157"/>
      <c r="J18" s="680"/>
    </row>
    <row r="19" spans="1:10">
      <c r="A19" s="262" t="s">
        <v>273</v>
      </c>
      <c r="B19" s="267"/>
      <c r="C19" s="140"/>
      <c r="D19" s="262"/>
      <c r="E19" s="262"/>
      <c r="F19" s="262"/>
      <c r="G19" s="262"/>
      <c r="H19" s="262"/>
      <c r="I19" s="262"/>
      <c r="J19" s="262"/>
    </row>
    <row r="20" spans="1:10">
      <c r="A20" s="48"/>
      <c r="B20" s="401" t="s">
        <v>272</v>
      </c>
      <c r="C20" s="350"/>
      <c r="D20" s="698"/>
      <c r="E20" s="670"/>
      <c r="F20" s="659"/>
      <c r="G20" s="671"/>
      <c r="H20" s="672"/>
      <c r="I20" s="699"/>
      <c r="J20" s="347"/>
    </row>
    <row r="21" spans="1:10">
      <c r="A21" s="48"/>
      <c r="B21" s="615"/>
      <c r="C21" s="361" t="s">
        <v>688</v>
      </c>
      <c r="D21" s="669"/>
      <c r="E21" s="670"/>
      <c r="F21" s="659"/>
      <c r="G21" s="717" t="s">
        <v>382</v>
      </c>
      <c r="H21" s="718" t="s">
        <v>382</v>
      </c>
      <c r="I21" s="364"/>
      <c r="J21" s="348"/>
    </row>
    <row r="22" spans="1:10">
      <c r="A22" s="48"/>
      <c r="B22" s="700"/>
      <c r="C22" s="97"/>
      <c r="D22" s="673"/>
      <c r="E22" s="673"/>
      <c r="F22" s="688"/>
      <c r="G22" s="674"/>
      <c r="H22" s="674"/>
      <c r="I22" s="674"/>
      <c r="J22" s="179"/>
    </row>
    <row r="23" spans="1:10">
      <c r="A23" s="48"/>
      <c r="B23" s="97"/>
      <c r="C23" s="615" t="s">
        <v>689</v>
      </c>
      <c r="D23" s="383"/>
      <c r="E23" s="673"/>
      <c r="F23" s="688"/>
      <c r="G23" s="689"/>
      <c r="H23" s="676"/>
      <c r="I23" s="690"/>
      <c r="J23" s="179"/>
    </row>
    <row r="24" spans="1:10">
      <c r="A24" s="48"/>
      <c r="B24" s="97"/>
      <c r="C24" s="615"/>
      <c r="D24" s="675"/>
      <c r="E24" s="719" t="s">
        <v>690</v>
      </c>
      <c r="F24" s="671"/>
      <c r="G24" s="671"/>
      <c r="H24" s="677"/>
      <c r="I24" s="690"/>
      <c r="J24" s="349"/>
    </row>
    <row r="25" spans="1:10">
      <c r="A25" s="48"/>
      <c r="B25" s="97"/>
      <c r="C25" s="615"/>
      <c r="D25" s="695"/>
      <c r="E25" s="658"/>
      <c r="F25" s="659"/>
      <c r="G25" s="688"/>
      <c r="H25" s="661"/>
      <c r="I25" s="690"/>
      <c r="J25" s="349"/>
    </row>
    <row r="26" spans="1:10">
      <c r="A26" s="48"/>
      <c r="B26" s="97"/>
      <c r="C26" s="615" t="s">
        <v>691</v>
      </c>
      <c r="D26" s="663"/>
      <c r="E26" s="717" t="s">
        <v>382</v>
      </c>
      <c r="F26" s="718" t="s">
        <v>382</v>
      </c>
      <c r="G26" s="720" t="s">
        <v>692</v>
      </c>
      <c r="H26" s="664"/>
      <c r="I26" s="721">
        <v>1</v>
      </c>
      <c r="J26" s="349"/>
    </row>
    <row r="27" spans="1:10">
      <c r="A27" s="48"/>
      <c r="B27" s="97"/>
      <c r="C27" s="615"/>
      <c r="D27" s="701"/>
      <c r="E27" s="658"/>
      <c r="F27" s="697"/>
      <c r="G27" s="349"/>
      <c r="H27" s="349"/>
      <c r="I27" s="383"/>
      <c r="J27" s="349"/>
    </row>
    <row r="28" spans="1:10">
      <c r="A28" s="48"/>
      <c r="B28" s="97"/>
      <c r="C28" s="615" t="s">
        <v>693</v>
      </c>
      <c r="D28" s="681"/>
      <c r="E28" s="681"/>
      <c r="F28" s="350"/>
      <c r="G28" s="350"/>
      <c r="H28" s="350"/>
      <c r="I28" s="350"/>
      <c r="J28" s="349"/>
    </row>
    <row r="29" spans="1:10">
      <c r="A29" s="48"/>
      <c r="B29" s="97"/>
      <c r="C29" s="615" t="s">
        <v>694</v>
      </c>
      <c r="D29" s="178"/>
      <c r="E29" s="178"/>
      <c r="F29" s="343"/>
      <c r="G29" s="343"/>
      <c r="H29" s="343"/>
      <c r="I29" s="178"/>
      <c r="J29" s="178"/>
    </row>
    <row r="30" spans="1:10">
      <c r="A30" s="48"/>
      <c r="B30" s="256"/>
      <c r="C30" s="615" t="s">
        <v>695</v>
      </c>
      <c r="D30" s="178"/>
      <c r="E30" s="178"/>
      <c r="F30" s="343"/>
      <c r="G30" s="722">
        <v>7</v>
      </c>
      <c r="H30" s="723" t="s">
        <v>696</v>
      </c>
      <c r="I30" s="178" t="s">
        <v>697</v>
      </c>
      <c r="J30" s="178"/>
    </row>
    <row r="31" spans="1:10">
      <c r="A31" s="48"/>
      <c r="B31" s="63"/>
      <c r="C31" s="615" t="s">
        <v>698</v>
      </c>
      <c r="D31" s="343"/>
      <c r="E31" s="343"/>
      <c r="F31" s="343"/>
      <c r="G31" s="343"/>
      <c r="H31" s="722">
        <v>7</v>
      </c>
      <c r="I31" s="343" t="s">
        <v>699</v>
      </c>
      <c r="J31" s="178"/>
    </row>
    <row r="32" spans="1:10">
      <c r="A32" s="48"/>
      <c r="B32" s="106"/>
      <c r="C32" s="615" t="s">
        <v>700</v>
      </c>
      <c r="D32" s="178"/>
      <c r="E32" s="178"/>
      <c r="F32" s="97"/>
      <c r="G32" s="206"/>
      <c r="H32" s="178"/>
      <c r="I32" s="178"/>
      <c r="J32" s="178"/>
    </row>
    <row r="33" spans="1:10">
      <c r="A33" s="48"/>
      <c r="B33" s="127"/>
      <c r="C33" s="97"/>
      <c r="D33" s="178"/>
      <c r="E33" s="178"/>
      <c r="F33" s="673"/>
      <c r="G33" s="206"/>
      <c r="H33" s="673"/>
      <c r="I33" s="178"/>
      <c r="J33" s="178"/>
    </row>
    <row r="34" spans="1:10">
      <c r="A34" s="48"/>
      <c r="B34" s="127"/>
      <c r="C34" s="97" t="s">
        <v>701</v>
      </c>
      <c r="D34" s="178"/>
      <c r="E34" s="178"/>
      <c r="F34" s="673"/>
      <c r="G34" s="206"/>
      <c r="H34" s="673"/>
      <c r="I34" s="178"/>
      <c r="J34" s="178"/>
    </row>
    <row r="35" spans="1:10">
      <c r="A35" s="48"/>
      <c r="B35" s="127"/>
      <c r="C35" s="97" t="s">
        <v>702</v>
      </c>
      <c r="D35" s="178"/>
      <c r="E35" s="178"/>
      <c r="F35" s="673"/>
      <c r="G35" s="206"/>
      <c r="H35" s="673"/>
      <c r="I35" s="178"/>
      <c r="J35" s="178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78" t="s">
        <v>238</v>
      </c>
      <c r="D37" s="332"/>
      <c r="E37" s="296" t="s">
        <v>382</v>
      </c>
      <c r="F37" s="724" t="s">
        <v>382</v>
      </c>
      <c r="G37" s="178" t="s">
        <v>703</v>
      </c>
      <c r="H37" s="178"/>
      <c r="I37" s="178"/>
      <c r="J37" s="178"/>
    </row>
    <row r="38" spans="1:10">
      <c r="A38" s="48"/>
      <c r="B38" s="127"/>
      <c r="C38" s="178" t="s">
        <v>704</v>
      </c>
      <c r="D38" s="332"/>
      <c r="E38" s="178"/>
      <c r="F38" s="178"/>
      <c r="G38" s="178"/>
      <c r="H38" s="178"/>
      <c r="I38" s="178"/>
      <c r="J38" s="178"/>
    </row>
    <row r="39" spans="1:10">
      <c r="A39" s="48"/>
      <c r="B39" s="126"/>
      <c r="C39" s="178" t="s">
        <v>705</v>
      </c>
      <c r="D39" s="178"/>
      <c r="E39" s="725"/>
      <c r="F39" s="725"/>
      <c r="G39" s="726"/>
      <c r="H39" s="725"/>
      <c r="I39" s="725"/>
      <c r="J39" s="178"/>
    </row>
    <row r="40" spans="1:10">
      <c r="A40" s="48"/>
      <c r="B40" s="679"/>
      <c r="C40" s="356" t="s">
        <v>706</v>
      </c>
      <c r="D40" s="342"/>
      <c r="E40" s="179"/>
      <c r="F40" s="179"/>
      <c r="G40" s="179"/>
      <c r="H40" s="179"/>
      <c r="I40" s="178"/>
      <c r="J40" s="178"/>
    </row>
    <row r="41" spans="1:10">
      <c r="A41" s="48"/>
      <c r="B41" s="189"/>
      <c r="C41" s="97"/>
      <c r="D41" s="189"/>
      <c r="E41" s="189"/>
      <c r="F41" s="189"/>
      <c r="G41" s="97"/>
      <c r="H41" s="189"/>
      <c r="I41" s="178"/>
      <c r="J41" s="178"/>
    </row>
    <row r="42" spans="1:10">
      <c r="A42" s="48"/>
      <c r="B42" s="97"/>
      <c r="C42" s="97"/>
      <c r="D42" s="97"/>
      <c r="E42" s="97"/>
      <c r="F42" s="97"/>
      <c r="G42" s="189" t="s">
        <v>480</v>
      </c>
      <c r="H42" s="97"/>
      <c r="I42" s="178"/>
      <c r="J42" s="178"/>
    </row>
    <row r="43" spans="1:10">
      <c r="A43" s="48"/>
      <c r="B43" s="189"/>
      <c r="C43" s="189"/>
      <c r="D43" s="189"/>
      <c r="E43" s="189"/>
      <c r="F43" s="189"/>
      <c r="G43" s="189"/>
      <c r="H43" s="189"/>
      <c r="I43" s="342"/>
      <c r="J43" s="342"/>
    </row>
    <row r="44" spans="1:10">
      <c r="A44" s="48"/>
      <c r="B44" s="206" t="s">
        <v>10</v>
      </c>
      <c r="C44" s="178"/>
      <c r="D44" s="178"/>
      <c r="E44" s="179"/>
      <c r="F44" s="206"/>
      <c r="G44" s="206" t="s">
        <v>707</v>
      </c>
      <c r="H44" s="178"/>
      <c r="I44" s="178"/>
      <c r="J44" s="178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60" t="s">
        <v>287</v>
      </c>
      <c r="C46" s="122"/>
      <c r="D46" s="122"/>
      <c r="E46" s="60"/>
      <c r="F46" s="60"/>
      <c r="G46" s="60" t="s">
        <v>287</v>
      </c>
      <c r="H46" s="122"/>
      <c r="I46" s="122"/>
      <c r="J46" s="49"/>
    </row>
    <row r="47" spans="1:10">
      <c r="A47" s="48"/>
      <c r="B47" s="665"/>
      <c r="C47" s="666"/>
      <c r="D47" s="189"/>
      <c r="E47" s="189"/>
      <c r="F47" s="665"/>
      <c r="G47" s="666"/>
      <c r="H47" s="615"/>
      <c r="I47" s="615"/>
      <c r="J47" s="48"/>
    </row>
    <row r="48" spans="1:10">
      <c r="A48" s="48"/>
      <c r="B48" s="48" t="s">
        <v>288</v>
      </c>
      <c r="C48" s="235"/>
      <c r="D48" s="235"/>
      <c r="E48" s="48"/>
      <c r="F48" s="615"/>
      <c r="G48" s="615" t="s">
        <v>288</v>
      </c>
      <c r="H48" s="235"/>
      <c r="I48" s="235"/>
      <c r="J48" s="48"/>
    </row>
    <row r="49" spans="1:10" ht="12" customHeight="1">
      <c r="A49" s="48"/>
      <c r="B49" s="48"/>
      <c r="C49" s="615"/>
      <c r="D49" s="615"/>
      <c r="E49" s="48"/>
      <c r="F49" s="615"/>
      <c r="G49" s="615"/>
      <c r="H49" s="615"/>
      <c r="I49" s="615"/>
      <c r="J49" s="48"/>
    </row>
    <row r="50" spans="1:10" ht="12" customHeight="1">
      <c r="A50" s="48"/>
      <c r="B50" s="48" t="s">
        <v>1</v>
      </c>
      <c r="C50" s="235"/>
      <c r="D50" s="235"/>
      <c r="E50" s="48"/>
      <c r="F50" s="48"/>
      <c r="G50" s="48" t="s">
        <v>1</v>
      </c>
      <c r="H50" s="235"/>
      <c r="I50" s="235"/>
      <c r="J50" s="48"/>
    </row>
    <row r="51" spans="1:10" ht="1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</row>
    <row r="53" spans="1:10">
      <c r="B53" s="303"/>
      <c r="C53" s="303"/>
      <c r="D53" s="303"/>
      <c r="E53" s="303"/>
      <c r="F53" s="303"/>
      <c r="G53" s="303"/>
      <c r="H53" s="303"/>
      <c r="I53" s="303"/>
      <c r="J53" s="303"/>
    </row>
    <row r="54" spans="1:10"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B55" s="27"/>
      <c r="C55" s="1"/>
      <c r="D55" s="1"/>
      <c r="E55" s="1"/>
      <c r="F55" s="1"/>
      <c r="G55" s="1"/>
      <c r="H55" s="1"/>
      <c r="I55" s="1"/>
      <c r="J55" s="1"/>
    </row>
  </sheetData>
  <mergeCells count="1">
    <mergeCell ref="C6:G6"/>
  </mergeCells>
  <pageMargins left="0.31666666666666665" right="0.11666666666666667" top="0.37820512820512819" bottom="0.6858974358974359" header="0.3" footer="0.3"/>
  <pageSetup paperSize="9" orientation="portrait" horizont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01AA-A9DA-488D-B842-04FD99B73A87}">
  <sheetPr codeName="Лист58">
    <tabColor theme="8" tint="0.39997558519241921"/>
  </sheetPr>
  <dimension ref="A1:J55"/>
  <sheetViews>
    <sheetView view="pageLayout" topLeftCell="A13" zoomScaleNormal="100" zoomScaleSheetLayoutView="110" workbookViewId="0">
      <selection activeCell="E9" sqref="E9"/>
    </sheetView>
  </sheetViews>
  <sheetFormatPr defaultColWidth="8.86328125" defaultRowHeight="14.25"/>
  <cols>
    <col min="1" max="1" width="4.6640625" customWidth="1"/>
    <col min="2" max="2" width="15.33203125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8" max="8" width="9.796875" customWidth="1"/>
    <col min="9" max="9" width="10.1328125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58"/>
      <c r="D3" s="58"/>
      <c r="E3" s="58"/>
      <c r="F3" s="102"/>
      <c r="G3" s="243"/>
      <c r="H3" s="109"/>
      <c r="I3" s="109"/>
      <c r="J3" s="106"/>
    </row>
    <row r="4" spans="1:10" ht="15" customHeight="1">
      <c r="A4" s="48"/>
      <c r="B4" s="246"/>
      <c r="C4" s="111"/>
      <c r="D4" s="111"/>
      <c r="E4" s="111"/>
      <c r="F4" s="104"/>
      <c r="G4" s="244"/>
      <c r="H4" s="245"/>
      <c r="I4" s="245"/>
      <c r="J4" s="106"/>
    </row>
    <row r="5" spans="1:10" ht="15" customHeight="1">
      <c r="A5" s="48"/>
      <c r="B5" s="59"/>
      <c r="C5" s="59"/>
      <c r="D5" s="59"/>
      <c r="E5" s="59"/>
      <c r="F5" s="59"/>
      <c r="G5" s="59"/>
      <c r="H5" s="60"/>
      <c r="I5" s="60"/>
      <c r="J5" s="60"/>
    </row>
    <row r="6" spans="1:10" ht="17.25">
      <c r="A6" s="48"/>
      <c r="B6" s="247"/>
      <c r="C6" s="1108" t="s">
        <v>267</v>
      </c>
      <c r="D6" s="1108"/>
      <c r="E6" s="1108"/>
      <c r="F6" s="1108"/>
      <c r="G6" s="1108"/>
      <c r="H6" s="247"/>
      <c r="I6" s="60"/>
      <c r="J6" s="60"/>
    </row>
    <row r="7" spans="1:10">
      <c r="A7" s="48"/>
      <c r="B7" s="100"/>
      <c r="C7" s="100"/>
      <c r="D7" s="727" t="s">
        <v>709</v>
      </c>
      <c r="E7" s="100"/>
      <c r="F7" s="100"/>
      <c r="G7" s="100"/>
      <c r="H7" s="100"/>
      <c r="I7" s="60"/>
      <c r="J7" s="60"/>
    </row>
    <row r="8" spans="1:10">
      <c r="A8" s="48"/>
      <c r="B8" s="60"/>
      <c r="C8" s="809"/>
      <c r="D8" s="99"/>
      <c r="E8" s="809"/>
      <c r="F8" s="809"/>
      <c r="G8" s="809"/>
      <c r="H8" s="809"/>
      <c r="I8" s="60"/>
      <c r="J8" s="60"/>
    </row>
    <row r="9" spans="1:10">
      <c r="A9" s="48"/>
      <c r="B9" s="60"/>
      <c r="C9" s="100"/>
      <c r="D9" s="60"/>
      <c r="E9" s="60"/>
      <c r="F9" s="60"/>
      <c r="G9" s="60"/>
      <c r="H9" s="60"/>
      <c r="I9" s="60"/>
      <c r="J9" s="60"/>
    </row>
    <row r="10" spans="1:10">
      <c r="A10" s="48"/>
      <c r="B10" s="124" t="s">
        <v>268</v>
      </c>
      <c r="C10" s="122"/>
      <c r="D10" s="122"/>
      <c r="E10" s="60"/>
      <c r="F10" s="60"/>
      <c r="G10" s="492"/>
      <c r="H10" s="60"/>
      <c r="I10" s="60"/>
      <c r="J10" s="60"/>
    </row>
    <row r="11" spans="1:10">
      <c r="A11" s="48"/>
      <c r="B11" s="316" t="s">
        <v>301</v>
      </c>
      <c r="C11" s="122"/>
      <c r="D11" s="123"/>
      <c r="E11" s="59"/>
      <c r="F11" s="59"/>
      <c r="G11" s="59"/>
      <c r="H11" s="98"/>
      <c r="I11" s="63"/>
      <c r="J11" s="60"/>
    </row>
    <row r="12" spans="1:10">
      <c r="A12" s="48"/>
      <c r="B12" s="243" t="s">
        <v>638</v>
      </c>
      <c r="C12" s="83"/>
      <c r="D12" s="83"/>
      <c r="E12" s="60"/>
      <c r="F12" s="60"/>
      <c r="G12" s="810"/>
      <c r="H12" s="41"/>
      <c r="I12" s="41"/>
      <c r="J12" s="60"/>
    </row>
    <row r="13" spans="1:10" ht="15" customHeight="1">
      <c r="A13" s="48"/>
      <c r="B13" s="316" t="s">
        <v>569</v>
      </c>
      <c r="C13" s="83"/>
      <c r="D13" s="83"/>
      <c r="E13" s="94"/>
      <c r="F13" s="60"/>
      <c r="G13" s="685"/>
      <c r="H13" s="41"/>
      <c r="I13" s="41"/>
      <c r="J13" s="60"/>
    </row>
    <row r="14" spans="1:10" ht="15" customHeight="1">
      <c r="A14" s="48"/>
      <c r="B14" s="316"/>
      <c r="C14" s="108"/>
      <c r="D14" s="63"/>
      <c r="E14" s="63"/>
      <c r="F14" s="63"/>
      <c r="G14" s="63"/>
      <c r="H14" s="63"/>
      <c r="I14" s="63"/>
      <c r="J14" s="41"/>
    </row>
    <row r="15" spans="1:10" ht="15" customHeight="1">
      <c r="A15" s="125"/>
      <c r="B15" s="316" t="s">
        <v>2</v>
      </c>
      <c r="C15" s="643"/>
      <c r="D15" s="318"/>
      <c r="E15" s="125"/>
      <c r="F15" s="125"/>
      <c r="G15" s="125"/>
      <c r="H15" s="125"/>
      <c r="I15" s="125"/>
      <c r="J15" s="125"/>
    </row>
    <row r="16" spans="1:10">
      <c r="A16" s="125"/>
      <c r="B16" s="316" t="s">
        <v>2</v>
      </c>
      <c r="C16" s="643"/>
      <c r="D16" s="318"/>
      <c r="E16" s="304"/>
      <c r="F16" s="304"/>
      <c r="G16" s="125"/>
      <c r="H16" s="125"/>
      <c r="I16" s="125"/>
      <c r="J16" s="125"/>
    </row>
    <row r="17" spans="1:10">
      <c r="A17" s="48"/>
      <c r="B17" s="205"/>
      <c r="C17" s="146"/>
      <c r="D17" s="146"/>
      <c r="E17" s="146"/>
      <c r="F17" s="100"/>
      <c r="G17" s="60"/>
      <c r="H17" s="60"/>
      <c r="I17" s="60"/>
      <c r="J17" s="60"/>
    </row>
    <row r="18" spans="1:10">
      <c r="A18" s="48"/>
      <c r="B18" s="314"/>
      <c r="C18" s="422" t="s">
        <v>16</v>
      </c>
      <c r="D18" s="253"/>
      <c r="E18" s="253"/>
      <c r="F18" s="253"/>
      <c r="G18" s="253"/>
      <c r="H18" s="253"/>
      <c r="I18" s="157"/>
      <c r="J18" s="806"/>
    </row>
    <row r="19" spans="1:10">
      <c r="A19" s="262" t="s">
        <v>273</v>
      </c>
      <c r="B19" s="267"/>
      <c r="C19" s="140"/>
      <c r="D19" s="262"/>
      <c r="E19" s="262"/>
      <c r="F19" s="262"/>
      <c r="G19" s="262"/>
      <c r="H19" s="262"/>
      <c r="I19" s="262"/>
      <c r="J19" s="262"/>
    </row>
    <row r="20" spans="1:10">
      <c r="A20" s="48"/>
      <c r="B20" s="401" t="s">
        <v>272</v>
      </c>
      <c r="C20" s="350"/>
      <c r="D20" s="698"/>
      <c r="E20" s="670"/>
      <c r="F20" s="659"/>
      <c r="G20" s="671"/>
      <c r="H20" s="672"/>
      <c r="I20" s="699"/>
      <c r="J20" s="347"/>
    </row>
    <row r="21" spans="1:10">
      <c r="A21" s="48"/>
      <c r="B21" s="615"/>
      <c r="C21" s="361" t="s">
        <v>688</v>
      </c>
      <c r="D21" s="669"/>
      <c r="E21" s="670"/>
      <c r="F21" s="659"/>
      <c r="G21" s="717" t="s">
        <v>382</v>
      </c>
      <c r="H21" s="718" t="s">
        <v>382</v>
      </c>
      <c r="I21" s="364"/>
      <c r="J21" s="348"/>
    </row>
    <row r="22" spans="1:10">
      <c r="A22" s="48"/>
      <c r="B22" s="700"/>
      <c r="C22" s="97"/>
      <c r="D22" s="673"/>
      <c r="E22" s="673"/>
      <c r="F22" s="688"/>
      <c r="G22" s="674"/>
      <c r="H22" s="674"/>
      <c r="I22" s="674"/>
      <c r="J22" s="179"/>
    </row>
    <row r="23" spans="1:10">
      <c r="A23" s="48"/>
      <c r="B23" s="97"/>
      <c r="C23" s="615" t="s">
        <v>689</v>
      </c>
      <c r="D23" s="383"/>
      <c r="E23" s="673"/>
      <c r="F23" s="688"/>
      <c r="G23" s="689"/>
      <c r="H23" s="676"/>
      <c r="I23" s="690"/>
      <c r="J23" s="179"/>
    </row>
    <row r="24" spans="1:10">
      <c r="A24" s="48"/>
      <c r="B24" s="97"/>
      <c r="C24" s="615"/>
      <c r="D24" s="675"/>
      <c r="E24" s="719" t="s">
        <v>690</v>
      </c>
      <c r="F24" s="671"/>
      <c r="G24" s="671"/>
      <c r="H24" s="677"/>
      <c r="I24" s="690"/>
      <c r="J24" s="349"/>
    </row>
    <row r="25" spans="1:10">
      <c r="A25" s="48"/>
      <c r="B25" s="97"/>
      <c r="C25" s="615"/>
      <c r="D25" s="695"/>
      <c r="E25" s="658"/>
      <c r="F25" s="659"/>
      <c r="G25" s="688"/>
      <c r="H25" s="661"/>
      <c r="I25" s="690"/>
      <c r="J25" s="349"/>
    </row>
    <row r="26" spans="1:10">
      <c r="A26" s="48"/>
      <c r="B26" s="97"/>
      <c r="C26" s="615" t="s">
        <v>691</v>
      </c>
      <c r="D26" s="663"/>
      <c r="E26" s="717" t="s">
        <v>382</v>
      </c>
      <c r="F26" s="718" t="s">
        <v>382</v>
      </c>
      <c r="G26" s="720" t="s">
        <v>692</v>
      </c>
      <c r="H26" s="664"/>
      <c r="I26" s="721">
        <v>1</v>
      </c>
      <c r="J26" s="349"/>
    </row>
    <row r="27" spans="1:10">
      <c r="A27" s="48"/>
      <c r="B27" s="97"/>
      <c r="C27" s="615"/>
      <c r="D27" s="701"/>
      <c r="E27" s="658"/>
      <c r="F27" s="697"/>
      <c r="G27" s="349"/>
      <c r="H27" s="349"/>
      <c r="I27" s="383"/>
      <c r="J27" s="349"/>
    </row>
    <row r="28" spans="1:10">
      <c r="A28" s="48"/>
      <c r="B28" s="97"/>
      <c r="C28" s="615" t="s">
        <v>693</v>
      </c>
      <c r="D28" s="807"/>
      <c r="E28" s="807"/>
      <c r="F28" s="350"/>
      <c r="G28" s="350"/>
      <c r="H28" s="350"/>
      <c r="I28" s="350"/>
      <c r="J28" s="349"/>
    </row>
    <row r="29" spans="1:10">
      <c r="A29" s="48"/>
      <c r="B29" s="97"/>
      <c r="C29" s="615" t="s">
        <v>694</v>
      </c>
      <c r="D29" s="178"/>
      <c r="E29" s="178"/>
      <c r="F29" s="343"/>
      <c r="G29" s="343"/>
      <c r="H29" s="343"/>
      <c r="I29" s="178"/>
      <c r="J29" s="178"/>
    </row>
    <row r="30" spans="1:10">
      <c r="A30" s="48"/>
      <c r="B30" s="256"/>
      <c r="C30" s="615" t="s">
        <v>695</v>
      </c>
      <c r="D30" s="178"/>
      <c r="E30" s="178"/>
      <c r="F30" s="343"/>
      <c r="G30" s="808">
        <v>7</v>
      </c>
      <c r="H30" s="723" t="s">
        <v>696</v>
      </c>
      <c r="I30" s="178" t="s">
        <v>697</v>
      </c>
      <c r="J30" s="178"/>
    </row>
    <row r="31" spans="1:10">
      <c r="A31" s="48"/>
      <c r="B31" s="63"/>
      <c r="C31" s="615" t="s">
        <v>698</v>
      </c>
      <c r="D31" s="343"/>
      <c r="E31" s="343"/>
      <c r="F31" s="343"/>
      <c r="G31" s="343"/>
      <c r="H31" s="808">
        <v>7</v>
      </c>
      <c r="I31" s="343" t="s">
        <v>699</v>
      </c>
      <c r="J31" s="178"/>
    </row>
    <row r="32" spans="1:10">
      <c r="A32" s="48"/>
      <c r="B32" s="106"/>
      <c r="C32" s="615" t="s">
        <v>700</v>
      </c>
      <c r="D32" s="178"/>
      <c r="E32" s="178"/>
      <c r="F32" s="97"/>
      <c r="G32" s="206"/>
      <c r="H32" s="178"/>
      <c r="I32" s="178"/>
      <c r="J32" s="178"/>
    </row>
    <row r="33" spans="1:10">
      <c r="A33" s="48"/>
      <c r="B33" s="127"/>
      <c r="C33" s="97"/>
      <c r="D33" s="178"/>
      <c r="E33" s="178"/>
      <c r="F33" s="673"/>
      <c r="G33" s="206"/>
      <c r="H33" s="673"/>
      <c r="I33" s="178"/>
      <c r="J33" s="178"/>
    </row>
    <row r="34" spans="1:10">
      <c r="A34" s="48"/>
      <c r="B34" s="127"/>
      <c r="C34" s="97" t="s">
        <v>701</v>
      </c>
      <c r="D34" s="178"/>
      <c r="E34" s="178"/>
      <c r="F34" s="673"/>
      <c r="G34" s="206"/>
      <c r="H34" s="673"/>
      <c r="I34" s="178"/>
      <c r="J34" s="178"/>
    </row>
    <row r="35" spans="1:10">
      <c r="A35" s="48"/>
      <c r="B35" s="127"/>
      <c r="C35" s="97" t="s">
        <v>702</v>
      </c>
      <c r="D35" s="178"/>
      <c r="E35" s="178"/>
      <c r="F35" s="673"/>
      <c r="G35" s="206"/>
      <c r="H35" s="673"/>
      <c r="I35" s="178"/>
      <c r="J35" s="178"/>
    </row>
    <row r="36" spans="1:10">
      <c r="A36" s="48"/>
      <c r="B36" s="127"/>
      <c r="C36" s="127"/>
      <c r="D36" s="106"/>
      <c r="E36" s="127"/>
      <c r="F36" s="314"/>
      <c r="G36" s="28"/>
      <c r="H36" s="314"/>
      <c r="I36" s="127"/>
      <c r="J36" s="127"/>
    </row>
    <row r="37" spans="1:10">
      <c r="A37" s="48"/>
      <c r="B37" s="127"/>
      <c r="C37" s="178" t="s">
        <v>238</v>
      </c>
      <c r="D37" s="332"/>
      <c r="E37" s="296" t="s">
        <v>382</v>
      </c>
      <c r="F37" s="724" t="s">
        <v>382</v>
      </c>
      <c r="G37" s="178" t="s">
        <v>703</v>
      </c>
      <c r="H37" s="178"/>
      <c r="I37" s="178"/>
      <c r="J37" s="178"/>
    </row>
    <row r="38" spans="1:10">
      <c r="A38" s="48"/>
      <c r="B38" s="127"/>
      <c r="C38" s="178" t="s">
        <v>704</v>
      </c>
      <c r="D38" s="332"/>
      <c r="E38" s="178"/>
      <c r="F38" s="178"/>
      <c r="G38" s="178"/>
      <c r="H38" s="178"/>
      <c r="I38" s="178"/>
      <c r="J38" s="178"/>
    </row>
    <row r="39" spans="1:10">
      <c r="A39" s="48"/>
      <c r="B39" s="126"/>
      <c r="C39" s="178" t="s">
        <v>705</v>
      </c>
      <c r="D39" s="178"/>
      <c r="E39" s="725"/>
      <c r="F39" s="725"/>
      <c r="G39" s="726"/>
      <c r="H39" s="725"/>
      <c r="I39" s="725"/>
      <c r="J39" s="178"/>
    </row>
    <row r="40" spans="1:10">
      <c r="A40" s="48"/>
      <c r="B40" s="805"/>
      <c r="C40" s="356" t="s">
        <v>706</v>
      </c>
      <c r="D40" s="342"/>
      <c r="E40" s="179"/>
      <c r="F40" s="179"/>
      <c r="G40" s="179"/>
      <c r="H40" s="179"/>
      <c r="I40" s="178"/>
      <c r="J40" s="178"/>
    </row>
    <row r="41" spans="1:10">
      <c r="A41" s="48"/>
      <c r="B41" s="189"/>
      <c r="C41" s="97"/>
      <c r="D41" s="189"/>
      <c r="E41" s="189"/>
      <c r="F41" s="189"/>
      <c r="G41" s="97"/>
      <c r="H41" s="189"/>
      <c r="I41" s="178"/>
      <c r="J41" s="178"/>
    </row>
    <row r="42" spans="1:10">
      <c r="A42" s="48"/>
      <c r="B42" s="97"/>
      <c r="C42" s="97"/>
      <c r="D42" s="97"/>
      <c r="E42" s="97"/>
      <c r="F42" s="97"/>
      <c r="G42" s="189" t="s">
        <v>480</v>
      </c>
      <c r="H42" s="97"/>
      <c r="I42" s="178"/>
      <c r="J42" s="178"/>
    </row>
    <row r="43" spans="1:10">
      <c r="A43" s="48"/>
      <c r="B43" s="189"/>
      <c r="C43" s="189"/>
      <c r="D43" s="189"/>
      <c r="E43" s="189"/>
      <c r="F43" s="189"/>
      <c r="G43" s="189"/>
      <c r="H43" s="189"/>
      <c r="I43" s="342"/>
      <c r="J43" s="342"/>
    </row>
    <row r="44" spans="1:10">
      <c r="A44" s="48"/>
      <c r="B44" s="206" t="s">
        <v>10</v>
      </c>
      <c r="C44" s="178"/>
      <c r="D44" s="178"/>
      <c r="E44" s="179"/>
      <c r="F44" s="206"/>
      <c r="G44" s="206" t="s">
        <v>707</v>
      </c>
      <c r="H44" s="178"/>
      <c r="I44" s="178"/>
      <c r="J44" s="178"/>
    </row>
    <row r="45" spans="1:10">
      <c r="A45" s="48"/>
      <c r="B45" s="178"/>
      <c r="C45" s="178"/>
      <c r="D45" s="293"/>
      <c r="E45" s="293"/>
      <c r="F45" s="41"/>
      <c r="G45" s="41"/>
      <c r="H45" s="41"/>
      <c r="I45" s="41"/>
      <c r="J45" s="41"/>
    </row>
    <row r="46" spans="1:10">
      <c r="A46" s="48"/>
      <c r="B46" s="60" t="s">
        <v>287</v>
      </c>
      <c r="C46" s="122"/>
      <c r="D46" s="122"/>
      <c r="E46" s="60"/>
      <c r="F46" s="60"/>
      <c r="G46" s="60" t="s">
        <v>287</v>
      </c>
      <c r="H46" s="122"/>
      <c r="I46" s="122"/>
      <c r="J46" s="49"/>
    </row>
    <row r="47" spans="1:10">
      <c r="A47" s="48"/>
      <c r="B47" s="665"/>
      <c r="C47" s="666"/>
      <c r="D47" s="189"/>
      <c r="E47" s="189"/>
      <c r="F47" s="665"/>
      <c r="G47" s="666"/>
      <c r="H47" s="615"/>
      <c r="I47" s="615"/>
      <c r="J47" s="48"/>
    </row>
    <row r="48" spans="1:10">
      <c r="A48" s="48"/>
      <c r="B48" s="48" t="s">
        <v>288</v>
      </c>
      <c r="C48" s="235"/>
      <c r="D48" s="235"/>
      <c r="E48" s="48"/>
      <c r="F48" s="615"/>
      <c r="G48" s="615" t="s">
        <v>288</v>
      </c>
      <c r="H48" s="235"/>
      <c r="I48" s="235"/>
      <c r="J48" s="48"/>
    </row>
    <row r="49" spans="1:10" ht="12" customHeight="1">
      <c r="A49" s="48"/>
      <c r="B49" s="48"/>
      <c r="C49" s="615"/>
      <c r="D49" s="615"/>
      <c r="E49" s="48"/>
      <c r="F49" s="615"/>
      <c r="G49" s="615"/>
      <c r="H49" s="615"/>
      <c r="I49" s="615"/>
      <c r="J49" s="48"/>
    </row>
    <row r="50" spans="1:10" ht="12" customHeight="1">
      <c r="A50" s="48"/>
      <c r="B50" s="48" t="s">
        <v>1</v>
      </c>
      <c r="C50" s="235"/>
      <c r="D50" s="235"/>
      <c r="E50" s="48"/>
      <c r="F50" s="48"/>
      <c r="G50" s="48" t="s">
        <v>1</v>
      </c>
      <c r="H50" s="235"/>
      <c r="I50" s="235"/>
      <c r="J50" s="48"/>
    </row>
    <row r="51" spans="1:10" ht="1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</row>
    <row r="53" spans="1:10">
      <c r="B53" s="303"/>
      <c r="C53" s="303"/>
      <c r="D53" s="303"/>
      <c r="E53" s="303"/>
      <c r="F53" s="303"/>
      <c r="G53" s="303"/>
      <c r="H53" s="303"/>
      <c r="I53" s="303"/>
      <c r="J53" s="303"/>
    </row>
    <row r="54" spans="1:10"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B55" s="27"/>
      <c r="C55" s="1"/>
      <c r="D55" s="1"/>
      <c r="E55" s="1"/>
      <c r="F55" s="1"/>
      <c r="G55" s="1"/>
      <c r="H55" s="1"/>
      <c r="I55" s="1"/>
      <c r="J55" s="1"/>
    </row>
  </sheetData>
  <mergeCells count="1">
    <mergeCell ref="C6:G6"/>
  </mergeCells>
  <pageMargins left="0.32500000000000001" right="0.11666666666666667" top="0.37820512820512819" bottom="0.6858974358974359" header="0.3" footer="0.3"/>
  <pageSetup paperSize="9" orientation="portrait" horizont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1109-B929-4B83-8B9E-3DA00E24806C}">
  <sheetPr codeName="Лист59">
    <tabColor theme="8" tint="0.39997558519241921"/>
  </sheetPr>
  <dimension ref="A1:J55"/>
  <sheetViews>
    <sheetView view="pageLayout" topLeftCell="A4" zoomScaleNormal="100" zoomScaleSheetLayoutView="110" workbookViewId="0">
      <selection activeCell="E10" sqref="E10"/>
    </sheetView>
  </sheetViews>
  <sheetFormatPr defaultColWidth="8.86328125" defaultRowHeight="14.25"/>
  <cols>
    <col min="1" max="1" width="4.6640625" customWidth="1"/>
    <col min="2" max="2" width="14" customWidth="1"/>
    <col min="3" max="3" width="10.1328125" bestFit="1" customWidth="1"/>
    <col min="4" max="4" width="9.86328125" bestFit="1" customWidth="1"/>
    <col min="5" max="6" width="10.19921875" customWidth="1"/>
    <col min="7" max="7" width="10.1328125" bestFit="1" customWidth="1"/>
    <col min="8" max="8" width="9.796875" customWidth="1"/>
    <col min="9" max="9" width="10.1328125" customWidth="1"/>
    <col min="10" max="10" width="7.86328125" customWidth="1"/>
  </cols>
  <sheetData>
    <row r="1" spans="1:10">
      <c r="A1" s="48"/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8"/>
      <c r="B2" s="106"/>
      <c r="C2" s="106"/>
      <c r="D2" s="85"/>
      <c r="E2" s="85"/>
      <c r="F2" s="104"/>
      <c r="G2" s="85"/>
      <c r="H2" s="85"/>
      <c r="I2" s="85"/>
      <c r="J2" s="85"/>
    </row>
    <row r="3" spans="1:10" ht="15" customHeight="1">
      <c r="A3" s="48"/>
      <c r="B3" s="106"/>
      <c r="C3" s="58"/>
      <c r="D3" s="58"/>
      <c r="E3" s="58"/>
      <c r="F3" s="102"/>
      <c r="G3" s="243"/>
      <c r="H3" s="109"/>
      <c r="I3" s="109"/>
      <c r="J3" s="106"/>
    </row>
    <row r="4" spans="1:10" ht="15" customHeight="1">
      <c r="A4" s="48"/>
      <c r="B4" s="246"/>
      <c r="C4" s="111"/>
      <c r="D4" s="111"/>
      <c r="E4" s="111"/>
      <c r="F4" s="104"/>
      <c r="G4" s="244"/>
      <c r="H4" s="245"/>
      <c r="I4" s="245"/>
      <c r="J4" s="106"/>
    </row>
    <row r="5" spans="1:10" ht="15" customHeight="1">
      <c r="A5" s="48"/>
      <c r="B5" s="59"/>
      <c r="C5" s="59"/>
      <c r="D5" s="59"/>
      <c r="E5" s="59"/>
      <c r="F5" s="59"/>
      <c r="G5" s="59"/>
      <c r="H5" s="60"/>
      <c r="I5" s="60"/>
      <c r="J5" s="60"/>
    </row>
    <row r="6" spans="1:10" ht="17.25">
      <c r="A6" s="48"/>
      <c r="B6" s="247"/>
      <c r="C6" s="1108" t="s">
        <v>267</v>
      </c>
      <c r="D6" s="1108"/>
      <c r="E6" s="1108"/>
      <c r="F6" s="1108"/>
      <c r="G6" s="1108"/>
      <c r="H6" s="247"/>
      <c r="I6" s="60"/>
      <c r="J6" s="60"/>
    </row>
    <row r="7" spans="1:10">
      <c r="A7" s="48"/>
      <c r="B7" s="100"/>
      <c r="C7" s="100"/>
      <c r="D7" s="727" t="s">
        <v>820</v>
      </c>
      <c r="E7" s="100"/>
      <c r="F7" s="100"/>
      <c r="G7" s="100"/>
      <c r="H7" s="100"/>
      <c r="I7" s="60"/>
      <c r="J7" s="60"/>
    </row>
    <row r="8" spans="1:10">
      <c r="A8" s="48"/>
      <c r="B8" s="60"/>
      <c r="C8" s="607"/>
      <c r="D8" s="99"/>
      <c r="E8" s="607"/>
      <c r="F8" s="607"/>
      <c r="G8" s="607"/>
      <c r="H8" s="607"/>
      <c r="I8" s="60"/>
      <c r="J8" s="60"/>
    </row>
    <row r="9" spans="1:10">
      <c r="A9" s="48"/>
      <c r="B9" s="60"/>
      <c r="C9" s="100"/>
      <c r="D9" s="60"/>
      <c r="E9" s="60"/>
      <c r="F9" s="60"/>
      <c r="G9" s="60"/>
      <c r="H9" s="60"/>
      <c r="I9" s="60"/>
      <c r="J9" s="60"/>
    </row>
    <row r="10" spans="1:10">
      <c r="A10" s="48"/>
      <c r="B10" s="685" t="s">
        <v>268</v>
      </c>
      <c r="C10" s="122"/>
      <c r="D10" s="122"/>
      <c r="E10" s="60"/>
      <c r="F10" s="60"/>
      <c r="G10" s="492"/>
      <c r="H10" s="60"/>
      <c r="I10" s="60"/>
      <c r="J10" s="60"/>
    </row>
    <row r="11" spans="1:10">
      <c r="A11" s="48"/>
      <c r="B11" s="266" t="s">
        <v>301</v>
      </c>
      <c r="C11" s="122"/>
      <c r="D11" s="123"/>
      <c r="E11" s="59"/>
      <c r="F11" s="59"/>
      <c r="G11" s="59"/>
      <c r="H11" s="98"/>
      <c r="I11" s="63"/>
      <c r="J11" s="60"/>
    </row>
    <row r="12" spans="1:10">
      <c r="A12" s="48"/>
      <c r="B12" s="248" t="s">
        <v>638</v>
      </c>
      <c r="C12" s="83"/>
      <c r="D12" s="83"/>
      <c r="E12" s="60"/>
      <c r="F12" s="60"/>
      <c r="G12" s="641"/>
      <c r="H12" s="41"/>
      <c r="I12" s="41"/>
      <c r="J12" s="60"/>
    </row>
    <row r="13" spans="1:10" ht="15" customHeight="1">
      <c r="A13" s="48"/>
      <c r="B13" s="266" t="s">
        <v>569</v>
      </c>
      <c r="C13" s="83"/>
      <c r="D13" s="83"/>
      <c r="E13" s="94"/>
      <c r="F13" s="60"/>
      <c r="G13" s="685"/>
      <c r="H13" s="41"/>
      <c r="I13" s="41"/>
      <c r="J13" s="60"/>
    </row>
    <row r="14" spans="1:10" ht="15" customHeight="1">
      <c r="A14" s="48"/>
      <c r="B14" s="231" t="s">
        <v>821</v>
      </c>
      <c r="C14" s="884"/>
      <c r="D14" s="306"/>
      <c r="E14" s="63"/>
      <c r="F14" s="616"/>
      <c r="G14" s="63"/>
      <c r="H14" s="63"/>
      <c r="I14" s="63"/>
      <c r="J14" s="41"/>
    </row>
    <row r="15" spans="1:10" ht="15" customHeight="1">
      <c r="A15" s="125"/>
      <c r="B15" s="316"/>
      <c r="C15" s="314"/>
      <c r="D15" s="304"/>
      <c r="E15" s="125"/>
      <c r="F15" s="125"/>
      <c r="G15" s="125"/>
      <c r="H15" s="125"/>
      <c r="I15" s="125"/>
      <c r="J15" s="125"/>
    </row>
    <row r="16" spans="1:10">
      <c r="A16" s="125"/>
      <c r="B16" s="316" t="s">
        <v>2</v>
      </c>
      <c r="C16" s="643"/>
      <c r="D16" s="318"/>
      <c r="E16" s="304"/>
      <c r="F16" s="304"/>
      <c r="G16" s="125"/>
      <c r="H16" s="125"/>
      <c r="I16" s="125"/>
      <c r="J16" s="125"/>
    </row>
    <row r="17" spans="1:10">
      <c r="A17" s="48"/>
      <c r="B17" s="205"/>
      <c r="C17" s="146"/>
      <c r="D17" s="146"/>
      <c r="E17" s="146"/>
      <c r="F17" s="100"/>
      <c r="G17" s="60"/>
      <c r="H17" s="60"/>
      <c r="I17" s="60"/>
      <c r="J17" s="60"/>
    </row>
    <row r="18" spans="1:10">
      <c r="A18" s="48"/>
      <c r="B18" s="314"/>
      <c r="C18" s="422" t="s">
        <v>16</v>
      </c>
      <c r="D18" s="253"/>
      <c r="E18" s="253"/>
      <c r="F18" s="253"/>
      <c r="G18" s="253"/>
      <c r="H18" s="253"/>
      <c r="I18" s="157"/>
      <c r="J18" s="606"/>
    </row>
    <row r="19" spans="1:10">
      <c r="A19" s="262" t="s">
        <v>273</v>
      </c>
      <c r="B19" s="267"/>
      <c r="C19" s="140"/>
      <c r="D19" s="262"/>
      <c r="E19" s="262"/>
      <c r="F19" s="262"/>
      <c r="G19" s="262"/>
      <c r="H19" s="262"/>
      <c r="I19" s="262"/>
      <c r="J19" s="262"/>
    </row>
    <row r="20" spans="1:10">
      <c r="A20" s="48"/>
      <c r="B20" s="401" t="s">
        <v>272</v>
      </c>
      <c r="C20" s="350"/>
      <c r="D20" s="698"/>
      <c r="E20" s="670"/>
      <c r="F20" s="659"/>
      <c r="G20" s="671"/>
      <c r="H20" s="672"/>
      <c r="I20" s="699"/>
      <c r="J20" s="347"/>
    </row>
    <row r="21" spans="1:10">
      <c r="A21" s="48"/>
      <c r="B21" s="615"/>
      <c r="C21" s="361"/>
      <c r="D21" s="669"/>
      <c r="E21" s="670"/>
      <c r="F21" s="659"/>
      <c r="G21" s="885"/>
      <c r="H21" s="886"/>
      <c r="I21" s="364"/>
      <c r="J21" s="348"/>
    </row>
    <row r="22" spans="1:10">
      <c r="A22" s="48"/>
      <c r="B22" s="700"/>
      <c r="C22" s="48" t="s">
        <v>822</v>
      </c>
      <c r="D22" s="673"/>
      <c r="E22" s="673"/>
      <c r="F22" s="688"/>
      <c r="G22" s="674"/>
      <c r="H22" s="674"/>
      <c r="I22" s="674"/>
      <c r="J22" s="179"/>
    </row>
    <row r="23" spans="1:10">
      <c r="A23" s="48"/>
      <c r="B23" s="97"/>
      <c r="C23" s="48" t="s">
        <v>823</v>
      </c>
      <c r="D23" s="383"/>
      <c r="E23" s="673"/>
      <c r="F23" s="688"/>
      <c r="G23" s="689"/>
      <c r="H23" s="676"/>
      <c r="I23" s="690"/>
      <c r="J23" s="179"/>
    </row>
    <row r="24" spans="1:10">
      <c r="A24" s="48"/>
      <c r="B24" s="97"/>
      <c r="C24" s="615"/>
      <c r="D24" s="675"/>
      <c r="E24" s="719"/>
      <c r="F24" s="671"/>
      <c r="G24" s="671"/>
      <c r="H24" s="677"/>
      <c r="I24" s="690"/>
      <c r="J24" s="349"/>
    </row>
    <row r="25" spans="1:10">
      <c r="A25" s="48"/>
      <c r="B25" s="97"/>
      <c r="C25" s="48" t="s">
        <v>824</v>
      </c>
      <c r="D25" s="695"/>
      <c r="E25" s="658"/>
      <c r="F25" s="659"/>
      <c r="G25" s="688"/>
      <c r="H25" s="661"/>
      <c r="I25" s="690"/>
      <c r="J25" s="349"/>
    </row>
    <row r="26" spans="1:10">
      <c r="A26" s="48"/>
      <c r="B26" s="97"/>
      <c r="C26" s="48" t="s">
        <v>825</v>
      </c>
      <c r="D26" s="663"/>
      <c r="E26" s="885"/>
      <c r="F26" s="886"/>
      <c r="G26" s="720"/>
      <c r="H26" s="664"/>
      <c r="I26" s="887"/>
      <c r="J26" s="349"/>
    </row>
    <row r="27" spans="1:10">
      <c r="A27" s="48"/>
      <c r="B27" s="97"/>
      <c r="C27" s="399" t="s">
        <v>826</v>
      </c>
      <c r="D27" s="701"/>
      <c r="E27" s="658"/>
      <c r="F27" s="697"/>
      <c r="G27" s="349"/>
      <c r="H27" s="349"/>
      <c r="I27" s="383"/>
      <c r="J27" s="349"/>
    </row>
    <row r="28" spans="1:10">
      <c r="A28" s="48"/>
      <c r="B28" s="97"/>
      <c r="C28" s="615"/>
      <c r="D28" s="807"/>
      <c r="E28" s="807"/>
      <c r="F28" s="350"/>
      <c r="G28" s="350"/>
      <c r="H28" s="350"/>
      <c r="I28" s="350"/>
      <c r="J28" s="349"/>
    </row>
    <row r="29" spans="1:10">
      <c r="A29" s="48"/>
      <c r="B29" s="97"/>
      <c r="C29" s="48" t="s">
        <v>476</v>
      </c>
      <c r="D29" s="178"/>
      <c r="E29" s="178"/>
      <c r="F29" s="343"/>
      <c r="G29" s="343"/>
      <c r="H29" s="343"/>
      <c r="I29" s="178"/>
      <c r="J29" s="178"/>
    </row>
    <row r="30" spans="1:10">
      <c r="A30" s="48"/>
      <c r="B30" s="256"/>
      <c r="C30" s="48" t="s">
        <v>477</v>
      </c>
      <c r="D30" s="178"/>
      <c r="E30" s="178"/>
      <c r="F30" s="343"/>
      <c r="G30" s="795"/>
      <c r="H30" s="723"/>
      <c r="I30" s="178"/>
      <c r="J30" s="178"/>
    </row>
    <row r="31" spans="1:10">
      <c r="A31" s="48"/>
      <c r="B31" s="63"/>
      <c r="C31" s="399" t="s">
        <v>479</v>
      </c>
      <c r="D31" s="343"/>
      <c r="E31" s="343"/>
      <c r="F31" s="343"/>
      <c r="G31" s="343"/>
      <c r="H31" s="795"/>
      <c r="I31" s="343"/>
      <c r="J31" s="178"/>
    </row>
    <row r="32" spans="1:10">
      <c r="A32" s="48"/>
      <c r="B32" s="106"/>
      <c r="C32" s="615"/>
      <c r="D32" s="178"/>
      <c r="E32" s="178"/>
      <c r="F32" s="97"/>
      <c r="G32" s="206"/>
      <c r="H32" s="178"/>
      <c r="I32" s="178"/>
      <c r="J32" s="178"/>
    </row>
    <row r="33" spans="1:10">
      <c r="A33" s="48"/>
      <c r="B33" s="127"/>
      <c r="C33" s="97"/>
      <c r="D33" s="178"/>
      <c r="E33" s="178"/>
      <c r="F33" s="673"/>
      <c r="G33" s="206"/>
      <c r="H33" s="673"/>
      <c r="I33" s="178"/>
      <c r="J33" s="178"/>
    </row>
    <row r="34" spans="1:10">
      <c r="A34" s="48"/>
      <c r="B34" s="127"/>
      <c r="C34" s="97"/>
      <c r="D34" s="178"/>
      <c r="E34" s="178"/>
      <c r="F34" s="673"/>
      <c r="G34" s="206"/>
      <c r="H34" s="673"/>
      <c r="I34" s="178"/>
      <c r="J34" s="178"/>
    </row>
    <row r="35" spans="1:10">
      <c r="A35" s="48"/>
      <c r="B35" s="178"/>
      <c r="C35" s="97"/>
      <c r="D35" s="178"/>
      <c r="E35" s="178"/>
      <c r="F35" s="673"/>
      <c r="G35" s="189" t="s">
        <v>480</v>
      </c>
      <c r="H35" s="673"/>
      <c r="I35" s="178"/>
      <c r="J35" s="178"/>
    </row>
    <row r="36" spans="1:10">
      <c r="A36" s="48"/>
      <c r="B36" s="178"/>
      <c r="C36" s="178"/>
      <c r="D36" s="332"/>
      <c r="E36" s="178"/>
      <c r="F36" s="189"/>
      <c r="G36" s="189"/>
      <c r="H36" s="189"/>
      <c r="I36" s="178"/>
      <c r="J36" s="178"/>
    </row>
    <row r="37" spans="1:10">
      <c r="A37" s="48"/>
      <c r="B37" s="178"/>
      <c r="C37" s="178"/>
      <c r="D37" s="332"/>
      <c r="E37" s="178"/>
      <c r="F37" s="888"/>
      <c r="G37" s="189"/>
      <c r="H37" s="178"/>
      <c r="I37" s="178"/>
      <c r="J37" s="178"/>
    </row>
    <row r="38" spans="1:10">
      <c r="A38" s="48"/>
      <c r="B38" s="206" t="s">
        <v>10</v>
      </c>
      <c r="C38" s="178"/>
      <c r="D38" s="332"/>
      <c r="E38" s="178"/>
      <c r="F38" s="296"/>
      <c r="G38" s="186"/>
      <c r="H38" s="296"/>
      <c r="I38" s="178"/>
      <c r="J38" s="178"/>
    </row>
    <row r="39" spans="1:10">
      <c r="A39" s="48"/>
      <c r="B39" s="206"/>
      <c r="C39" s="178"/>
      <c r="D39" s="178"/>
      <c r="E39" s="97"/>
      <c r="F39" s="97" t="s">
        <v>482</v>
      </c>
      <c r="G39" s="48"/>
      <c r="H39" s="97"/>
      <c r="I39" s="97"/>
      <c r="J39" s="178"/>
    </row>
    <row r="40" spans="1:10">
      <c r="A40" s="48"/>
      <c r="B40" s="332" t="s">
        <v>287</v>
      </c>
      <c r="C40" s="889"/>
      <c r="D40" s="370"/>
      <c r="E40" s="179"/>
      <c r="F40" s="179"/>
      <c r="G40" s="189"/>
      <c r="H40" s="179"/>
      <c r="I40" s="178"/>
      <c r="J40" s="178"/>
    </row>
    <row r="41" spans="1:10">
      <c r="A41" s="48"/>
      <c r="B41" s="332"/>
      <c r="C41" s="97"/>
      <c r="D41" s="189"/>
      <c r="E41" s="189"/>
      <c r="F41" s="189"/>
      <c r="G41" s="189"/>
      <c r="H41" s="189"/>
      <c r="I41" s="178"/>
      <c r="J41" s="178"/>
    </row>
    <row r="42" spans="1:10">
      <c r="A42" s="48"/>
      <c r="B42" s="48" t="s">
        <v>288</v>
      </c>
      <c r="C42" s="295"/>
      <c r="D42" s="295"/>
      <c r="E42" s="97"/>
      <c r="F42" s="295"/>
      <c r="G42" s="186"/>
      <c r="H42" s="295"/>
      <c r="I42" s="178"/>
      <c r="J42" s="178"/>
    </row>
    <row r="43" spans="1:10">
      <c r="A43" s="48"/>
      <c r="B43" s="48"/>
      <c r="C43" s="189"/>
      <c r="D43" s="189"/>
      <c r="E43" s="189"/>
      <c r="F43" s="399" t="s">
        <v>827</v>
      </c>
      <c r="G43" s="399"/>
      <c r="H43" s="399"/>
      <c r="I43" s="399"/>
      <c r="J43" s="399"/>
    </row>
    <row r="44" spans="1:10">
      <c r="A44" s="48"/>
      <c r="B44" s="48" t="s">
        <v>1</v>
      </c>
      <c r="C44" s="296"/>
      <c r="D44" s="296"/>
      <c r="E44" s="179"/>
      <c r="F44" s="399"/>
      <c r="G44" s="206"/>
      <c r="H44" s="178"/>
      <c r="I44" s="178"/>
      <c r="J44" s="178"/>
    </row>
    <row r="45" spans="1:10">
      <c r="A45" s="48"/>
      <c r="B45" s="48"/>
      <c r="C45" s="178"/>
      <c r="D45" s="293"/>
      <c r="E45" s="293"/>
      <c r="F45" s="178"/>
      <c r="G45" s="178"/>
      <c r="H45" s="178"/>
      <c r="I45" s="178"/>
      <c r="J45" s="178"/>
    </row>
    <row r="46" spans="1:10">
      <c r="A46" s="48"/>
      <c r="B46" s="48"/>
      <c r="C46" s="332"/>
      <c r="D46" s="332"/>
      <c r="E46" s="332"/>
      <c r="F46" s="332"/>
      <c r="G46" s="332"/>
      <c r="H46" s="332"/>
      <c r="I46" s="332"/>
      <c r="J46" s="354"/>
    </row>
    <row r="47" spans="1:10">
      <c r="A47" s="48"/>
      <c r="B47" s="48"/>
      <c r="C47" s="890"/>
      <c r="D47" s="189"/>
      <c r="E47" s="189"/>
      <c r="F47" s="665"/>
      <c r="G47" s="890"/>
      <c r="H47" s="615"/>
      <c r="I47" s="615"/>
      <c r="J47" s="48"/>
    </row>
    <row r="48" spans="1:10">
      <c r="A48" s="48"/>
      <c r="B48" s="48"/>
      <c r="C48" s="615"/>
      <c r="D48" s="615"/>
      <c r="E48" s="48"/>
      <c r="F48" s="615"/>
      <c r="G48" s="615"/>
      <c r="H48" s="615"/>
      <c r="I48" s="615"/>
      <c r="J48" s="48"/>
    </row>
    <row r="49" spans="1:10" ht="12" customHeight="1">
      <c r="A49" s="48"/>
      <c r="B49" s="48"/>
      <c r="C49" s="615"/>
      <c r="D49" s="615"/>
      <c r="E49" s="48"/>
      <c r="F49" s="615"/>
      <c r="G49" s="615"/>
      <c r="H49" s="615"/>
      <c r="I49" s="615"/>
      <c r="J49" s="48"/>
    </row>
    <row r="50" spans="1:10" ht="12" customHeight="1">
      <c r="A50" s="48"/>
      <c r="B50" s="48"/>
      <c r="C50" s="615"/>
      <c r="D50" s="615"/>
      <c r="E50" s="48"/>
      <c r="F50" s="48"/>
      <c r="G50" s="615"/>
      <c r="H50" s="615"/>
      <c r="I50" s="615"/>
      <c r="J50" s="48"/>
    </row>
    <row r="51" spans="1:10" ht="15" customHeight="1">
      <c r="A51" s="48"/>
      <c r="B51" s="48"/>
      <c r="C51" s="615"/>
      <c r="D51" s="615"/>
      <c r="E51" s="48"/>
      <c r="F51" s="48"/>
      <c r="G51" s="48"/>
      <c r="H51" s="48"/>
      <c r="I51" s="48"/>
      <c r="J51" s="48"/>
    </row>
    <row r="53" spans="1:10">
      <c r="B53" s="303"/>
      <c r="C53" s="303"/>
      <c r="D53" s="303"/>
      <c r="E53" s="303"/>
      <c r="F53" s="303"/>
      <c r="G53" s="303"/>
      <c r="H53" s="303"/>
      <c r="I53" s="303"/>
      <c r="J53" s="303"/>
    </row>
    <row r="54" spans="1:10"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B55" s="27"/>
      <c r="C55" s="1"/>
      <c r="D55" s="1"/>
      <c r="E55" s="1"/>
      <c r="F55" s="1"/>
      <c r="G55" s="1"/>
      <c r="H55" s="1"/>
      <c r="I55" s="1"/>
      <c r="J55" s="1"/>
    </row>
  </sheetData>
  <mergeCells count="1">
    <mergeCell ref="C6:G6"/>
  </mergeCells>
  <phoneticPr fontId="41" type="noConversion"/>
  <pageMargins left="0.3" right="0.11666666666666667" top="0.37820512820512819" bottom="0.6858974358974359" header="0.3" footer="0.3"/>
  <pageSetup paperSize="9" orientation="portrait" horizont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94AD-F1F7-4F8A-A706-4858D010F04B}">
  <sheetPr codeName="Лист60"/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60</vt:i4>
      </vt:variant>
      <vt:variant>
        <vt:lpstr>Именованные диапазоны</vt:lpstr>
      </vt:variant>
      <vt:variant>
        <vt:i4>47</vt:i4>
      </vt:variant>
    </vt:vector>
  </HeadingPairs>
  <TitlesOfParts>
    <vt:vector size="107" baseType="lpstr">
      <vt:lpstr>TIME SHEET</vt:lpstr>
      <vt:lpstr>TIME SHEET №1</vt:lpstr>
      <vt:lpstr>TIME SHEET №2 </vt:lpstr>
      <vt:lpstr>TIME SHEET №3</vt:lpstr>
      <vt:lpstr>TIME SHEET №4 </vt:lpstr>
      <vt:lpstr>TIME SHEET №5 </vt:lpstr>
      <vt:lpstr>TIME SHEET №6 </vt:lpstr>
      <vt:lpstr>TIME SHEET №7</vt:lpstr>
      <vt:lpstr>NOR  BLANK </vt:lpstr>
      <vt:lpstr>RE - NOR  BLANK</vt:lpstr>
      <vt:lpstr>NOR </vt:lpstr>
      <vt:lpstr> NOR 1</vt:lpstr>
      <vt:lpstr>NOR re- tendering 2</vt:lpstr>
      <vt:lpstr> NOR re-tendering 3</vt:lpstr>
      <vt:lpstr> NOR  4 TORM</vt:lpstr>
      <vt:lpstr> NOR Re-tend 5TORM </vt:lpstr>
      <vt:lpstr>LETTER OF Authorization 6 TORM</vt:lpstr>
      <vt:lpstr>NOTICE 7 TORM</vt:lpstr>
      <vt:lpstr>LETTER OF PROTEST 8 TORM</vt:lpstr>
      <vt:lpstr>CARGO RECEIPT 9 TORM</vt:lpstr>
      <vt:lpstr>CARGO RECEIPT 10</vt:lpstr>
      <vt:lpstr>LETTER №1</vt:lpstr>
      <vt:lpstr>LETTER №2</vt:lpstr>
      <vt:lpstr>LETTER №3</vt:lpstr>
      <vt:lpstr>LETTER №4</vt:lpstr>
      <vt:lpstr>LETTER №5</vt:lpstr>
      <vt:lpstr>LETTER №6 </vt:lpstr>
      <vt:lpstr>LETTER №7</vt:lpstr>
      <vt:lpstr>LETTER Notice of readiness №8 </vt:lpstr>
      <vt:lpstr>LETTER №9</vt:lpstr>
      <vt:lpstr>LETTER Slow loading rate №10</vt:lpstr>
      <vt:lpstr>LETTER №11</vt:lpstr>
      <vt:lpstr>LETTER Water in cargo №12 </vt:lpstr>
      <vt:lpstr>LETTER MSDS №13</vt:lpstr>
      <vt:lpstr>LETTER Shore descripany №14 </vt:lpstr>
      <vt:lpstr>LETTER Dif quantity №15</vt:lpstr>
      <vt:lpstr>LETTER Cargo quantity dis №16 </vt:lpstr>
      <vt:lpstr>LETTER №17</vt:lpstr>
      <vt:lpstr>LETTER №18</vt:lpstr>
      <vt:lpstr>LETTER №19 </vt:lpstr>
      <vt:lpstr>LETTER REFUSAL №20 </vt:lpstr>
      <vt:lpstr>LETTER DEMURRAGE №21</vt:lpstr>
      <vt:lpstr>LETTER Same hose all №22</vt:lpstr>
      <vt:lpstr>LETTER Sample not received  </vt:lpstr>
      <vt:lpstr>LETTER DELAY №24</vt:lpstr>
      <vt:lpstr>LETTER Bills of Loading №25</vt:lpstr>
      <vt:lpstr>LETTER Slow Discharge №26</vt:lpstr>
      <vt:lpstr>LETTER Cargo figures in ter 27</vt:lpstr>
      <vt:lpstr>LETTER Cargo quantity reque 28</vt:lpstr>
      <vt:lpstr>LETTER Cargo samples №29 </vt:lpstr>
      <vt:lpstr>LETTER Free pratique №30 </vt:lpstr>
      <vt:lpstr>LETTER NON DELIVERY №31</vt:lpstr>
      <vt:lpstr>LETTER LOW RATE №32</vt:lpstr>
      <vt:lpstr>LETTER Shore stop №33</vt:lpstr>
      <vt:lpstr>LETTER Difference №34</vt:lpstr>
      <vt:lpstr>LETTER Not Signed Doc №35</vt:lpstr>
      <vt:lpstr>LETTER High back pressure № 36</vt:lpstr>
      <vt:lpstr>LETTER Manifold pressure №3</vt:lpstr>
      <vt:lpstr>LETTER Calculation №38</vt:lpstr>
      <vt:lpstr>Лист1</vt:lpstr>
      <vt:lpstr>' NOR  4 TORM'!Область_печати</vt:lpstr>
      <vt:lpstr>' NOR Re-tend 5TORM '!Область_печати</vt:lpstr>
      <vt:lpstr>' NOR re-tendering 3'!Область_печати</vt:lpstr>
      <vt:lpstr>'CARGO RECEIPT 10'!Область_печати</vt:lpstr>
      <vt:lpstr>'CARGO RECEIPT 9 TORM'!Область_печати</vt:lpstr>
      <vt:lpstr>'LETTER Bills of Loading №25'!Область_печати</vt:lpstr>
      <vt:lpstr>'LETTER Calculation №38'!Область_печати</vt:lpstr>
      <vt:lpstr>'LETTER Cargo figures in ter 27'!Область_печати</vt:lpstr>
      <vt:lpstr>'LETTER Cargo quantity dis №16 '!Область_печати</vt:lpstr>
      <vt:lpstr>'LETTER Cargo quantity reque 28'!Область_печати</vt:lpstr>
      <vt:lpstr>'LETTER Cargo samples №29 '!Область_печати</vt:lpstr>
      <vt:lpstr>'LETTER DELAY №24'!Область_печати</vt:lpstr>
      <vt:lpstr>'LETTER DEMURRAGE №21'!Область_печати</vt:lpstr>
      <vt:lpstr>'LETTER Dif quantity №15'!Область_печати</vt:lpstr>
      <vt:lpstr>'LETTER Difference №34'!Область_печати</vt:lpstr>
      <vt:lpstr>'LETTER Free pratique №30 '!Область_печати</vt:lpstr>
      <vt:lpstr>'LETTER High back pressure № 36'!Область_печати</vt:lpstr>
      <vt:lpstr>'LETTER LOW RATE №32'!Область_печати</vt:lpstr>
      <vt:lpstr>'LETTER Manifold pressure №3'!Область_печати</vt:lpstr>
      <vt:lpstr>'LETTER MSDS №13'!Область_печати</vt:lpstr>
      <vt:lpstr>'LETTER NON DELIVERY №31'!Область_печати</vt:lpstr>
      <vt:lpstr>'LETTER Not Signed Doc №35'!Область_печати</vt:lpstr>
      <vt:lpstr>'LETTER Notice of readiness №8 '!Область_печати</vt:lpstr>
      <vt:lpstr>'LETTER №1'!Область_печати</vt:lpstr>
      <vt:lpstr>'LETTER №11'!Область_печати</vt:lpstr>
      <vt:lpstr>'LETTER №17'!Область_печати</vt:lpstr>
      <vt:lpstr>'LETTER №18'!Область_печати</vt:lpstr>
      <vt:lpstr>'LETTER №19 '!Область_печати</vt:lpstr>
      <vt:lpstr>'LETTER №2'!Область_печати</vt:lpstr>
      <vt:lpstr>'LETTER №3'!Область_печати</vt:lpstr>
      <vt:lpstr>'LETTER №4'!Область_печати</vt:lpstr>
      <vt:lpstr>'LETTER №5'!Область_печати</vt:lpstr>
      <vt:lpstr>'LETTER №6 '!Область_печати</vt:lpstr>
      <vt:lpstr>'LETTER №7'!Область_печати</vt:lpstr>
      <vt:lpstr>'LETTER №9'!Область_печати</vt:lpstr>
      <vt:lpstr>'LETTER OF Authorization 6 TORM'!Область_печати</vt:lpstr>
      <vt:lpstr>'LETTER OF PROTEST 8 TORM'!Область_печати</vt:lpstr>
      <vt:lpstr>'LETTER REFUSAL №20 '!Область_печати</vt:lpstr>
      <vt:lpstr>'LETTER Same hose all №22'!Область_печати</vt:lpstr>
      <vt:lpstr>'LETTER Sample not received  '!Область_печати</vt:lpstr>
      <vt:lpstr>'LETTER Shore descripany №14 '!Область_печати</vt:lpstr>
      <vt:lpstr>'LETTER Shore stop №33'!Область_печати</vt:lpstr>
      <vt:lpstr>'LETTER Slow Discharge №26'!Область_печати</vt:lpstr>
      <vt:lpstr>'LETTER Slow loading rate №10'!Область_печати</vt:lpstr>
      <vt:lpstr>'LETTER Water in cargo №12 '!Область_печати</vt:lpstr>
      <vt:lpstr>'NOR re- tendering 2'!Область_печати</vt:lpstr>
      <vt:lpstr>'NOTICE 7 TORM'!Область_печати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pavel</cp:lastModifiedBy>
  <dcterms:created xsi:type="dcterms:W3CDTF">2019-07-18T10:39:14Z</dcterms:created>
  <dcterms:modified xsi:type="dcterms:W3CDTF">2026-02-01T12:30:14Z</dcterms:modified>
</cp:coreProperties>
</file>