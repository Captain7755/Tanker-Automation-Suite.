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avel\OneDrive\Документы\"/>
    </mc:Choice>
  </mc:AlternateContent>
  <xr:revisionPtr revIDLastSave="0" documentId="8_{C7914C18-01BC-4810-BAF4-720255C0825F}" xr6:coauthVersionLast="47" xr6:coauthVersionMax="47" xr10:uidLastSave="{00000000-0000-0000-0000-000000000000}"/>
  <bookViews>
    <workbookView xWindow="0" yWindow="368" windowWidth="21600" windowHeight="12772" activeTab="2"/>
  </bookViews>
  <sheets>
    <sheet name="Owner" sheetId="1" r:id="rId1"/>
    <sheet name="Charterer" sheetId="6" r:id="rId2"/>
    <sheet name="Private" sheetId="3" r:id="rId3"/>
    <sheet name="Others" sheetId="7" r:id="rId4"/>
    <sheet name="Sat-C" sheetId="10" r:id="rId5"/>
  </sheets>
  <definedNames>
    <definedName name="_xlnm.Print_Titles" localSheetId="1">Charterer!$1:$5</definedName>
    <definedName name="_xlnm.Print_Titles" localSheetId="3">Others!$1:$5</definedName>
    <definedName name="_xlnm.Print_Titles" localSheetId="0">Owner!$2:$8</definedName>
    <definedName name="_xlnm.Print_Titles" localSheetId="2">Private!$1:$5</definedName>
    <definedName name="_xlnm.Print_Area" localSheetId="1">Charterer!$A$1:$K$232</definedName>
    <definedName name="_xlnm.Print_Area" localSheetId="3">Others!$A$1:$K$232</definedName>
    <definedName name="_xlnm.Print_Area" localSheetId="0">Owner!$A$2:$K$225</definedName>
    <definedName name="_xlnm.Print_Area" localSheetId="2">Private!$A$1:$M$385</definedName>
    <definedName name="_xlnm.Print_Area" localSheetId="4">'Sat-C'!$A$1:$L$32</definedName>
  </definedNames>
  <calcPr calcId="191029" fullCalcOnLoad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0" i="1" l="1"/>
  <c r="J50" i="1" s="1"/>
  <c r="K50" i="1" s="1"/>
  <c r="M19" i="1"/>
  <c r="J19" i="1"/>
  <c r="K19" i="1" s="1"/>
  <c r="M18" i="1"/>
  <c r="J18" i="1"/>
  <c r="K18" i="1"/>
  <c r="M17" i="1"/>
  <c r="J17" i="1"/>
  <c r="K17" i="1"/>
  <c r="K1" i="7"/>
  <c r="L1" i="3"/>
  <c r="K1" i="6"/>
  <c r="M214" i="1"/>
  <c r="J214" i="1"/>
  <c r="K214" i="1"/>
  <c r="M41" i="1"/>
  <c r="J41" i="1"/>
  <c r="K41" i="1" s="1"/>
  <c r="M40" i="1"/>
  <c r="J40" i="1"/>
  <c r="K40" i="1" s="1"/>
  <c r="M39" i="1"/>
  <c r="J39" i="1" s="1"/>
  <c r="K39" i="1" s="1"/>
  <c r="N97" i="3"/>
  <c r="K97" i="3"/>
  <c r="L97" i="3" s="1"/>
  <c r="N96" i="3"/>
  <c r="K96" i="3"/>
  <c r="L96" i="3" s="1"/>
  <c r="M169" i="6"/>
  <c r="J169" i="6"/>
  <c r="K169" i="6"/>
  <c r="M168" i="6"/>
  <c r="J168" i="6" s="1"/>
  <c r="K168" i="6" s="1"/>
  <c r="M167" i="6"/>
  <c r="J167" i="6" s="1"/>
  <c r="K167" i="6" s="1"/>
  <c r="M166" i="6"/>
  <c r="J166" i="6" s="1"/>
  <c r="K166" i="6"/>
  <c r="M165" i="6"/>
  <c r="J165" i="6" s="1"/>
  <c r="K165" i="6" s="1"/>
  <c r="M164" i="6"/>
  <c r="J164" i="6" s="1"/>
  <c r="K164" i="6" s="1"/>
  <c r="M163" i="6"/>
  <c r="J163" i="6" s="1"/>
  <c r="K163" i="6" s="1"/>
  <c r="M162" i="6"/>
  <c r="J162" i="6"/>
  <c r="K162" i="6"/>
  <c r="M108" i="6"/>
  <c r="J108" i="6"/>
  <c r="K108" i="6"/>
  <c r="M107" i="6"/>
  <c r="J107" i="6" s="1"/>
  <c r="K107" i="6" s="1"/>
  <c r="M106" i="6"/>
  <c r="J106" i="6"/>
  <c r="K106" i="6"/>
  <c r="M105" i="6"/>
  <c r="J105" i="6" s="1"/>
  <c r="K105" i="6" s="1"/>
  <c r="M104" i="6"/>
  <c r="J104" i="6"/>
  <c r="K104" i="6" s="1"/>
  <c r="M103" i="6"/>
  <c r="J103" i="6" s="1"/>
  <c r="K103" i="6" s="1"/>
  <c r="M102" i="6"/>
  <c r="J102" i="6"/>
  <c r="K102" i="6"/>
  <c r="M101" i="6"/>
  <c r="J101" i="6"/>
  <c r="K101" i="6" s="1"/>
  <c r="M57" i="6"/>
  <c r="J57" i="6"/>
  <c r="K57" i="6" s="1"/>
  <c r="M56" i="6"/>
  <c r="J56" i="6"/>
  <c r="K56" i="6" s="1"/>
  <c r="M55" i="6"/>
  <c r="J55" i="6" s="1"/>
  <c r="K55" i="6" s="1"/>
  <c r="M54" i="6"/>
  <c r="J54" i="6" s="1"/>
  <c r="K54" i="6" s="1"/>
  <c r="M53" i="6"/>
  <c r="J53" i="6" s="1"/>
  <c r="K53" i="6" s="1"/>
  <c r="M52" i="6"/>
  <c r="J52" i="6"/>
  <c r="K52" i="6"/>
  <c r="M51" i="6"/>
  <c r="J51" i="6" s="1"/>
  <c r="K51" i="6" s="1"/>
  <c r="M50" i="6"/>
  <c r="J50" i="6" s="1"/>
  <c r="K50" i="6" s="1"/>
  <c r="M6" i="6"/>
  <c r="J6" i="6"/>
  <c r="K6" i="6"/>
  <c r="M7" i="6"/>
  <c r="J7" i="6" s="1"/>
  <c r="K7" i="6"/>
  <c r="M8" i="6"/>
  <c r="J8" i="6"/>
  <c r="K8" i="6"/>
  <c r="M9" i="6"/>
  <c r="J9" i="6" s="1"/>
  <c r="K9" i="6" s="1"/>
  <c r="M10" i="6"/>
  <c r="J10" i="6" s="1"/>
  <c r="K10" i="6" s="1"/>
  <c r="M11" i="6"/>
  <c r="J11" i="6" s="1"/>
  <c r="K11" i="6"/>
  <c r="M12" i="6"/>
  <c r="J12" i="6"/>
  <c r="K12" i="6"/>
  <c r="M13" i="6"/>
  <c r="J13" i="6"/>
  <c r="K13" i="6"/>
  <c r="M14" i="6"/>
  <c r="J14" i="6"/>
  <c r="K14" i="6"/>
  <c r="M15" i="6"/>
  <c r="J15" i="6"/>
  <c r="K15" i="6"/>
  <c r="M16" i="6"/>
  <c r="J16" i="6" s="1"/>
  <c r="K16" i="6" s="1"/>
  <c r="M17" i="6"/>
  <c r="J17" i="6" s="1"/>
  <c r="K17" i="6" s="1"/>
  <c r="M18" i="6"/>
  <c r="J18" i="6"/>
  <c r="K18" i="6" s="1"/>
  <c r="M19" i="6"/>
  <c r="J19" i="6"/>
  <c r="K19" i="6" s="1"/>
  <c r="M20" i="6"/>
  <c r="J20" i="6" s="1"/>
  <c r="K20" i="6" s="1"/>
  <c r="M21" i="6"/>
  <c r="J21" i="6"/>
  <c r="K21" i="6"/>
  <c r="M22" i="6"/>
  <c r="J22" i="6"/>
  <c r="K22" i="6" s="1"/>
  <c r="M23" i="6"/>
  <c r="J23" i="6"/>
  <c r="K23" i="6"/>
  <c r="M24" i="6"/>
  <c r="J24" i="6" s="1"/>
  <c r="K24" i="6" s="1"/>
  <c r="M25" i="6"/>
  <c r="J25" i="6" s="1"/>
  <c r="K25" i="6" s="1"/>
  <c r="M26" i="6"/>
  <c r="J26" i="6"/>
  <c r="K26" i="6" s="1"/>
  <c r="M27" i="6"/>
  <c r="J27" i="6" s="1"/>
  <c r="K27" i="6"/>
  <c r="M28" i="6"/>
  <c r="J28" i="6" s="1"/>
  <c r="K28" i="6" s="1"/>
  <c r="M29" i="6"/>
  <c r="J29" i="6"/>
  <c r="K29" i="6"/>
  <c r="M30" i="6"/>
  <c r="J30" i="6"/>
  <c r="K30" i="6"/>
  <c r="M31" i="6"/>
  <c r="J31" i="6" s="1"/>
  <c r="K31" i="6"/>
  <c r="M32" i="6"/>
  <c r="J32" i="6"/>
  <c r="K32" i="6" s="1"/>
  <c r="M33" i="6"/>
  <c r="J33" i="6" s="1"/>
  <c r="K33" i="6" s="1"/>
  <c r="M34" i="6"/>
  <c r="J34" i="6"/>
  <c r="K34" i="6"/>
  <c r="M35" i="6"/>
  <c r="J35" i="6"/>
  <c r="K35" i="6" s="1"/>
  <c r="M36" i="6"/>
  <c r="J36" i="6"/>
  <c r="K36" i="6"/>
  <c r="M37" i="6"/>
  <c r="J37" i="6"/>
  <c r="K37" i="6" s="1"/>
  <c r="M38" i="6"/>
  <c r="J38" i="6"/>
  <c r="K38" i="6" s="1"/>
  <c r="M39" i="6"/>
  <c r="J39" i="6"/>
  <c r="K39" i="6" s="1"/>
  <c r="M40" i="6"/>
  <c r="J40" i="6" s="1"/>
  <c r="K40" i="6" s="1"/>
  <c r="M41" i="6"/>
  <c r="J41" i="6"/>
  <c r="K41" i="6" s="1"/>
  <c r="M42" i="6"/>
  <c r="J42" i="6"/>
  <c r="K42" i="6"/>
  <c r="M43" i="6"/>
  <c r="J43" i="6" s="1"/>
  <c r="K43" i="6" s="1"/>
  <c r="M44" i="6"/>
  <c r="J44" i="6" s="1"/>
  <c r="K44" i="6" s="1"/>
  <c r="M45" i="6"/>
  <c r="J45" i="6" s="1"/>
  <c r="K45" i="6"/>
  <c r="M46" i="6"/>
  <c r="J46" i="6"/>
  <c r="K46" i="6"/>
  <c r="M47" i="6"/>
  <c r="J47" i="6" s="1"/>
  <c r="K47" i="6" s="1"/>
  <c r="M48" i="6"/>
  <c r="J48" i="6" s="1"/>
  <c r="K48" i="6" s="1"/>
  <c r="M49" i="6"/>
  <c r="J49" i="6"/>
  <c r="K49" i="6" s="1"/>
  <c r="M58" i="6"/>
  <c r="J58" i="6"/>
  <c r="K58" i="6"/>
  <c r="M59" i="6"/>
  <c r="J59" i="6" s="1"/>
  <c r="K59" i="6" s="1"/>
  <c r="M60" i="6"/>
  <c r="J60" i="6"/>
  <c r="K60" i="6"/>
  <c r="M61" i="6"/>
  <c r="J61" i="6"/>
  <c r="K61" i="6"/>
  <c r="M62" i="6"/>
  <c r="J62" i="6"/>
  <c r="K62" i="6"/>
  <c r="M63" i="6"/>
  <c r="J63" i="6" s="1"/>
  <c r="K63" i="6" s="1"/>
  <c r="M64" i="6"/>
  <c r="J64" i="6"/>
  <c r="K64" i="6" s="1"/>
  <c r="M65" i="6"/>
  <c r="J65" i="6"/>
  <c r="K65" i="6" s="1"/>
  <c r="M66" i="6"/>
  <c r="J66" i="6"/>
  <c r="K66" i="6" s="1"/>
  <c r="M67" i="6"/>
  <c r="J67" i="6"/>
  <c r="K67" i="6"/>
  <c r="M68" i="6"/>
  <c r="J68" i="6"/>
  <c r="K68" i="6" s="1"/>
  <c r="M69" i="6"/>
  <c r="J69" i="6"/>
  <c r="K69" i="6"/>
  <c r="M70" i="6"/>
  <c r="J70" i="6"/>
  <c r="K70" i="6" s="1"/>
  <c r="M71" i="6"/>
  <c r="J71" i="6" s="1"/>
  <c r="K71" i="6" s="1"/>
  <c r="M72" i="6"/>
  <c r="J72" i="6" s="1"/>
  <c r="K72" i="6" s="1"/>
  <c r="M73" i="6"/>
  <c r="J73" i="6" s="1"/>
  <c r="K73" i="6"/>
  <c r="M74" i="6"/>
  <c r="J74" i="6"/>
  <c r="K74" i="6" s="1"/>
  <c r="M75" i="6"/>
  <c r="J75" i="6" s="1"/>
  <c r="K75" i="6"/>
  <c r="M76" i="6"/>
  <c r="J76" i="6" s="1"/>
  <c r="K76" i="6" s="1"/>
  <c r="M77" i="6"/>
  <c r="J77" i="6"/>
  <c r="K77" i="6"/>
  <c r="M78" i="6"/>
  <c r="J78" i="6"/>
  <c r="K78" i="6" s="1"/>
  <c r="M79" i="6"/>
  <c r="J79" i="6" s="1"/>
  <c r="K79" i="6" s="1"/>
  <c r="M80" i="6"/>
  <c r="J80" i="6"/>
  <c r="K80" i="6" s="1"/>
  <c r="M81" i="6"/>
  <c r="J81" i="6"/>
  <c r="K81" i="6"/>
  <c r="M82" i="6"/>
  <c r="J82" i="6"/>
  <c r="K82" i="6"/>
  <c r="M83" i="6"/>
  <c r="J83" i="6"/>
  <c r="K83" i="6" s="1"/>
  <c r="M84" i="6"/>
  <c r="J84" i="6" s="1"/>
  <c r="K84" i="6" s="1"/>
  <c r="M85" i="6"/>
  <c r="J85" i="6"/>
  <c r="K85" i="6" s="1"/>
  <c r="M86" i="6"/>
  <c r="J86" i="6"/>
  <c r="K86" i="6" s="1"/>
  <c r="M87" i="6"/>
  <c r="J87" i="6" s="1"/>
  <c r="K87" i="6" s="1"/>
  <c r="M88" i="6"/>
  <c r="J88" i="6"/>
  <c r="K88" i="6" s="1"/>
  <c r="M89" i="6"/>
  <c r="J89" i="6"/>
  <c r="K89" i="6"/>
  <c r="M90" i="6"/>
  <c r="J90" i="6"/>
  <c r="K90" i="6"/>
  <c r="M91" i="6"/>
  <c r="J91" i="6" s="1"/>
  <c r="K91" i="6" s="1"/>
  <c r="M92" i="6"/>
  <c r="J92" i="6" s="1"/>
  <c r="K92" i="6" s="1"/>
  <c r="M93" i="6"/>
  <c r="J93" i="6" s="1"/>
  <c r="K93" i="6" s="1"/>
  <c r="M94" i="6"/>
  <c r="J94" i="6" s="1"/>
  <c r="K94" i="6" s="1"/>
  <c r="M95" i="6"/>
  <c r="J95" i="6" s="1"/>
  <c r="K95" i="6" s="1"/>
  <c r="M96" i="6"/>
  <c r="J96" i="6" s="1"/>
  <c r="K96" i="6" s="1"/>
  <c r="M97" i="6"/>
  <c r="J97" i="6" s="1"/>
  <c r="K97" i="6" s="1"/>
  <c r="M98" i="6"/>
  <c r="J98" i="6"/>
  <c r="K98" i="6"/>
  <c r="M99" i="6"/>
  <c r="J99" i="6" s="1"/>
  <c r="K99" i="6"/>
  <c r="M100" i="6"/>
  <c r="J100" i="6"/>
  <c r="K100" i="6"/>
  <c r="M109" i="6"/>
  <c r="J109" i="6" s="1"/>
  <c r="K109" i="6" s="1"/>
  <c r="M110" i="6"/>
  <c r="J110" i="6"/>
  <c r="K110" i="6" s="1"/>
  <c r="M111" i="6"/>
  <c r="J111" i="6" s="1"/>
  <c r="K111" i="6" s="1"/>
  <c r="M112" i="6"/>
  <c r="J112" i="6"/>
  <c r="K112" i="6"/>
  <c r="M113" i="6"/>
  <c r="J113" i="6"/>
  <c r="K113" i="6" s="1"/>
  <c r="M114" i="6"/>
  <c r="J114" i="6"/>
  <c r="K114" i="6" s="1"/>
  <c r="M115" i="6"/>
  <c r="J115" i="6"/>
  <c r="K115" i="6"/>
  <c r="M116" i="6"/>
  <c r="J116" i="6"/>
  <c r="K116" i="6" s="1"/>
  <c r="M117" i="6"/>
  <c r="J117" i="6" s="1"/>
  <c r="K117" i="6" s="1"/>
  <c r="M118" i="6"/>
  <c r="J118" i="6" s="1"/>
  <c r="K118" i="6" s="1"/>
  <c r="M119" i="6"/>
  <c r="J119" i="6"/>
  <c r="K119" i="6"/>
  <c r="M120" i="6"/>
  <c r="J120" i="6" s="1"/>
  <c r="K120" i="6" s="1"/>
  <c r="M121" i="6"/>
  <c r="J121" i="6" s="1"/>
  <c r="K121" i="6" s="1"/>
  <c r="M122" i="6"/>
  <c r="J122" i="6"/>
  <c r="K122" i="6"/>
  <c r="M123" i="6"/>
  <c r="J123" i="6" s="1"/>
  <c r="K123" i="6"/>
  <c r="M124" i="6"/>
  <c r="J124" i="6" s="1"/>
  <c r="K124" i="6" s="1"/>
  <c r="M125" i="6"/>
  <c r="J125" i="6" s="1"/>
  <c r="K125" i="6" s="1"/>
  <c r="M126" i="6"/>
  <c r="J126" i="6" s="1"/>
  <c r="K126" i="6" s="1"/>
  <c r="M127" i="6"/>
  <c r="J127" i="6" s="1"/>
  <c r="K127" i="6"/>
  <c r="M128" i="6"/>
  <c r="J128" i="6"/>
  <c r="K128" i="6"/>
  <c r="M129" i="6"/>
  <c r="J129" i="6"/>
  <c r="K129" i="6"/>
  <c r="M130" i="6"/>
  <c r="J130" i="6"/>
  <c r="K130" i="6"/>
  <c r="M131" i="6"/>
  <c r="J131" i="6"/>
  <c r="K131" i="6"/>
  <c r="M132" i="6"/>
  <c r="J132" i="6" s="1"/>
  <c r="K132" i="6" s="1"/>
  <c r="M133" i="6"/>
  <c r="J133" i="6" s="1"/>
  <c r="K133" i="6" s="1"/>
  <c r="M134" i="6"/>
  <c r="J134" i="6"/>
  <c r="K134" i="6" s="1"/>
  <c r="M135" i="6"/>
  <c r="J135" i="6"/>
  <c r="K135" i="6"/>
  <c r="M136" i="6"/>
  <c r="J136" i="6" s="1"/>
  <c r="K136" i="6" s="1"/>
  <c r="M137" i="6"/>
  <c r="J137" i="6"/>
  <c r="K137" i="6"/>
  <c r="M138" i="6"/>
  <c r="J138" i="6"/>
  <c r="K138" i="6" s="1"/>
  <c r="M139" i="6"/>
  <c r="J139" i="6" s="1"/>
  <c r="K139" i="6" s="1"/>
  <c r="M140" i="6"/>
  <c r="J140" i="6" s="1"/>
  <c r="K140" i="6" s="1"/>
  <c r="M141" i="6"/>
  <c r="J141" i="6" s="1"/>
  <c r="K141" i="6" s="1"/>
  <c r="M142" i="6"/>
  <c r="J142" i="6"/>
  <c r="K142" i="6" s="1"/>
  <c r="M143" i="6"/>
  <c r="J143" i="6" s="1"/>
  <c r="K143" i="6"/>
  <c r="M144" i="6"/>
  <c r="J144" i="6"/>
  <c r="K144" i="6" s="1"/>
  <c r="M145" i="6"/>
  <c r="J145" i="6"/>
  <c r="K145" i="6"/>
  <c r="M146" i="6"/>
  <c r="J146" i="6"/>
  <c r="K146" i="6"/>
  <c r="M147" i="6"/>
  <c r="J147" i="6" s="1"/>
  <c r="K147" i="6"/>
  <c r="M148" i="6"/>
  <c r="J148" i="6"/>
  <c r="K148" i="6" s="1"/>
  <c r="M149" i="6"/>
  <c r="J149" i="6" s="1"/>
  <c r="K149" i="6" s="1"/>
  <c r="M150" i="6"/>
  <c r="J150" i="6"/>
  <c r="K150" i="6"/>
  <c r="M151" i="6"/>
  <c r="J151" i="6"/>
  <c r="K151" i="6" s="1"/>
  <c r="M152" i="6"/>
  <c r="J152" i="6"/>
  <c r="K152" i="6"/>
  <c r="M153" i="6"/>
  <c r="J153" i="6"/>
  <c r="K153" i="6" s="1"/>
  <c r="M154" i="6"/>
  <c r="J154" i="6" s="1"/>
  <c r="K154" i="6"/>
  <c r="M155" i="6"/>
  <c r="J155" i="6"/>
  <c r="K155" i="6" s="1"/>
  <c r="M156" i="6"/>
  <c r="J156" i="6" s="1"/>
  <c r="K156" i="6" s="1"/>
  <c r="M157" i="6"/>
  <c r="J157" i="6"/>
  <c r="K157" i="6" s="1"/>
  <c r="M158" i="6"/>
  <c r="J158" i="6"/>
  <c r="K158" i="6" s="1"/>
  <c r="M159" i="6"/>
  <c r="J159" i="6" s="1"/>
  <c r="K159" i="6" s="1"/>
  <c r="M160" i="6"/>
  <c r="J160" i="6" s="1"/>
  <c r="K160" i="6"/>
  <c r="M161" i="6"/>
  <c r="J161" i="6"/>
  <c r="K161" i="6"/>
  <c r="M170" i="6"/>
  <c r="J170" i="6"/>
  <c r="K170" i="6"/>
  <c r="M171" i="6"/>
  <c r="J171" i="6"/>
  <c r="K171" i="6" s="1"/>
  <c r="M172" i="6"/>
  <c r="J172" i="6"/>
  <c r="K172" i="6" s="1"/>
  <c r="M173" i="6"/>
  <c r="J173" i="6"/>
  <c r="K173" i="6"/>
  <c r="M174" i="6"/>
  <c r="J174" i="6" s="1"/>
  <c r="K174" i="6" s="1"/>
  <c r="M175" i="6"/>
  <c r="J175" i="6"/>
  <c r="K175" i="6" s="1"/>
  <c r="M176" i="6"/>
  <c r="J176" i="6"/>
  <c r="K176" i="6" s="1"/>
  <c r="M177" i="6"/>
  <c r="J177" i="6"/>
  <c r="K177" i="6" s="1"/>
  <c r="M178" i="6"/>
  <c r="J178" i="6"/>
  <c r="K178" i="6" s="1"/>
  <c r="M179" i="6"/>
  <c r="J179" i="6" s="1"/>
  <c r="K179" i="6" s="1"/>
  <c r="M180" i="6"/>
  <c r="J180" i="6" s="1"/>
  <c r="K180" i="6" s="1"/>
  <c r="M181" i="6"/>
  <c r="J181" i="6" s="1"/>
  <c r="K181" i="6" s="1"/>
  <c r="M182" i="6"/>
  <c r="J182" i="6" s="1"/>
  <c r="K182" i="6"/>
  <c r="M183" i="6"/>
  <c r="J183" i="6"/>
  <c r="K183" i="6"/>
  <c r="M184" i="6"/>
  <c r="J184" i="6" s="1"/>
  <c r="K184" i="6"/>
  <c r="M185" i="6"/>
  <c r="J185" i="6" s="1"/>
  <c r="K185" i="6" s="1"/>
  <c r="M186" i="6"/>
  <c r="J186" i="6"/>
  <c r="K186" i="6" s="1"/>
  <c r="M187" i="6"/>
  <c r="J187" i="6" s="1"/>
  <c r="K187" i="6" s="1"/>
  <c r="M188" i="6"/>
  <c r="J188" i="6" s="1"/>
  <c r="K188" i="6" s="1"/>
  <c r="M189" i="6"/>
  <c r="J189" i="6"/>
  <c r="K189" i="6"/>
  <c r="M190" i="6"/>
  <c r="J190" i="6" s="1"/>
  <c r="K190" i="6"/>
  <c r="M191" i="6"/>
  <c r="J191" i="6"/>
  <c r="K191" i="6"/>
  <c r="M192" i="6"/>
  <c r="J192" i="6"/>
  <c r="K192" i="6"/>
  <c r="M193" i="6"/>
  <c r="J193" i="6"/>
  <c r="K193" i="6" s="1"/>
  <c r="M194" i="6"/>
  <c r="J194" i="6" s="1"/>
  <c r="K194" i="6" s="1"/>
  <c r="M195" i="6"/>
  <c r="J195" i="6"/>
  <c r="K195" i="6" s="1"/>
  <c r="M196" i="6"/>
  <c r="J196" i="6"/>
  <c r="K196" i="6"/>
  <c r="M197" i="6"/>
  <c r="J197" i="6"/>
  <c r="K197" i="6" s="1"/>
  <c r="M198" i="6"/>
  <c r="J198" i="6"/>
  <c r="K198" i="6" s="1"/>
  <c r="M199" i="6"/>
  <c r="J199" i="6"/>
  <c r="K199" i="6"/>
  <c r="M200" i="6"/>
  <c r="J200" i="6"/>
  <c r="K200" i="6"/>
  <c r="M201" i="6"/>
  <c r="J201" i="6" s="1"/>
  <c r="K201" i="6" s="1"/>
  <c r="M202" i="6"/>
  <c r="J202" i="6" s="1"/>
  <c r="K202" i="6" s="1"/>
  <c r="M203" i="6"/>
  <c r="J203" i="6" s="1"/>
  <c r="K203" i="6" s="1"/>
  <c r="M204" i="6"/>
  <c r="J204" i="6" s="1"/>
  <c r="K204" i="6"/>
  <c r="M205" i="6"/>
  <c r="J205" i="6" s="1"/>
  <c r="K205" i="6" s="1"/>
  <c r="M206" i="6"/>
  <c r="J206" i="6"/>
  <c r="K206" i="6"/>
  <c r="M207" i="6"/>
  <c r="J207" i="6"/>
  <c r="K207" i="6" s="1"/>
  <c r="M208" i="6"/>
  <c r="J208" i="6" s="1"/>
  <c r="K208" i="6"/>
  <c r="M209" i="6"/>
  <c r="J209" i="6"/>
  <c r="K209" i="6" s="1"/>
  <c r="M210" i="6"/>
  <c r="J210" i="6" s="1"/>
  <c r="K210" i="6" s="1"/>
  <c r="M211" i="6"/>
  <c r="J211" i="6"/>
  <c r="K211" i="6"/>
  <c r="M212" i="6"/>
  <c r="J212" i="6"/>
  <c r="K212" i="6" s="1"/>
  <c r="M213" i="6"/>
  <c r="J213" i="6"/>
  <c r="K213" i="6"/>
  <c r="M214" i="6"/>
  <c r="J214" i="6"/>
  <c r="K214" i="6" s="1"/>
  <c r="M215" i="6"/>
  <c r="J215" i="6"/>
  <c r="K215" i="6" s="1"/>
  <c r="M216" i="6"/>
  <c r="J216" i="6" s="1"/>
  <c r="K216" i="6" s="1"/>
  <c r="M217" i="6"/>
  <c r="J217" i="6" s="1"/>
  <c r="K217" i="6" s="1"/>
  <c r="M218" i="6"/>
  <c r="J218" i="6" s="1"/>
  <c r="K218" i="6" s="1"/>
  <c r="M219" i="6"/>
  <c r="J219" i="6"/>
  <c r="K219" i="6"/>
  <c r="M220" i="6"/>
  <c r="J220" i="6"/>
  <c r="K220" i="6" s="1"/>
  <c r="M221" i="6"/>
  <c r="J221" i="6" s="1"/>
  <c r="K221" i="6" s="1"/>
  <c r="M222" i="6"/>
  <c r="J222" i="6" s="1"/>
  <c r="K222" i="6" s="1"/>
  <c r="M223" i="6"/>
  <c r="J223" i="6" s="1"/>
  <c r="K223" i="6" s="1"/>
  <c r="M224" i="6"/>
  <c r="J224" i="6" s="1"/>
  <c r="K224" i="6"/>
  <c r="M225" i="6"/>
  <c r="J225" i="6" s="1"/>
  <c r="K225" i="6" s="1"/>
  <c r="M226" i="6"/>
  <c r="J226" i="6" s="1"/>
  <c r="K226" i="6" s="1"/>
  <c r="M227" i="6"/>
  <c r="J227" i="6"/>
  <c r="K227" i="6"/>
  <c r="M228" i="6"/>
  <c r="J228" i="6" s="1"/>
  <c r="K228" i="6"/>
  <c r="M229" i="6"/>
  <c r="J229" i="6"/>
  <c r="K229" i="6"/>
  <c r="M230" i="6"/>
  <c r="M231" i="6"/>
  <c r="M232" i="6"/>
  <c r="M169" i="7"/>
  <c r="J169" i="7"/>
  <c r="K169" i="7"/>
  <c r="M168" i="7"/>
  <c r="J168" i="7" s="1"/>
  <c r="K168" i="7" s="1"/>
  <c r="M167" i="7"/>
  <c r="J167" i="7" s="1"/>
  <c r="K167" i="7" s="1"/>
  <c r="M166" i="7"/>
  <c r="J166" i="7"/>
  <c r="K166" i="7" s="1"/>
  <c r="M165" i="7"/>
  <c r="J165" i="7"/>
  <c r="K165" i="7" s="1"/>
  <c r="M164" i="7"/>
  <c r="J164" i="7" s="1"/>
  <c r="K164" i="7" s="1"/>
  <c r="M163" i="7"/>
  <c r="J163" i="7"/>
  <c r="K163" i="7" s="1"/>
  <c r="M162" i="7"/>
  <c r="J162" i="7"/>
  <c r="K162" i="7"/>
  <c r="M108" i="7"/>
  <c r="J108" i="7"/>
  <c r="K108" i="7"/>
  <c r="M107" i="7"/>
  <c r="J107" i="7" s="1"/>
  <c r="K107" i="7" s="1"/>
  <c r="M106" i="7"/>
  <c r="J106" i="7" s="1"/>
  <c r="K106" i="7" s="1"/>
  <c r="M105" i="7"/>
  <c r="J105" i="7" s="1"/>
  <c r="K105" i="7" s="1"/>
  <c r="M104" i="7"/>
  <c r="J104" i="7"/>
  <c r="K104" i="7"/>
  <c r="M103" i="7"/>
  <c r="J103" i="7" s="1"/>
  <c r="K103" i="7" s="1"/>
  <c r="M102" i="7"/>
  <c r="J102" i="7"/>
  <c r="K102" i="7"/>
  <c r="M101" i="7"/>
  <c r="J101" i="7" s="1"/>
  <c r="K101" i="7" s="1"/>
  <c r="M57" i="7"/>
  <c r="J57" i="7"/>
  <c r="K57" i="7"/>
  <c r="M56" i="7"/>
  <c r="J56" i="7" s="1"/>
  <c r="K56" i="7" s="1"/>
  <c r="M55" i="7"/>
  <c r="J55" i="7"/>
  <c r="K55" i="7"/>
  <c r="M54" i="7"/>
  <c r="J54" i="7"/>
  <c r="K54" i="7"/>
  <c r="M53" i="7"/>
  <c r="J53" i="7"/>
  <c r="K53" i="7" s="1"/>
  <c r="M52" i="7"/>
  <c r="J52" i="7" s="1"/>
  <c r="K52" i="7" s="1"/>
  <c r="M51" i="7"/>
  <c r="J51" i="7"/>
  <c r="K51" i="7"/>
  <c r="M50" i="7"/>
  <c r="J50" i="7"/>
  <c r="K50" i="7" s="1"/>
  <c r="M6" i="7"/>
  <c r="J6" i="7"/>
  <c r="K6" i="7" s="1"/>
  <c r="M7" i="7"/>
  <c r="J7" i="7" s="1"/>
  <c r="K7" i="7" s="1"/>
  <c r="M8" i="7"/>
  <c r="J8" i="7" s="1"/>
  <c r="K8" i="7" s="1"/>
  <c r="M9" i="7"/>
  <c r="J9" i="7"/>
  <c r="K9" i="7"/>
  <c r="M10" i="7"/>
  <c r="J10" i="7" s="1"/>
  <c r="K10" i="7"/>
  <c r="M11" i="7"/>
  <c r="J11" i="7"/>
  <c r="K11" i="7" s="1"/>
  <c r="M12" i="7"/>
  <c r="J12" i="7" s="1"/>
  <c r="K12" i="7" s="1"/>
  <c r="M13" i="7"/>
  <c r="J13" i="7" s="1"/>
  <c r="K13" i="7"/>
  <c r="M14" i="7"/>
  <c r="J14" i="7"/>
  <c r="K14" i="7" s="1"/>
  <c r="M15" i="7"/>
  <c r="J15" i="7" s="1"/>
  <c r="K15" i="7" s="1"/>
  <c r="M16" i="7"/>
  <c r="J16" i="7"/>
  <c r="K16" i="7" s="1"/>
  <c r="M17" i="7"/>
  <c r="J17" i="7"/>
  <c r="K17" i="7"/>
  <c r="M18" i="7"/>
  <c r="J18" i="7" s="1"/>
  <c r="K18" i="7"/>
  <c r="M19" i="7"/>
  <c r="J19" i="7" s="1"/>
  <c r="K19" i="7"/>
  <c r="M20" i="7"/>
  <c r="J20" i="7"/>
  <c r="K20" i="7" s="1"/>
  <c r="M21" i="7"/>
  <c r="J21" i="7" s="1"/>
  <c r="K21" i="7" s="1"/>
  <c r="M22" i="7"/>
  <c r="J22" i="7"/>
  <c r="K22" i="7" s="1"/>
  <c r="M23" i="7"/>
  <c r="J23" i="7"/>
  <c r="K23" i="7" s="1"/>
  <c r="M24" i="7"/>
  <c r="J24" i="7"/>
  <c r="K24" i="7"/>
  <c r="M25" i="7"/>
  <c r="J25" i="7" s="1"/>
  <c r="K25" i="7" s="1"/>
  <c r="M26" i="7"/>
  <c r="J26" i="7" s="1"/>
  <c r="K26" i="7"/>
  <c r="M27" i="7"/>
  <c r="J27" i="7"/>
  <c r="K27" i="7"/>
  <c r="M28" i="7"/>
  <c r="J28" i="7" s="1"/>
  <c r="K28" i="7"/>
  <c r="M29" i="7"/>
  <c r="J29" i="7" s="1"/>
  <c r="K29" i="7" s="1"/>
  <c r="M30" i="7"/>
  <c r="J30" i="7" s="1"/>
  <c r="K30" i="7" s="1"/>
  <c r="M31" i="7"/>
  <c r="J31" i="7"/>
  <c r="K31" i="7"/>
  <c r="M32" i="7"/>
  <c r="J32" i="7" s="1"/>
  <c r="K32" i="7"/>
  <c r="M33" i="7"/>
  <c r="J33" i="7"/>
  <c r="K33" i="7"/>
  <c r="M34" i="7"/>
  <c r="J34" i="7"/>
  <c r="K34" i="7"/>
  <c r="M35" i="7"/>
  <c r="J35" i="7"/>
  <c r="K35" i="7"/>
  <c r="M36" i="7"/>
  <c r="J36" i="7"/>
  <c r="K36" i="7" s="1"/>
  <c r="M37" i="7"/>
  <c r="J37" i="7" s="1"/>
  <c r="K37" i="7" s="1"/>
  <c r="M38" i="7"/>
  <c r="J38" i="7"/>
  <c r="K38" i="7" s="1"/>
  <c r="M39" i="7"/>
  <c r="J39" i="7"/>
  <c r="K39" i="7" s="1"/>
  <c r="M40" i="7"/>
  <c r="J40" i="7" s="1"/>
  <c r="K40" i="7" s="1"/>
  <c r="M41" i="7"/>
  <c r="J41" i="7"/>
  <c r="K41" i="7" s="1"/>
  <c r="M42" i="7"/>
  <c r="J42" i="7"/>
  <c r="K42" i="7" s="1"/>
  <c r="M43" i="7"/>
  <c r="J43" i="7"/>
  <c r="K43" i="7"/>
  <c r="M44" i="7"/>
  <c r="J44" i="7" s="1"/>
  <c r="K44" i="7" s="1"/>
  <c r="M45" i="7"/>
  <c r="J45" i="7" s="1"/>
  <c r="K45" i="7" s="1"/>
  <c r="M46" i="7"/>
  <c r="J46" i="7" s="1"/>
  <c r="K46" i="7"/>
  <c r="M47" i="7"/>
  <c r="J47" i="7"/>
  <c r="K47" i="7"/>
  <c r="M48" i="7"/>
  <c r="J48" i="7" s="1"/>
  <c r="K48" i="7"/>
  <c r="M49" i="7"/>
  <c r="J49" i="7"/>
  <c r="K49" i="7" s="1"/>
  <c r="M58" i="7"/>
  <c r="J58" i="7"/>
  <c r="K58" i="7"/>
  <c r="M59" i="7"/>
  <c r="J59" i="7" s="1"/>
  <c r="K59" i="7" s="1"/>
  <c r="M60" i="7"/>
  <c r="J60" i="7" s="1"/>
  <c r="K60" i="7" s="1"/>
  <c r="M61" i="7"/>
  <c r="J61" i="7"/>
  <c r="K61" i="7" s="1"/>
  <c r="M62" i="7"/>
  <c r="J62" i="7"/>
  <c r="K62" i="7"/>
  <c r="M63" i="7"/>
  <c r="J63" i="7"/>
  <c r="K63" i="7"/>
  <c r="M64" i="7"/>
  <c r="J64" i="7"/>
  <c r="K64" i="7" s="1"/>
  <c r="M65" i="7"/>
  <c r="J65" i="7" s="1"/>
  <c r="K65" i="7" s="1"/>
  <c r="M66" i="7"/>
  <c r="J66" i="7"/>
  <c r="K66" i="7" s="1"/>
  <c r="M67" i="7"/>
  <c r="J67" i="7"/>
  <c r="K67" i="7" s="1"/>
  <c r="M68" i="7"/>
  <c r="J68" i="7" s="1"/>
  <c r="K68" i="7" s="1"/>
  <c r="M69" i="7"/>
  <c r="J69" i="7"/>
  <c r="K69" i="7" s="1"/>
  <c r="M70" i="7"/>
  <c r="J70" i="7"/>
  <c r="K70" i="7"/>
  <c r="M71" i="7"/>
  <c r="J71" i="7"/>
  <c r="K71" i="7" s="1"/>
  <c r="M72" i="7"/>
  <c r="J72" i="7"/>
  <c r="K72" i="7" s="1"/>
  <c r="M73" i="7"/>
  <c r="J73" i="7" s="1"/>
  <c r="K73" i="7" s="1"/>
  <c r="M74" i="7"/>
  <c r="J74" i="7" s="1"/>
  <c r="K74" i="7"/>
  <c r="M75" i="7"/>
  <c r="J75" i="7"/>
  <c r="K75" i="7"/>
  <c r="M76" i="7"/>
  <c r="J76" i="7" s="1"/>
  <c r="K76" i="7" s="1"/>
  <c r="M77" i="7"/>
  <c r="J77" i="7" s="1"/>
  <c r="K77" i="7" s="1"/>
  <c r="M78" i="7"/>
  <c r="J78" i="7"/>
  <c r="K78" i="7"/>
  <c r="M79" i="7"/>
  <c r="J79" i="7"/>
  <c r="K79" i="7" s="1"/>
  <c r="M80" i="7"/>
  <c r="J80" i="7" s="1"/>
  <c r="K80" i="7"/>
  <c r="M81" i="7"/>
  <c r="J81" i="7"/>
  <c r="K81" i="7"/>
  <c r="M82" i="7"/>
  <c r="J82" i="7" s="1"/>
  <c r="K82" i="7" s="1"/>
  <c r="M83" i="7"/>
  <c r="J83" i="7"/>
  <c r="K83" i="7" s="1"/>
  <c r="M84" i="7"/>
  <c r="J84" i="7" s="1"/>
  <c r="K84" i="7" s="1"/>
  <c r="M85" i="7"/>
  <c r="J85" i="7"/>
  <c r="K85" i="7"/>
  <c r="M86" i="7"/>
  <c r="J86" i="7" s="1"/>
  <c r="K86" i="7" s="1"/>
  <c r="M87" i="7"/>
  <c r="J87" i="7"/>
  <c r="K87" i="7" s="1"/>
  <c r="M88" i="7"/>
  <c r="J88" i="7"/>
  <c r="K88" i="7"/>
  <c r="M89" i="7"/>
  <c r="J89" i="7"/>
  <c r="K89" i="7" s="1"/>
  <c r="M90" i="7"/>
  <c r="J90" i="7"/>
  <c r="K90" i="7"/>
  <c r="M91" i="7"/>
  <c r="J91" i="7" s="1"/>
  <c r="K91" i="7" s="1"/>
  <c r="M92" i="7"/>
  <c r="J92" i="7"/>
  <c r="K92" i="7"/>
  <c r="M93" i="7"/>
  <c r="J93" i="7" s="1"/>
  <c r="K93" i="7" s="1"/>
  <c r="M94" i="7"/>
  <c r="J94" i="7" s="1"/>
  <c r="K94" i="7"/>
  <c r="M95" i="7"/>
  <c r="J95" i="7" s="1"/>
  <c r="K95" i="7"/>
  <c r="M96" i="7"/>
  <c r="J96" i="7" s="1"/>
  <c r="K96" i="7"/>
  <c r="M97" i="7"/>
  <c r="J97" i="7"/>
  <c r="K97" i="7"/>
  <c r="M98" i="7"/>
  <c r="J98" i="7"/>
  <c r="K98" i="7"/>
  <c r="M99" i="7"/>
  <c r="J99" i="7" s="1"/>
  <c r="K99" i="7" s="1"/>
  <c r="M100" i="7"/>
  <c r="J100" i="7" s="1"/>
  <c r="K100" i="7"/>
  <c r="M109" i="7"/>
  <c r="J109" i="7"/>
  <c r="K109" i="7" s="1"/>
  <c r="M110" i="7"/>
  <c r="J110" i="7" s="1"/>
  <c r="K110" i="7" s="1"/>
  <c r="M111" i="7"/>
  <c r="J111" i="7"/>
  <c r="K111" i="7"/>
  <c r="M112" i="7"/>
  <c r="J112" i="7" s="1"/>
  <c r="K112" i="7" s="1"/>
  <c r="M113" i="7"/>
  <c r="J113" i="7"/>
  <c r="K113" i="7"/>
  <c r="M114" i="7"/>
  <c r="J114" i="7" s="1"/>
  <c r="K114" i="7" s="1"/>
  <c r="M115" i="7"/>
  <c r="J115" i="7"/>
  <c r="K115" i="7" s="1"/>
  <c r="M116" i="7"/>
  <c r="J116" i="7"/>
  <c r="K116" i="7"/>
  <c r="M117" i="7"/>
  <c r="J117" i="7"/>
  <c r="K117" i="7" s="1"/>
  <c r="M118" i="7"/>
  <c r="J118" i="7" s="1"/>
  <c r="K118" i="7"/>
  <c r="M119" i="7"/>
  <c r="J119" i="7"/>
  <c r="K119" i="7"/>
  <c r="M120" i="7"/>
  <c r="J120" i="7"/>
  <c r="K120" i="7" s="1"/>
  <c r="M121" i="7"/>
  <c r="J121" i="7" s="1"/>
  <c r="K121" i="7" s="1"/>
  <c r="M122" i="7"/>
  <c r="J122" i="7" s="1"/>
  <c r="K122" i="7" s="1"/>
  <c r="M123" i="7"/>
  <c r="J123" i="7"/>
  <c r="K123" i="7" s="1"/>
  <c r="M124" i="7"/>
  <c r="J124" i="7" s="1"/>
  <c r="K124" i="7"/>
  <c r="M125" i="7"/>
  <c r="J125" i="7"/>
  <c r="K125" i="7"/>
  <c r="M126" i="7"/>
  <c r="J126" i="7" s="1"/>
  <c r="K126" i="7" s="1"/>
  <c r="M127" i="7"/>
  <c r="J127" i="7" s="1"/>
  <c r="K127" i="7" s="1"/>
  <c r="M128" i="7"/>
  <c r="J128" i="7" s="1"/>
  <c r="K128" i="7"/>
  <c r="M129" i="7"/>
  <c r="J129" i="7"/>
  <c r="K129" i="7"/>
  <c r="M130" i="7"/>
  <c r="J130" i="7" s="1"/>
  <c r="K130" i="7" s="1"/>
  <c r="M131" i="7"/>
  <c r="J131" i="7"/>
  <c r="K131" i="7"/>
  <c r="M132" i="7"/>
  <c r="J132" i="7"/>
  <c r="K132" i="7"/>
  <c r="M133" i="7"/>
  <c r="J133" i="7" s="1"/>
  <c r="K133" i="7"/>
  <c r="M134" i="7"/>
  <c r="J134" i="7"/>
  <c r="K134" i="7" s="1"/>
  <c r="M135" i="7"/>
  <c r="J135" i="7"/>
  <c r="K135" i="7" s="1"/>
  <c r="M136" i="7"/>
  <c r="J136" i="7"/>
  <c r="K136" i="7" s="1"/>
  <c r="M137" i="7"/>
  <c r="J137" i="7" s="1"/>
  <c r="K137" i="7" s="1"/>
  <c r="M138" i="7"/>
  <c r="J138" i="7"/>
  <c r="K138" i="7" s="1"/>
  <c r="M139" i="7"/>
  <c r="J139" i="7"/>
  <c r="K139" i="7"/>
  <c r="M140" i="7"/>
  <c r="J140" i="7"/>
  <c r="K140" i="7"/>
  <c r="M141" i="7"/>
  <c r="J141" i="7" s="1"/>
  <c r="K141" i="7" s="1"/>
  <c r="M142" i="7"/>
  <c r="J142" i="7" s="1"/>
  <c r="K142" i="7"/>
  <c r="M143" i="7"/>
  <c r="J143" i="7"/>
  <c r="K143" i="7"/>
  <c r="M144" i="7"/>
  <c r="J144" i="7" s="1"/>
  <c r="K144" i="7"/>
  <c r="M145" i="7"/>
  <c r="J145" i="7"/>
  <c r="K145" i="7" s="1"/>
  <c r="M146" i="7"/>
  <c r="J146" i="7"/>
  <c r="K146" i="7" s="1"/>
  <c r="M147" i="7"/>
  <c r="J147" i="7"/>
  <c r="K147" i="7"/>
  <c r="M148" i="7"/>
  <c r="J148" i="7" s="1"/>
  <c r="K148" i="7"/>
  <c r="M149" i="7"/>
  <c r="J149" i="7"/>
  <c r="K149" i="7"/>
  <c r="M150" i="7"/>
  <c r="J150" i="7"/>
  <c r="K150" i="7"/>
  <c r="M151" i="7"/>
  <c r="J151" i="7"/>
  <c r="K151" i="7"/>
  <c r="M152" i="7"/>
  <c r="J152" i="7"/>
  <c r="K152" i="7" s="1"/>
  <c r="M153" i="7"/>
  <c r="J153" i="7"/>
  <c r="K153" i="7" s="1"/>
  <c r="M154" i="7"/>
  <c r="J154" i="7"/>
  <c r="K154" i="7" s="1"/>
  <c r="M155" i="7"/>
  <c r="J155" i="7"/>
  <c r="K155" i="7" s="1"/>
  <c r="M156" i="7"/>
  <c r="J156" i="7" s="1"/>
  <c r="K156" i="7" s="1"/>
  <c r="M157" i="7"/>
  <c r="J157" i="7"/>
  <c r="K157" i="7" s="1"/>
  <c r="M158" i="7"/>
  <c r="J158" i="7"/>
  <c r="K158" i="7"/>
  <c r="M159" i="7"/>
  <c r="J159" i="7"/>
  <c r="K159" i="7"/>
  <c r="M160" i="7"/>
  <c r="J160" i="7" s="1"/>
  <c r="K160" i="7" s="1"/>
  <c r="M161" i="7"/>
  <c r="J161" i="7" s="1"/>
  <c r="K161" i="7" s="1"/>
  <c r="M170" i="7"/>
  <c r="J170" i="7" s="1"/>
  <c r="K170" i="7"/>
  <c r="M171" i="7"/>
  <c r="J171" i="7"/>
  <c r="K171" i="7" s="1"/>
  <c r="M172" i="7"/>
  <c r="J172" i="7" s="1"/>
  <c r="K172" i="7"/>
  <c r="M173" i="7"/>
  <c r="J173" i="7"/>
  <c r="K173" i="7" s="1"/>
  <c r="M174" i="7"/>
  <c r="J174" i="7"/>
  <c r="K174" i="7"/>
  <c r="M175" i="7"/>
  <c r="J175" i="7"/>
  <c r="K175" i="7"/>
  <c r="M176" i="7"/>
  <c r="J176" i="7" s="1"/>
  <c r="K176" i="7" s="1"/>
  <c r="M177" i="7"/>
  <c r="J177" i="7"/>
  <c r="K177" i="7" s="1"/>
  <c r="M178" i="7"/>
  <c r="J178" i="7"/>
  <c r="K178" i="7"/>
  <c r="M179" i="7"/>
  <c r="J179" i="7"/>
  <c r="K179" i="7" s="1"/>
  <c r="M180" i="7"/>
  <c r="J180" i="7"/>
  <c r="K180" i="7"/>
  <c r="M181" i="7"/>
  <c r="J181" i="7" s="1"/>
  <c r="K181" i="7" s="1"/>
  <c r="M182" i="7"/>
  <c r="J182" i="7"/>
  <c r="K182" i="7" s="1"/>
  <c r="M183" i="7"/>
  <c r="J183" i="7"/>
  <c r="K183" i="7" s="1"/>
  <c r="M184" i="7"/>
  <c r="J184" i="7" s="1"/>
  <c r="K184" i="7" s="1"/>
  <c r="M185" i="7"/>
  <c r="J185" i="7"/>
  <c r="K185" i="7" s="1"/>
  <c r="M186" i="7"/>
  <c r="J186" i="7"/>
  <c r="K186" i="7" s="1"/>
  <c r="M187" i="7"/>
  <c r="J187" i="7" s="1"/>
  <c r="K187" i="7" s="1"/>
  <c r="M188" i="7"/>
  <c r="J188" i="7" s="1"/>
  <c r="K188" i="7" s="1"/>
  <c r="M189" i="7"/>
  <c r="J189" i="7" s="1"/>
  <c r="K189" i="7" s="1"/>
  <c r="M190" i="7"/>
  <c r="J190" i="7" s="1"/>
  <c r="K190" i="7"/>
  <c r="M191" i="7"/>
  <c r="J191" i="7"/>
  <c r="K191" i="7"/>
  <c r="M192" i="7"/>
  <c r="J192" i="7" s="1"/>
  <c r="K192" i="7" s="1"/>
  <c r="M193" i="7"/>
  <c r="J193" i="7"/>
  <c r="K193" i="7"/>
  <c r="M194" i="7"/>
  <c r="J194" i="7"/>
  <c r="K194" i="7"/>
  <c r="M195" i="7"/>
  <c r="J195" i="7" s="1"/>
  <c r="K195" i="7" s="1"/>
  <c r="M196" i="7"/>
  <c r="J196" i="7" s="1"/>
  <c r="K196" i="7" s="1"/>
  <c r="M197" i="7"/>
  <c r="J197" i="7"/>
  <c r="K197" i="7"/>
  <c r="M198" i="7"/>
  <c r="J198" i="7"/>
  <c r="K198" i="7"/>
  <c r="M199" i="7"/>
  <c r="J199" i="7"/>
  <c r="K199" i="7" s="1"/>
  <c r="M200" i="7"/>
  <c r="J200" i="7"/>
  <c r="K200" i="7"/>
  <c r="M201" i="7"/>
  <c r="J201" i="7"/>
  <c r="K201" i="7"/>
  <c r="M202" i="7"/>
  <c r="J202" i="7"/>
  <c r="K202" i="7" s="1"/>
  <c r="M203" i="7"/>
  <c r="J203" i="7"/>
  <c r="K203" i="7" s="1"/>
  <c r="M204" i="7"/>
  <c r="J204" i="7" s="1"/>
  <c r="K204" i="7" s="1"/>
  <c r="M205" i="7"/>
  <c r="J205" i="7"/>
  <c r="K205" i="7" s="1"/>
  <c r="M206" i="7"/>
  <c r="J206" i="7"/>
  <c r="K206" i="7"/>
  <c r="M207" i="7"/>
  <c r="J207" i="7" s="1"/>
  <c r="K207" i="7" s="1"/>
  <c r="M208" i="7"/>
  <c r="J208" i="7"/>
  <c r="K208" i="7"/>
  <c r="M209" i="7"/>
  <c r="J209" i="7" s="1"/>
  <c r="K209" i="7" s="1"/>
  <c r="M210" i="7"/>
  <c r="J210" i="7" s="1"/>
  <c r="K210" i="7"/>
  <c r="M211" i="7"/>
  <c r="J211" i="7" s="1"/>
  <c r="K211" i="7"/>
  <c r="M212" i="7"/>
  <c r="J212" i="7" s="1"/>
  <c r="K212" i="7"/>
  <c r="M213" i="7"/>
  <c r="J213" i="7"/>
  <c r="K213" i="7" s="1"/>
  <c r="M214" i="7"/>
  <c r="J214" i="7" s="1"/>
  <c r="K214" i="7" s="1"/>
  <c r="M215" i="7"/>
  <c r="J215" i="7" s="1"/>
  <c r="K215" i="7" s="1"/>
  <c r="M216" i="7"/>
  <c r="J216" i="7" s="1"/>
  <c r="K216" i="7"/>
  <c r="M217" i="7"/>
  <c r="J217" i="7"/>
  <c r="K217" i="7"/>
  <c r="M218" i="7"/>
  <c r="J218" i="7"/>
  <c r="K218" i="7" s="1"/>
  <c r="M219" i="7"/>
  <c r="J219" i="7"/>
  <c r="K219" i="7"/>
  <c r="M220" i="7"/>
  <c r="J220" i="7"/>
  <c r="K220" i="7"/>
  <c r="M221" i="7"/>
  <c r="J221" i="7"/>
  <c r="K221" i="7" s="1"/>
  <c r="M222" i="7"/>
  <c r="J222" i="7" s="1"/>
  <c r="K222" i="7" s="1"/>
  <c r="M223" i="7"/>
  <c r="J223" i="7"/>
  <c r="K223" i="7" s="1"/>
  <c r="M224" i="7"/>
  <c r="J224" i="7"/>
  <c r="K224" i="7"/>
  <c r="M225" i="7"/>
  <c r="J225" i="7"/>
  <c r="K225" i="7" s="1"/>
  <c r="M226" i="7"/>
  <c r="J226" i="7" s="1"/>
  <c r="K226" i="7"/>
  <c r="M227" i="7"/>
  <c r="J227" i="7"/>
  <c r="K227" i="7"/>
  <c r="M228" i="7"/>
  <c r="J228" i="7"/>
  <c r="K228" i="7"/>
  <c r="M229" i="7"/>
  <c r="J229" i="7" s="1"/>
  <c r="K229" i="7" s="1"/>
  <c r="M230" i="7"/>
  <c r="M231" i="7"/>
  <c r="M232" i="7"/>
  <c r="M165" i="1"/>
  <c r="J165" i="1"/>
  <c r="K165" i="1"/>
  <c r="M164" i="1"/>
  <c r="J164" i="1" s="1"/>
  <c r="K164" i="1"/>
  <c r="M163" i="1"/>
  <c r="J163" i="1" s="1"/>
  <c r="K163" i="1" s="1"/>
  <c r="M162" i="1"/>
  <c r="J162" i="1"/>
  <c r="K162" i="1"/>
  <c r="M161" i="1"/>
  <c r="J161" i="1"/>
  <c r="K161" i="1"/>
  <c r="M160" i="1"/>
  <c r="J160" i="1" s="1"/>
  <c r="K160" i="1"/>
  <c r="M159" i="1"/>
  <c r="J159" i="1"/>
  <c r="K159" i="1" s="1"/>
  <c r="M158" i="1"/>
  <c r="J158" i="1"/>
  <c r="K158" i="1"/>
  <c r="M106" i="1"/>
  <c r="J106" i="1"/>
  <c r="K106" i="1"/>
  <c r="M105" i="1"/>
  <c r="J105" i="1"/>
  <c r="K105" i="1" s="1"/>
  <c r="M104" i="1"/>
  <c r="J104" i="1"/>
  <c r="K104" i="1"/>
  <c r="M103" i="1"/>
  <c r="J103" i="1"/>
  <c r="K103" i="1" s="1"/>
  <c r="M102" i="1"/>
  <c r="J102" i="1"/>
  <c r="K102" i="1" s="1"/>
  <c r="M101" i="1"/>
  <c r="J101" i="1"/>
  <c r="K101" i="1"/>
  <c r="M100" i="1"/>
  <c r="J100" i="1" s="1"/>
  <c r="K100" i="1" s="1"/>
  <c r="M99" i="1"/>
  <c r="J99" i="1"/>
  <c r="K99" i="1"/>
  <c r="M59" i="1"/>
  <c r="J59" i="1"/>
  <c r="K59" i="1"/>
  <c r="M58" i="1"/>
  <c r="J58" i="1"/>
  <c r="K58" i="1" s="1"/>
  <c r="M57" i="1"/>
  <c r="J57" i="1" s="1"/>
  <c r="K57" i="1" s="1"/>
  <c r="M56" i="1"/>
  <c r="J56" i="1" s="1"/>
  <c r="K56" i="1"/>
  <c r="M55" i="1"/>
  <c r="J55" i="1"/>
  <c r="K55" i="1"/>
  <c r="M54" i="1"/>
  <c r="J54" i="1" s="1"/>
  <c r="K54" i="1"/>
  <c r="M9" i="1"/>
  <c r="J9" i="1" s="1"/>
  <c r="K9" i="1" s="1"/>
  <c r="M10" i="1"/>
  <c r="J10" i="1"/>
  <c r="K10" i="1"/>
  <c r="M11" i="1"/>
  <c r="J11" i="1"/>
  <c r="K11" i="1"/>
  <c r="M12" i="1"/>
  <c r="J12" i="1" s="1"/>
  <c r="K12" i="1"/>
  <c r="M13" i="1"/>
  <c r="J13" i="1"/>
  <c r="K13" i="1"/>
  <c r="M14" i="1"/>
  <c r="J14" i="1"/>
  <c r="K14" i="1"/>
  <c r="M15" i="1"/>
  <c r="J15" i="1"/>
  <c r="K15" i="1"/>
  <c r="M16" i="1"/>
  <c r="J16" i="1" s="1"/>
  <c r="K16" i="1" s="1"/>
  <c r="M20" i="1"/>
  <c r="J20" i="1"/>
  <c r="K20" i="1"/>
  <c r="M21" i="1"/>
  <c r="J21" i="1"/>
  <c r="K21" i="1" s="1"/>
  <c r="M22" i="1"/>
  <c r="J22" i="1"/>
  <c r="K22" i="1" s="1"/>
  <c r="M23" i="1"/>
  <c r="J23" i="1" s="1"/>
  <c r="K23" i="1" s="1"/>
  <c r="M24" i="1"/>
  <c r="J24" i="1"/>
  <c r="K24" i="1" s="1"/>
  <c r="M25" i="1"/>
  <c r="J25" i="1"/>
  <c r="K25" i="1" s="1"/>
  <c r="M26" i="1"/>
  <c r="J26" i="1"/>
  <c r="K26" i="1"/>
  <c r="M27" i="1"/>
  <c r="J27" i="1" s="1"/>
  <c r="K27" i="1" s="1"/>
  <c r="M28" i="1"/>
  <c r="J28" i="1" s="1"/>
  <c r="K28" i="1" s="1"/>
  <c r="M29" i="1"/>
  <c r="J29" i="1" s="1"/>
  <c r="K29" i="1"/>
  <c r="M30" i="1"/>
  <c r="J30" i="1"/>
  <c r="K30" i="1"/>
  <c r="M31" i="1"/>
  <c r="J31" i="1" s="1"/>
  <c r="K31" i="1" s="1"/>
  <c r="M32" i="1"/>
  <c r="J32" i="1" s="1"/>
  <c r="K32" i="1" s="1"/>
  <c r="M33" i="1"/>
  <c r="J33" i="1"/>
  <c r="K33" i="1"/>
  <c r="M34" i="1"/>
  <c r="J34" i="1"/>
  <c r="K34" i="1" s="1"/>
  <c r="M35" i="1"/>
  <c r="J35" i="1" s="1"/>
  <c r="K35" i="1" s="1"/>
  <c r="M36" i="1"/>
  <c r="J36" i="1"/>
  <c r="K36" i="1"/>
  <c r="M37" i="1"/>
  <c r="J37" i="1"/>
  <c r="K37" i="1"/>
  <c r="M38" i="1"/>
  <c r="J38" i="1"/>
  <c r="K38" i="1" s="1"/>
  <c r="M42" i="1"/>
  <c r="J42" i="1" s="1"/>
  <c r="K42" i="1" s="1"/>
  <c r="M43" i="1"/>
  <c r="J43" i="1"/>
  <c r="K43" i="1" s="1"/>
  <c r="M44" i="1"/>
  <c r="J44" i="1"/>
  <c r="K44" i="1" s="1"/>
  <c r="M45" i="1"/>
  <c r="J45" i="1"/>
  <c r="K45" i="1" s="1"/>
  <c r="M46" i="1"/>
  <c r="J46" i="1"/>
  <c r="K46" i="1"/>
  <c r="M47" i="1"/>
  <c r="J47" i="1"/>
  <c r="K47" i="1" s="1"/>
  <c r="M48" i="1"/>
  <c r="J48" i="1"/>
  <c r="K48" i="1"/>
  <c r="M49" i="1"/>
  <c r="J49" i="1" s="1"/>
  <c r="K49" i="1"/>
  <c r="M51" i="1"/>
  <c r="J51" i="1" s="1"/>
  <c r="K51" i="1" s="1"/>
  <c r="M52" i="1"/>
  <c r="J52" i="1" s="1"/>
  <c r="K52" i="1" s="1"/>
  <c r="M53" i="1"/>
  <c r="J53" i="1" s="1"/>
  <c r="K53" i="1" s="1"/>
  <c r="M60" i="1"/>
  <c r="J60" i="1"/>
  <c r="K60" i="1" s="1"/>
  <c r="M61" i="1"/>
  <c r="J61" i="1" s="1"/>
  <c r="K61" i="1"/>
  <c r="M62" i="1"/>
  <c r="J62" i="1"/>
  <c r="K62" i="1"/>
  <c r="M63" i="1"/>
  <c r="J63" i="1"/>
  <c r="K63" i="1"/>
  <c r="M64" i="1"/>
  <c r="J64" i="1" s="1"/>
  <c r="K64" i="1"/>
  <c r="M65" i="1"/>
  <c r="J65" i="1" s="1"/>
  <c r="K65" i="1"/>
  <c r="M66" i="1"/>
  <c r="J66" i="1"/>
  <c r="K66" i="1"/>
  <c r="M67" i="1"/>
  <c r="J67" i="1"/>
  <c r="K67" i="1" s="1"/>
  <c r="M68" i="1"/>
  <c r="J68" i="1"/>
  <c r="K68" i="1"/>
  <c r="M69" i="1"/>
  <c r="J69" i="1"/>
  <c r="K69" i="1"/>
  <c r="M70" i="1"/>
  <c r="J70" i="1"/>
  <c r="K70" i="1"/>
  <c r="M71" i="1"/>
  <c r="J71" i="1" s="1"/>
  <c r="K71" i="1" s="1"/>
  <c r="M72" i="1"/>
  <c r="J72" i="1"/>
  <c r="K72" i="1" s="1"/>
  <c r="M73" i="1"/>
  <c r="J73" i="1"/>
  <c r="K73" i="1"/>
  <c r="M74" i="1"/>
  <c r="J74" i="1"/>
  <c r="K74" i="1" s="1"/>
  <c r="M75" i="1"/>
  <c r="J75" i="1"/>
  <c r="K75" i="1" s="1"/>
  <c r="M76" i="1"/>
  <c r="J76" i="1"/>
  <c r="K76" i="1"/>
  <c r="M77" i="1"/>
  <c r="J77" i="1"/>
  <c r="K77" i="1"/>
  <c r="M78" i="1"/>
  <c r="J78" i="1" s="1"/>
  <c r="K78" i="1" s="1"/>
  <c r="M79" i="1"/>
  <c r="J79" i="1" s="1"/>
  <c r="K79" i="1"/>
  <c r="M80" i="1"/>
  <c r="J80" i="1"/>
  <c r="K80" i="1"/>
  <c r="M81" i="1"/>
  <c r="J81" i="1" s="1"/>
  <c r="K81" i="1"/>
  <c r="M82" i="1"/>
  <c r="J82" i="1"/>
  <c r="K82" i="1" s="1"/>
  <c r="M83" i="1"/>
  <c r="J83" i="1" s="1"/>
  <c r="K83" i="1" s="1"/>
  <c r="M84" i="1"/>
  <c r="J84" i="1"/>
  <c r="K84" i="1"/>
  <c r="M85" i="1"/>
  <c r="J85" i="1" s="1"/>
  <c r="K85" i="1"/>
  <c r="M86" i="1"/>
  <c r="J86" i="1"/>
  <c r="K86" i="1"/>
  <c r="M87" i="1"/>
  <c r="J87" i="1" s="1"/>
  <c r="K87" i="1"/>
  <c r="M88" i="1"/>
  <c r="J88" i="1"/>
  <c r="K88" i="1"/>
  <c r="M89" i="1"/>
  <c r="J89" i="1"/>
  <c r="K89" i="1"/>
  <c r="M90" i="1"/>
  <c r="J90" i="1" s="1"/>
  <c r="K90" i="1" s="1"/>
  <c r="M91" i="1"/>
  <c r="J91" i="1"/>
  <c r="K91" i="1" s="1"/>
  <c r="M92" i="1"/>
  <c r="J92" i="1"/>
  <c r="K92" i="1" s="1"/>
  <c r="M93" i="1"/>
  <c r="J93" i="1"/>
  <c r="K93" i="1"/>
  <c r="M94" i="1"/>
  <c r="J94" i="1" s="1"/>
  <c r="K94" i="1" s="1"/>
  <c r="M95" i="1"/>
  <c r="J95" i="1"/>
  <c r="K95" i="1"/>
  <c r="M96" i="1"/>
  <c r="J96" i="1"/>
  <c r="K96" i="1"/>
  <c r="M97" i="1"/>
  <c r="J97" i="1"/>
  <c r="K97" i="1"/>
  <c r="M98" i="1"/>
  <c r="J98" i="1" s="1"/>
  <c r="K98" i="1" s="1"/>
  <c r="M107" i="1"/>
  <c r="J107" i="1" s="1"/>
  <c r="K107" i="1" s="1"/>
  <c r="M108" i="1"/>
  <c r="J108" i="1"/>
  <c r="K108" i="1"/>
  <c r="M109" i="1"/>
  <c r="J109" i="1" s="1"/>
  <c r="K109" i="1"/>
  <c r="M110" i="1"/>
  <c r="J110" i="1"/>
  <c r="K110" i="1"/>
  <c r="M111" i="1"/>
  <c r="J111" i="1"/>
  <c r="K111" i="1"/>
  <c r="M112" i="1"/>
  <c r="J112" i="1"/>
  <c r="K112" i="1"/>
  <c r="M113" i="1"/>
  <c r="J113" i="1" s="1"/>
  <c r="K113" i="1"/>
  <c r="M114" i="1"/>
  <c r="J114" i="1"/>
  <c r="K114" i="1" s="1"/>
  <c r="M115" i="1"/>
  <c r="J115" i="1"/>
  <c r="K115" i="1"/>
  <c r="M116" i="1"/>
  <c r="J116" i="1"/>
  <c r="K116" i="1"/>
  <c r="M117" i="1"/>
  <c r="J117" i="1"/>
  <c r="K117" i="1"/>
  <c r="M118" i="1"/>
  <c r="J118" i="1"/>
  <c r="K118" i="1"/>
  <c r="M119" i="1"/>
  <c r="J119" i="1"/>
  <c r="K119" i="1" s="1"/>
  <c r="M120" i="1"/>
  <c r="J120" i="1"/>
  <c r="K120" i="1" s="1"/>
  <c r="M121" i="1"/>
  <c r="J121" i="1"/>
  <c r="K121" i="1"/>
  <c r="M122" i="1"/>
  <c r="J122" i="1" s="1"/>
  <c r="K122" i="1" s="1"/>
  <c r="M123" i="1"/>
  <c r="J123" i="1"/>
  <c r="K123" i="1"/>
  <c r="M124" i="1"/>
  <c r="J124" i="1"/>
  <c r="K124" i="1" s="1"/>
  <c r="M125" i="1"/>
  <c r="J125" i="1"/>
  <c r="K125" i="1" s="1"/>
  <c r="M126" i="1"/>
  <c r="J126" i="1" s="1"/>
  <c r="K126" i="1" s="1"/>
  <c r="M127" i="1"/>
  <c r="J127" i="1" s="1"/>
  <c r="K127" i="1" s="1"/>
  <c r="M128" i="1"/>
  <c r="J128" i="1"/>
  <c r="K128" i="1"/>
  <c r="M129" i="1"/>
  <c r="J129" i="1" s="1"/>
  <c r="K129" i="1"/>
  <c r="M130" i="1"/>
  <c r="J130" i="1" s="1"/>
  <c r="K130" i="1" s="1"/>
  <c r="M131" i="1"/>
  <c r="J131" i="1"/>
  <c r="K131" i="1"/>
  <c r="M132" i="1"/>
  <c r="J132" i="1"/>
  <c r="K132" i="1"/>
  <c r="M133" i="1"/>
  <c r="J133" i="1" s="1"/>
  <c r="K133" i="1"/>
  <c r="M134" i="1"/>
  <c r="J134" i="1"/>
  <c r="K134" i="1"/>
  <c r="M135" i="1"/>
  <c r="J135" i="1"/>
  <c r="K135" i="1" s="1"/>
  <c r="M136" i="1"/>
  <c r="J136" i="1"/>
  <c r="K136" i="1"/>
  <c r="M137" i="1"/>
  <c r="J137" i="1" s="1"/>
  <c r="K137" i="1" s="1"/>
  <c r="M138" i="1"/>
  <c r="J138" i="1"/>
  <c r="K138" i="1"/>
  <c r="M139" i="1"/>
  <c r="J139" i="1"/>
  <c r="K139" i="1" s="1"/>
  <c r="M140" i="1"/>
  <c r="J140" i="1"/>
  <c r="K140" i="1" s="1"/>
  <c r="M141" i="1"/>
  <c r="J141" i="1" s="1"/>
  <c r="K141" i="1" s="1"/>
  <c r="M142" i="1"/>
  <c r="J142" i="1" s="1"/>
  <c r="K142" i="1" s="1"/>
  <c r="M143" i="1"/>
  <c r="J143" i="1"/>
  <c r="K143" i="1"/>
  <c r="M144" i="1"/>
  <c r="J144" i="1" s="1"/>
  <c r="K144" i="1" s="1"/>
  <c r="M145" i="1"/>
  <c r="J145" i="1" s="1"/>
  <c r="K145" i="1" s="1"/>
  <c r="M146" i="1"/>
  <c r="J146" i="1" s="1"/>
  <c r="K146" i="1" s="1"/>
  <c r="M147" i="1"/>
  <c r="J147" i="1" s="1"/>
  <c r="K147" i="1"/>
  <c r="M148" i="1"/>
  <c r="J148" i="1"/>
  <c r="K148" i="1"/>
  <c r="M149" i="1"/>
  <c r="J149" i="1" s="1"/>
  <c r="K149" i="1" s="1"/>
  <c r="M150" i="1"/>
  <c r="J150" i="1" s="1"/>
  <c r="K150" i="1" s="1"/>
  <c r="M151" i="1"/>
  <c r="J151" i="1"/>
  <c r="K151" i="1" s="1"/>
  <c r="M152" i="1"/>
  <c r="J152" i="1"/>
  <c r="K152" i="1"/>
  <c r="M153" i="1"/>
  <c r="J153" i="1" s="1"/>
  <c r="K153" i="1" s="1"/>
  <c r="M154" i="1"/>
  <c r="J154" i="1"/>
  <c r="K154" i="1"/>
  <c r="M155" i="1"/>
  <c r="J155" i="1"/>
  <c r="K155" i="1"/>
  <c r="M156" i="1"/>
  <c r="J156" i="1"/>
  <c r="K156" i="1" s="1"/>
  <c r="M157" i="1"/>
  <c r="J157" i="1"/>
  <c r="K157" i="1"/>
  <c r="M166" i="1"/>
  <c r="J166" i="1"/>
  <c r="K166" i="1" s="1"/>
  <c r="M167" i="1"/>
  <c r="J167" i="1" s="1"/>
  <c r="K167" i="1" s="1"/>
  <c r="M168" i="1"/>
  <c r="J168" i="1"/>
  <c r="K168" i="1" s="1"/>
  <c r="M169" i="1"/>
  <c r="J169" i="1"/>
  <c r="K169" i="1"/>
  <c r="M170" i="1"/>
  <c r="J170" i="1"/>
  <c r="K170" i="1" s="1"/>
  <c r="M171" i="1"/>
  <c r="J171" i="1"/>
  <c r="K171" i="1"/>
  <c r="M172" i="1"/>
  <c r="J172" i="1" s="1"/>
  <c r="K172" i="1"/>
  <c r="M173" i="1"/>
  <c r="J173" i="1"/>
  <c r="K173" i="1"/>
  <c r="M174" i="1"/>
  <c r="J174" i="1" s="1"/>
  <c r="K174" i="1" s="1"/>
  <c r="M175" i="1"/>
  <c r="J175" i="1" s="1"/>
  <c r="K175" i="1" s="1"/>
  <c r="M176" i="1"/>
  <c r="J176" i="1" s="1"/>
  <c r="K176" i="1" s="1"/>
  <c r="M177" i="1"/>
  <c r="J177" i="1" s="1"/>
  <c r="K177" i="1"/>
  <c r="M178" i="1"/>
  <c r="J178" i="1"/>
  <c r="K178" i="1"/>
  <c r="M179" i="1"/>
  <c r="J179" i="1"/>
  <c r="K179" i="1"/>
  <c r="M180" i="1"/>
  <c r="J180" i="1" s="1"/>
  <c r="K180" i="1"/>
  <c r="M181" i="1"/>
  <c r="J181" i="1" s="1"/>
  <c r="K181" i="1"/>
  <c r="M182" i="1"/>
  <c r="J182" i="1"/>
  <c r="K182" i="1"/>
  <c r="M183" i="1"/>
  <c r="J183" i="1"/>
  <c r="K183" i="1" s="1"/>
  <c r="M184" i="1"/>
  <c r="J184" i="1"/>
  <c r="K184" i="1"/>
  <c r="M185" i="1"/>
  <c r="J185" i="1"/>
  <c r="K185" i="1"/>
  <c r="M186" i="1"/>
  <c r="J186" i="1"/>
  <c r="K186" i="1"/>
  <c r="M187" i="1"/>
  <c r="J187" i="1" s="1"/>
  <c r="K187" i="1" s="1"/>
  <c r="M188" i="1"/>
  <c r="J188" i="1"/>
  <c r="K188" i="1" s="1"/>
  <c r="M189" i="1"/>
  <c r="J189" i="1"/>
  <c r="K189" i="1"/>
  <c r="M190" i="1"/>
  <c r="J190" i="1"/>
  <c r="K190" i="1" s="1"/>
  <c r="M191" i="1"/>
  <c r="J191" i="1"/>
  <c r="K191" i="1" s="1"/>
  <c r="M192" i="1"/>
  <c r="J192" i="1"/>
  <c r="K192" i="1"/>
  <c r="M193" i="1"/>
  <c r="J193" i="1"/>
  <c r="K193" i="1"/>
  <c r="M194" i="1"/>
  <c r="J194" i="1" s="1"/>
  <c r="K194" i="1" s="1"/>
  <c r="M195" i="1"/>
  <c r="J195" i="1" s="1"/>
  <c r="K195" i="1"/>
  <c r="M196" i="1"/>
  <c r="J196" i="1"/>
  <c r="K196" i="1"/>
  <c r="M197" i="1"/>
  <c r="J197" i="1" s="1"/>
  <c r="K197" i="1"/>
  <c r="M198" i="1"/>
  <c r="J198" i="1"/>
  <c r="K198" i="1"/>
  <c r="M199" i="1"/>
  <c r="J199" i="1" s="1"/>
  <c r="K199" i="1" s="1"/>
  <c r="M200" i="1"/>
  <c r="J200" i="1"/>
  <c r="K200" i="1"/>
  <c r="M201" i="1"/>
  <c r="J201" i="1" s="1"/>
  <c r="K201" i="1"/>
  <c r="M202" i="1"/>
  <c r="J202" i="1"/>
  <c r="K202" i="1"/>
  <c r="M203" i="1"/>
  <c r="J203" i="1" s="1"/>
  <c r="K203" i="1"/>
  <c r="M204" i="1"/>
  <c r="J204" i="1"/>
  <c r="K204" i="1"/>
  <c r="M205" i="1"/>
  <c r="J205" i="1"/>
  <c r="K205" i="1"/>
  <c r="M206" i="1"/>
  <c r="J206" i="1"/>
  <c r="K206" i="1" s="1"/>
  <c r="M207" i="1"/>
  <c r="J207" i="1"/>
  <c r="K207" i="1" s="1"/>
  <c r="M208" i="1"/>
  <c r="J208" i="1"/>
  <c r="K208" i="1" s="1"/>
  <c r="M209" i="1"/>
  <c r="J209" i="1"/>
  <c r="K209" i="1"/>
  <c r="M210" i="1"/>
  <c r="J210" i="1"/>
  <c r="K210" i="1" s="1"/>
  <c r="M211" i="1"/>
  <c r="J211" i="1"/>
  <c r="K211" i="1"/>
  <c r="M212" i="1"/>
  <c r="J212" i="1"/>
  <c r="K212" i="1"/>
  <c r="M213" i="1"/>
  <c r="J213" i="1"/>
  <c r="K213" i="1"/>
  <c r="M215" i="1"/>
  <c r="J215" i="1" s="1"/>
  <c r="K215" i="1" s="1"/>
  <c r="M216" i="1"/>
  <c r="J216" i="1" s="1"/>
  <c r="K216" i="1" s="1"/>
  <c r="M217" i="1"/>
  <c r="J217" i="1"/>
  <c r="K217" i="1"/>
  <c r="M218" i="1"/>
  <c r="J218" i="1" s="1"/>
  <c r="K218" i="1"/>
  <c r="M219" i="1"/>
  <c r="J219" i="1"/>
  <c r="K219" i="1"/>
  <c r="M220" i="1"/>
  <c r="J220" i="1"/>
  <c r="K220" i="1" s="1"/>
  <c r="M221" i="1"/>
  <c r="J221" i="1"/>
  <c r="K221" i="1"/>
  <c r="M222" i="1"/>
  <c r="J222" i="1" s="1"/>
  <c r="K222" i="1"/>
  <c r="M223" i="1"/>
  <c r="J223" i="1"/>
  <c r="K223" i="1"/>
  <c r="M224" i="1"/>
  <c r="M225" i="1"/>
  <c r="N8" i="3"/>
  <c r="K8" i="3" s="1"/>
  <c r="L8" i="3"/>
  <c r="N9" i="3"/>
  <c r="K9" i="3"/>
  <c r="L9" i="3" s="1"/>
  <c r="N10" i="3"/>
  <c r="K10" i="3"/>
  <c r="L10" i="3" s="1"/>
  <c r="N11" i="3"/>
  <c r="K11" i="3"/>
  <c r="L11" i="3" s="1"/>
  <c r="N12" i="3"/>
  <c r="K12" i="3" s="1"/>
  <c r="L12" i="3"/>
  <c r="N13" i="3"/>
  <c r="K13" i="3"/>
  <c r="L13" i="3"/>
  <c r="N14" i="3"/>
  <c r="K14" i="3"/>
  <c r="L14" i="3" s="1"/>
  <c r="N15" i="3"/>
  <c r="K15" i="3"/>
  <c r="L15" i="3"/>
  <c r="N16" i="3"/>
  <c r="K16" i="3"/>
  <c r="L16" i="3" s="1"/>
  <c r="N17" i="3"/>
  <c r="K17" i="3" s="1"/>
  <c r="L17" i="3" s="1"/>
  <c r="N18" i="3"/>
  <c r="K18" i="3"/>
  <c r="L18" i="3" s="1"/>
  <c r="N19" i="3"/>
  <c r="K19" i="3"/>
  <c r="L19" i="3" s="1"/>
  <c r="N20" i="3"/>
  <c r="K20" i="3"/>
  <c r="L20" i="3"/>
  <c r="N21" i="3"/>
  <c r="K21" i="3"/>
  <c r="L21" i="3" s="1"/>
  <c r="N22" i="3"/>
  <c r="K22" i="3" s="1"/>
  <c r="L22" i="3" s="1"/>
  <c r="N23" i="3"/>
  <c r="K23" i="3"/>
  <c r="L23" i="3"/>
  <c r="N24" i="3"/>
  <c r="K24" i="3"/>
  <c r="L24" i="3" s="1"/>
  <c r="N25" i="3"/>
  <c r="K25" i="3" s="1"/>
  <c r="L25" i="3" s="1"/>
  <c r="N26" i="3"/>
  <c r="K26" i="3" s="1"/>
  <c r="L26" i="3"/>
  <c r="N27" i="3"/>
  <c r="K27" i="3"/>
  <c r="L27" i="3"/>
  <c r="N30" i="3"/>
  <c r="K30" i="3" s="1"/>
  <c r="L30" i="3"/>
  <c r="N31" i="3"/>
  <c r="K31" i="3"/>
  <c r="L31" i="3"/>
  <c r="N32" i="3"/>
  <c r="K32" i="3" s="1"/>
  <c r="L32" i="3" s="1"/>
  <c r="N33" i="3"/>
  <c r="K33" i="3"/>
  <c r="L33" i="3"/>
  <c r="N34" i="3"/>
  <c r="K34" i="3" s="1"/>
  <c r="L34" i="3"/>
  <c r="N35" i="3"/>
  <c r="K35" i="3"/>
  <c r="L35" i="3" s="1"/>
  <c r="N36" i="3"/>
  <c r="K36" i="3"/>
  <c r="L36" i="3" s="1"/>
  <c r="N37" i="3"/>
  <c r="K37" i="3"/>
  <c r="L37" i="3"/>
  <c r="N38" i="3"/>
  <c r="K38" i="3"/>
  <c r="L38" i="3"/>
  <c r="N39" i="3"/>
  <c r="K39" i="3" s="1"/>
  <c r="L39" i="3" s="1"/>
  <c r="N40" i="3"/>
  <c r="K40" i="3"/>
  <c r="L40" i="3" s="1"/>
  <c r="N41" i="3"/>
  <c r="K41" i="3"/>
  <c r="L41" i="3" s="1"/>
  <c r="N42" i="3"/>
  <c r="K42" i="3"/>
  <c r="L42" i="3"/>
  <c r="N43" i="3"/>
  <c r="K43" i="3"/>
  <c r="L43" i="3" s="1"/>
  <c r="N44" i="3"/>
  <c r="K44" i="3" s="1"/>
  <c r="L44" i="3" s="1"/>
  <c r="N45" i="3"/>
  <c r="K45" i="3"/>
  <c r="L45" i="3" s="1"/>
  <c r="N46" i="3"/>
  <c r="K46" i="3"/>
  <c r="L46" i="3"/>
  <c r="N47" i="3"/>
  <c r="K47" i="3" s="1"/>
  <c r="L47" i="3" s="1"/>
  <c r="N48" i="3"/>
  <c r="K48" i="3" s="1"/>
  <c r="L48" i="3"/>
  <c r="N49" i="3"/>
  <c r="K49" i="3"/>
  <c r="L49" i="3"/>
  <c r="N52" i="3"/>
  <c r="K52" i="3" s="1"/>
  <c r="L52" i="3" s="1"/>
  <c r="L72" i="3" s="1"/>
  <c r="N53" i="3"/>
  <c r="K53" i="3"/>
  <c r="L53" i="3" s="1"/>
  <c r="N54" i="3"/>
  <c r="K54" i="3"/>
  <c r="L54" i="3"/>
  <c r="N55" i="3"/>
  <c r="K55" i="3"/>
  <c r="L55" i="3" s="1"/>
  <c r="N56" i="3"/>
  <c r="K56" i="3" s="1"/>
  <c r="L56" i="3" s="1"/>
  <c r="N57" i="3"/>
  <c r="K57" i="3"/>
  <c r="L57" i="3" s="1"/>
  <c r="N58" i="3"/>
  <c r="K58" i="3"/>
  <c r="L58" i="3"/>
  <c r="N59" i="3"/>
  <c r="K59" i="3"/>
  <c r="L59" i="3" s="1"/>
  <c r="N60" i="3"/>
  <c r="K60" i="3"/>
  <c r="L60" i="3"/>
  <c r="N61" i="3"/>
  <c r="K61" i="3" s="1"/>
  <c r="L61" i="3"/>
  <c r="N62" i="3"/>
  <c r="K62" i="3"/>
  <c r="L62" i="3"/>
  <c r="N63" i="3"/>
  <c r="K63" i="3" s="1"/>
  <c r="L63" i="3" s="1"/>
  <c r="N64" i="3"/>
  <c r="K64" i="3" s="1"/>
  <c r="L64" i="3" s="1"/>
  <c r="N65" i="3"/>
  <c r="K65" i="3" s="1"/>
  <c r="L65" i="3" s="1"/>
  <c r="N66" i="3"/>
  <c r="K66" i="3" s="1"/>
  <c r="L66" i="3"/>
  <c r="N67" i="3"/>
  <c r="K67" i="3"/>
  <c r="L67" i="3"/>
  <c r="N68" i="3"/>
  <c r="K68" i="3"/>
  <c r="L68" i="3"/>
  <c r="N69" i="3"/>
  <c r="K69" i="3" s="1"/>
  <c r="L69" i="3"/>
  <c r="N70" i="3"/>
  <c r="K70" i="3" s="1"/>
  <c r="L70" i="3"/>
  <c r="N71" i="3"/>
  <c r="K71" i="3"/>
  <c r="L71" i="3" s="1"/>
  <c r="N74" i="3"/>
  <c r="K74" i="3" s="1"/>
  <c r="L74" i="3" s="1"/>
  <c r="N75" i="3"/>
  <c r="K75" i="3"/>
  <c r="L75" i="3"/>
  <c r="N76" i="3"/>
  <c r="K76" i="3"/>
  <c r="L76" i="3"/>
  <c r="N77" i="3"/>
  <c r="K77" i="3"/>
  <c r="L77" i="3"/>
  <c r="N78" i="3"/>
  <c r="K78" i="3" s="1"/>
  <c r="L78" i="3" s="1"/>
  <c r="N79" i="3"/>
  <c r="K79" i="3"/>
  <c r="L79" i="3" s="1"/>
  <c r="N80" i="3"/>
  <c r="K80" i="3"/>
  <c r="L80" i="3"/>
  <c r="N81" i="3"/>
  <c r="K81" i="3" s="1"/>
  <c r="L81" i="3" s="1"/>
  <c r="N82" i="3"/>
  <c r="K82" i="3" s="1"/>
  <c r="L82" i="3" s="1"/>
  <c r="N83" i="3"/>
  <c r="K83" i="3"/>
  <c r="L83" i="3"/>
  <c r="N84" i="3"/>
  <c r="K84" i="3"/>
  <c r="L84" i="3"/>
  <c r="N85" i="3"/>
  <c r="K85" i="3" s="1"/>
  <c r="L85" i="3" s="1"/>
  <c r="N86" i="3"/>
  <c r="K86" i="3" s="1"/>
  <c r="L86" i="3"/>
  <c r="N87" i="3"/>
  <c r="K87" i="3"/>
  <c r="L87" i="3"/>
  <c r="N88" i="3"/>
  <c r="K88" i="3" s="1"/>
  <c r="L88" i="3"/>
  <c r="N89" i="3"/>
  <c r="K89" i="3"/>
  <c r="L89" i="3" s="1"/>
  <c r="N90" i="3"/>
  <c r="K90" i="3" s="1"/>
  <c r="L90" i="3" s="1"/>
  <c r="N91" i="3"/>
  <c r="K91" i="3"/>
  <c r="L91" i="3"/>
  <c r="N92" i="3"/>
  <c r="K92" i="3" s="1"/>
  <c r="L92" i="3"/>
  <c r="N93" i="3"/>
  <c r="K93" i="3"/>
  <c r="L93" i="3"/>
  <c r="N98" i="3"/>
  <c r="K98" i="3" s="1"/>
  <c r="L98" i="3"/>
  <c r="N99" i="3"/>
  <c r="K99" i="3"/>
  <c r="L99" i="3"/>
  <c r="N100" i="3"/>
  <c r="K100" i="3"/>
  <c r="L100" i="3"/>
  <c r="N101" i="3"/>
  <c r="K101" i="3"/>
  <c r="L101" i="3" s="1"/>
  <c r="N102" i="3"/>
  <c r="K102" i="3"/>
  <c r="L102" i="3" s="1"/>
  <c r="N103" i="3"/>
  <c r="K103" i="3"/>
  <c r="L103" i="3" s="1"/>
  <c r="N104" i="3"/>
  <c r="K104" i="3"/>
  <c r="L104" i="3" s="1"/>
  <c r="N105" i="3"/>
  <c r="K105" i="3"/>
  <c r="L105" i="3" s="1"/>
  <c r="N106" i="3"/>
  <c r="K106" i="3"/>
  <c r="L106" i="3"/>
  <c r="N107" i="3"/>
  <c r="K107" i="3"/>
  <c r="L107" i="3"/>
  <c r="N108" i="3"/>
  <c r="K108" i="3"/>
  <c r="L108" i="3" s="1"/>
  <c r="N109" i="3"/>
  <c r="K109" i="3" s="1"/>
  <c r="L109" i="3" s="1"/>
  <c r="N110" i="3"/>
  <c r="K110" i="3" s="1"/>
  <c r="L110" i="3" s="1"/>
  <c r="N111" i="3"/>
  <c r="K111" i="3"/>
  <c r="L111" i="3"/>
  <c r="N112" i="3"/>
  <c r="K112" i="3" s="1"/>
  <c r="L112" i="3"/>
  <c r="N113" i="3"/>
  <c r="K113" i="3" s="1"/>
  <c r="L113" i="3" s="1"/>
  <c r="N114" i="3"/>
  <c r="K114" i="3"/>
  <c r="L114" i="3"/>
  <c r="N115" i="3"/>
  <c r="K115" i="3"/>
  <c r="L115" i="3"/>
  <c r="N119" i="3"/>
  <c r="K119" i="3" s="1"/>
  <c r="L119" i="3"/>
  <c r="N120" i="3"/>
  <c r="K120" i="3"/>
  <c r="L120" i="3"/>
  <c r="N121" i="3"/>
  <c r="K121" i="3"/>
  <c r="L121" i="3"/>
  <c r="N122" i="3"/>
  <c r="K122" i="3"/>
  <c r="L122" i="3"/>
  <c r="N123" i="3"/>
  <c r="K123" i="3" s="1"/>
  <c r="L123" i="3" s="1"/>
  <c r="N124" i="3"/>
  <c r="K124" i="3"/>
  <c r="L124" i="3"/>
  <c r="N125" i="3"/>
  <c r="K125" i="3"/>
  <c r="L125" i="3" s="1"/>
  <c r="N126" i="3"/>
  <c r="K126" i="3"/>
  <c r="L126" i="3" s="1"/>
  <c r="N127" i="3"/>
  <c r="K127" i="3"/>
  <c r="L127" i="3" s="1"/>
  <c r="N128" i="3"/>
  <c r="K128" i="3" s="1"/>
  <c r="L128" i="3" s="1"/>
  <c r="N129" i="3"/>
  <c r="K129" i="3"/>
  <c r="L129" i="3"/>
  <c r="N130" i="3"/>
  <c r="K130" i="3"/>
  <c r="L130" i="3"/>
  <c r="N131" i="3"/>
  <c r="K131" i="3" s="1"/>
  <c r="L131" i="3" s="1"/>
  <c r="N132" i="3"/>
  <c r="K132" i="3" s="1"/>
  <c r="L132" i="3" s="1"/>
  <c r="N133" i="3"/>
  <c r="K133" i="3" s="1"/>
  <c r="L133" i="3"/>
  <c r="N134" i="3"/>
  <c r="K134" i="3"/>
  <c r="L134" i="3"/>
  <c r="N135" i="3"/>
  <c r="K135" i="3" s="1"/>
  <c r="L135" i="3"/>
  <c r="N136" i="3"/>
  <c r="K136" i="3"/>
  <c r="L136" i="3" s="1"/>
  <c r="N137" i="3"/>
  <c r="K137" i="3"/>
  <c r="L137" i="3"/>
  <c r="N138" i="3"/>
  <c r="K138" i="3"/>
  <c r="L138" i="3"/>
  <c r="N141" i="3"/>
  <c r="K141" i="3" s="1"/>
  <c r="N142" i="3"/>
  <c r="K142" i="3" s="1"/>
  <c r="L142" i="3" s="1"/>
  <c r="N143" i="3"/>
  <c r="K143" i="3" s="1"/>
  <c r="L143" i="3" s="1"/>
  <c r="N144" i="3"/>
  <c r="K144" i="3" s="1"/>
  <c r="L144" i="3"/>
  <c r="N145" i="3"/>
  <c r="K145" i="3"/>
  <c r="L145" i="3"/>
  <c r="N146" i="3"/>
  <c r="K146" i="3"/>
  <c r="L146" i="3" s="1"/>
  <c r="N147" i="3"/>
  <c r="K147" i="3"/>
  <c r="L147" i="3"/>
  <c r="N148" i="3"/>
  <c r="K148" i="3" s="1"/>
  <c r="L148" i="3"/>
  <c r="N149" i="3"/>
  <c r="K149" i="3"/>
  <c r="L149" i="3"/>
  <c r="N150" i="3"/>
  <c r="K150" i="3"/>
  <c r="L150" i="3"/>
  <c r="N151" i="3"/>
  <c r="K151" i="3"/>
  <c r="L151" i="3"/>
  <c r="N152" i="3"/>
  <c r="K152" i="3"/>
  <c r="L152" i="3"/>
  <c r="N153" i="3"/>
  <c r="K153" i="3"/>
  <c r="L153" i="3" s="1"/>
  <c r="N154" i="3"/>
  <c r="K154" i="3"/>
  <c r="L154" i="3" s="1"/>
  <c r="N155" i="3"/>
  <c r="K155" i="3"/>
  <c r="L155" i="3" s="1"/>
  <c r="N156" i="3"/>
  <c r="K156" i="3" s="1"/>
  <c r="L156" i="3" s="1"/>
  <c r="N157" i="3"/>
  <c r="K157" i="3" s="1"/>
  <c r="L157" i="3" s="1"/>
  <c r="N158" i="3"/>
  <c r="K158" i="3"/>
  <c r="L158" i="3"/>
  <c r="N159" i="3"/>
  <c r="K159" i="3" s="1"/>
  <c r="L159" i="3" s="1"/>
  <c r="N162" i="3"/>
  <c r="K162" i="3"/>
  <c r="L162" i="3"/>
  <c r="N163" i="3"/>
  <c r="K163" i="3" s="1"/>
  <c r="L163" i="3" s="1"/>
  <c r="N164" i="3"/>
  <c r="K164" i="3" s="1"/>
  <c r="L164" i="3"/>
  <c r="N165" i="3"/>
  <c r="K165" i="3"/>
  <c r="L165" i="3"/>
  <c r="N166" i="3"/>
  <c r="K166" i="3" s="1"/>
  <c r="L166" i="3"/>
  <c r="N167" i="3"/>
  <c r="K167" i="3"/>
  <c r="L167" i="3" s="1"/>
  <c r="N168" i="3"/>
  <c r="K168" i="3"/>
  <c r="L168" i="3"/>
  <c r="N169" i="3"/>
  <c r="K169" i="3"/>
  <c r="L169" i="3" s="1"/>
  <c r="N170" i="3"/>
  <c r="K170" i="3" s="1"/>
  <c r="L170" i="3"/>
  <c r="N171" i="3"/>
  <c r="K171" i="3"/>
  <c r="L171" i="3" s="1"/>
  <c r="N172" i="3"/>
  <c r="K172" i="3"/>
  <c r="L172" i="3"/>
  <c r="N173" i="3"/>
  <c r="K173" i="3"/>
  <c r="L173" i="3"/>
  <c r="N174" i="3"/>
  <c r="K174" i="3"/>
  <c r="L174" i="3" s="1"/>
  <c r="N175" i="3"/>
  <c r="K175" i="3"/>
  <c r="L175" i="3" s="1"/>
  <c r="N176" i="3"/>
  <c r="K176" i="3"/>
  <c r="L176" i="3" s="1"/>
  <c r="N177" i="3"/>
  <c r="K177" i="3"/>
  <c r="L177" i="3" s="1"/>
  <c r="N178" i="3"/>
  <c r="K178" i="3"/>
  <c r="L178" i="3"/>
  <c r="N179" i="3"/>
  <c r="K179" i="3"/>
  <c r="L179" i="3" s="1"/>
  <c r="N180" i="3"/>
  <c r="K180" i="3"/>
  <c r="L180" i="3"/>
  <c r="N181" i="3"/>
  <c r="K181" i="3"/>
  <c r="L181" i="3"/>
  <c r="N184" i="3"/>
  <c r="K184" i="3" s="1"/>
  <c r="L184" i="3"/>
  <c r="N185" i="3"/>
  <c r="K185" i="3" s="1"/>
  <c r="L185" i="3" s="1"/>
  <c r="N186" i="3"/>
  <c r="K186" i="3" s="1"/>
  <c r="L186" i="3" s="1"/>
  <c r="L205" i="3" s="1"/>
  <c r="N187" i="3"/>
  <c r="K187" i="3"/>
  <c r="L187" i="3"/>
  <c r="N188" i="3"/>
  <c r="K188" i="3" s="1"/>
  <c r="L188" i="3" s="1"/>
  <c r="N189" i="3"/>
  <c r="K189" i="3" s="1"/>
  <c r="L189" i="3" s="1"/>
  <c r="N190" i="3"/>
  <c r="K190" i="3"/>
  <c r="L190" i="3"/>
  <c r="N191" i="3"/>
  <c r="K191" i="3"/>
  <c r="L191" i="3"/>
  <c r="N192" i="3"/>
  <c r="K192" i="3"/>
  <c r="L192" i="3"/>
  <c r="N193" i="3"/>
  <c r="K193" i="3"/>
  <c r="L193" i="3" s="1"/>
  <c r="N194" i="3"/>
  <c r="K194" i="3" s="1"/>
  <c r="L194" i="3" s="1"/>
  <c r="N195" i="3"/>
  <c r="K195" i="3"/>
  <c r="L195" i="3"/>
  <c r="N196" i="3"/>
  <c r="K196" i="3"/>
  <c r="L196" i="3"/>
  <c r="N197" i="3"/>
  <c r="K197" i="3"/>
  <c r="L197" i="3"/>
  <c r="N198" i="3"/>
  <c r="K198" i="3"/>
  <c r="L198" i="3"/>
  <c r="N199" i="3"/>
  <c r="K199" i="3"/>
  <c r="L199" i="3" s="1"/>
  <c r="N200" i="3"/>
  <c r="K200" i="3" s="1"/>
  <c r="L200" i="3" s="1"/>
  <c r="N201" i="3"/>
  <c r="K201" i="3"/>
  <c r="L201" i="3"/>
  <c r="N202" i="3"/>
  <c r="K202" i="3"/>
  <c r="L202" i="3" s="1"/>
  <c r="N203" i="3"/>
  <c r="K203" i="3"/>
  <c r="L203" i="3"/>
  <c r="N204" i="3"/>
  <c r="K204" i="3"/>
  <c r="L204" i="3"/>
  <c r="N207" i="3"/>
  <c r="K207" i="3"/>
  <c r="L207" i="3" s="1"/>
  <c r="N208" i="3"/>
  <c r="K208" i="3"/>
  <c r="L208" i="3"/>
  <c r="N209" i="3"/>
  <c r="K209" i="3"/>
  <c r="L209" i="3" s="1"/>
  <c r="N210" i="3"/>
  <c r="K210" i="3" s="1"/>
  <c r="L210" i="3" s="1"/>
  <c r="N211" i="3"/>
  <c r="K211" i="3" s="1"/>
  <c r="L211" i="3" s="1"/>
  <c r="N212" i="3"/>
  <c r="K212" i="3"/>
  <c r="L212" i="3"/>
  <c r="N213" i="3"/>
  <c r="K213" i="3"/>
  <c r="L213" i="3"/>
  <c r="N214" i="3"/>
  <c r="K214" i="3" s="1"/>
  <c r="L214" i="3"/>
  <c r="N215" i="3"/>
  <c r="K215" i="3"/>
  <c r="L215" i="3"/>
  <c r="N216" i="3"/>
  <c r="K216" i="3"/>
  <c r="L216" i="3" s="1"/>
  <c r="N217" i="3"/>
  <c r="K217" i="3" s="1"/>
  <c r="L217" i="3" s="1"/>
  <c r="N218" i="3"/>
  <c r="K218" i="3"/>
  <c r="L218" i="3"/>
  <c r="N219" i="3"/>
  <c r="K219" i="3"/>
  <c r="L219" i="3"/>
  <c r="N220" i="3"/>
  <c r="K220" i="3"/>
  <c r="L220" i="3"/>
  <c r="N221" i="3"/>
  <c r="K221" i="3"/>
  <c r="L221" i="3"/>
  <c r="N222" i="3"/>
  <c r="K222" i="3"/>
  <c r="L222" i="3"/>
  <c r="N223" i="3"/>
  <c r="K223" i="3" s="1"/>
  <c r="L223" i="3" s="1"/>
  <c r="N224" i="3"/>
  <c r="K224" i="3"/>
  <c r="L224" i="3" s="1"/>
  <c r="N225" i="3"/>
  <c r="K225" i="3"/>
  <c r="L225" i="3"/>
  <c r="N226" i="3"/>
  <c r="K226" i="3"/>
  <c r="L226" i="3" s="1"/>
  <c r="N227" i="3"/>
  <c r="K227" i="3"/>
  <c r="L227" i="3" s="1"/>
  <c r="N230" i="3"/>
  <c r="K230" i="3"/>
  <c r="L230" i="3"/>
  <c r="N231" i="3"/>
  <c r="K231" i="3"/>
  <c r="L231" i="3"/>
  <c r="N232" i="3"/>
  <c r="K232" i="3"/>
  <c r="L232" i="3" s="1"/>
  <c r="N233" i="3"/>
  <c r="K233" i="3" s="1"/>
  <c r="L233" i="3" s="1"/>
  <c r="N234" i="3"/>
  <c r="K234" i="3"/>
  <c r="L234" i="3"/>
  <c r="N235" i="3"/>
  <c r="K235" i="3"/>
  <c r="L235" i="3"/>
  <c r="N236" i="3"/>
  <c r="K236" i="3" s="1"/>
  <c r="L236" i="3" s="1"/>
  <c r="N237" i="3"/>
  <c r="K237" i="3"/>
  <c r="L237" i="3"/>
  <c r="N238" i="3"/>
  <c r="K238" i="3"/>
  <c r="L238" i="3"/>
  <c r="N239" i="3"/>
  <c r="K239" i="3"/>
  <c r="L239" i="3"/>
  <c r="N240" i="3"/>
  <c r="K240" i="3"/>
  <c r="L240" i="3"/>
  <c r="N241" i="3"/>
  <c r="K241" i="3"/>
  <c r="L241" i="3"/>
  <c r="N242" i="3"/>
  <c r="K242" i="3"/>
  <c r="L242" i="3"/>
  <c r="N243" i="3"/>
  <c r="K243" i="3"/>
  <c r="L243" i="3"/>
  <c r="N244" i="3"/>
  <c r="K244" i="3"/>
  <c r="L244" i="3"/>
  <c r="N245" i="3"/>
  <c r="K245" i="3"/>
  <c r="L245" i="3"/>
  <c r="N246" i="3"/>
  <c r="K246" i="3"/>
  <c r="L246" i="3" s="1"/>
  <c r="N247" i="3"/>
  <c r="K247" i="3"/>
  <c r="L247" i="3"/>
  <c r="N248" i="3"/>
  <c r="K248" i="3"/>
  <c r="L248" i="3" s="1"/>
  <c r="N249" i="3"/>
  <c r="K249" i="3"/>
  <c r="L249" i="3" s="1"/>
  <c r="N252" i="3"/>
  <c r="K252" i="3"/>
  <c r="L252" i="3" s="1"/>
  <c r="N253" i="3"/>
  <c r="K253" i="3"/>
  <c r="L253" i="3"/>
  <c r="N254" i="3"/>
  <c r="K254" i="3"/>
  <c r="L254" i="3"/>
  <c r="N255" i="3"/>
  <c r="K255" i="3" s="1"/>
  <c r="L255" i="3" s="1"/>
  <c r="N256" i="3"/>
  <c r="K256" i="3"/>
  <c r="L256" i="3"/>
  <c r="N257" i="3"/>
  <c r="K257" i="3"/>
  <c r="L257" i="3" s="1"/>
  <c r="N258" i="3"/>
  <c r="K258" i="3" s="1"/>
  <c r="L258" i="3" s="1"/>
  <c r="N259" i="3"/>
  <c r="K259" i="3"/>
  <c r="L259" i="3"/>
  <c r="N260" i="3"/>
  <c r="K260" i="3" s="1"/>
  <c r="L260" i="3" s="1"/>
  <c r="N261" i="3"/>
  <c r="K261" i="3"/>
  <c r="L261" i="3"/>
  <c r="N262" i="3"/>
  <c r="K262" i="3"/>
  <c r="L262" i="3"/>
  <c r="N263" i="3"/>
  <c r="K263" i="3"/>
  <c r="L263" i="3"/>
  <c r="N264" i="3"/>
  <c r="K264" i="3"/>
  <c r="L264" i="3" s="1"/>
  <c r="N265" i="3"/>
  <c r="K265" i="3"/>
  <c r="L265" i="3"/>
  <c r="N266" i="3"/>
  <c r="K266" i="3"/>
  <c r="L266" i="3"/>
  <c r="N267" i="3"/>
  <c r="K267" i="3"/>
  <c r="L267" i="3"/>
  <c r="N268" i="3"/>
  <c r="K268" i="3"/>
  <c r="L268" i="3" s="1"/>
  <c r="N269" i="3"/>
  <c r="K269" i="3"/>
  <c r="L269" i="3"/>
  <c r="N270" i="3"/>
  <c r="K270" i="3"/>
  <c r="L270" i="3"/>
  <c r="N271" i="3"/>
  <c r="K271" i="3"/>
  <c r="L271" i="3" s="1"/>
  <c r="N274" i="3"/>
  <c r="K274" i="3"/>
  <c r="L274" i="3" s="1"/>
  <c r="N275" i="3"/>
  <c r="K275" i="3"/>
  <c r="L275" i="3"/>
  <c r="N276" i="3"/>
  <c r="K276" i="3"/>
  <c r="L276" i="3"/>
  <c r="N277" i="3"/>
  <c r="K277" i="3"/>
  <c r="L277" i="3"/>
  <c r="N278" i="3"/>
  <c r="K278" i="3"/>
  <c r="L278" i="3"/>
  <c r="N279" i="3"/>
  <c r="K279" i="3"/>
  <c r="L279" i="3" s="1"/>
  <c r="N280" i="3"/>
  <c r="K280" i="3"/>
  <c r="L280" i="3"/>
  <c r="N281" i="3"/>
  <c r="K281" i="3"/>
  <c r="L281" i="3"/>
  <c r="N282" i="3"/>
  <c r="K282" i="3"/>
  <c r="L282" i="3" s="1"/>
  <c r="N283" i="3"/>
  <c r="K283" i="3"/>
  <c r="L283" i="3" s="1"/>
  <c r="N284" i="3"/>
  <c r="K284" i="3"/>
  <c r="L284" i="3"/>
  <c r="N285" i="3"/>
  <c r="K285" i="3"/>
  <c r="L285" i="3"/>
  <c r="N286" i="3"/>
  <c r="K286" i="3"/>
  <c r="L286" i="3" s="1"/>
  <c r="N287" i="3"/>
  <c r="K287" i="3"/>
  <c r="L287" i="3" s="1"/>
  <c r="N288" i="3"/>
  <c r="K288" i="3" s="1"/>
  <c r="L288" i="3" s="1"/>
  <c r="N289" i="3"/>
  <c r="K289" i="3"/>
  <c r="L289" i="3"/>
  <c r="N290" i="3"/>
  <c r="K290" i="3" s="1"/>
  <c r="L290" i="3" s="1"/>
  <c r="N291" i="3"/>
  <c r="K291" i="3"/>
  <c r="L291" i="3"/>
  <c r="N292" i="3"/>
  <c r="K292" i="3"/>
  <c r="L292" i="3"/>
  <c r="N293" i="3"/>
  <c r="K293" i="3" s="1"/>
  <c r="L293" i="3"/>
  <c r="N296" i="3"/>
  <c r="K296" i="3"/>
  <c r="L296" i="3" s="1"/>
  <c r="N297" i="3"/>
  <c r="K297" i="3" s="1"/>
  <c r="L297" i="3" s="1"/>
  <c r="N298" i="3"/>
  <c r="K298" i="3"/>
  <c r="L298" i="3"/>
  <c r="N299" i="3"/>
  <c r="K299" i="3" s="1"/>
  <c r="L299" i="3" s="1"/>
  <c r="N300" i="3"/>
  <c r="K300" i="3"/>
  <c r="L300" i="3"/>
  <c r="N301" i="3"/>
  <c r="K301" i="3"/>
  <c r="L301" i="3"/>
  <c r="N302" i="3"/>
  <c r="K302" i="3"/>
  <c r="L302" i="3"/>
  <c r="N303" i="3"/>
  <c r="K303" i="3"/>
  <c r="L303" i="3"/>
  <c r="N304" i="3"/>
  <c r="K304" i="3"/>
  <c r="L304" i="3" s="1"/>
  <c r="N305" i="3"/>
  <c r="K305" i="3" s="1"/>
  <c r="L305" i="3" s="1"/>
  <c r="N306" i="3"/>
  <c r="K306" i="3"/>
  <c r="L306" i="3"/>
  <c r="N307" i="3"/>
  <c r="K307" i="3"/>
  <c r="L307" i="3"/>
  <c r="N308" i="3"/>
  <c r="K308" i="3"/>
  <c r="L308" i="3" s="1"/>
  <c r="N309" i="3"/>
  <c r="K309" i="3"/>
  <c r="L309" i="3"/>
  <c r="N310" i="3"/>
  <c r="K310" i="3"/>
  <c r="L310" i="3"/>
  <c r="N311" i="3"/>
  <c r="K311" i="3" s="1"/>
  <c r="L311" i="3" s="1"/>
  <c r="N312" i="3"/>
  <c r="K312" i="3" s="1"/>
  <c r="L312" i="3" s="1"/>
  <c r="N313" i="3"/>
  <c r="K313" i="3"/>
  <c r="L313" i="3"/>
  <c r="N314" i="3"/>
  <c r="K314" i="3"/>
  <c r="L314" i="3"/>
  <c r="N315" i="3"/>
  <c r="K315" i="3" s="1"/>
  <c r="L315" i="3"/>
  <c r="N318" i="3"/>
  <c r="K318" i="3"/>
  <c r="L318" i="3"/>
  <c r="N319" i="3"/>
  <c r="K319" i="3"/>
  <c r="L319" i="3"/>
  <c r="L338" i="3" s="1"/>
  <c r="N320" i="3"/>
  <c r="K320" i="3"/>
  <c r="L320" i="3"/>
  <c r="N321" i="3"/>
  <c r="K321" i="3" s="1"/>
  <c r="L321" i="3" s="1"/>
  <c r="N322" i="3"/>
  <c r="K322" i="3"/>
  <c r="L322" i="3"/>
  <c r="N323" i="3"/>
  <c r="K323" i="3"/>
  <c r="L323" i="3"/>
  <c r="N324" i="3"/>
  <c r="K324" i="3"/>
  <c r="L324" i="3" s="1"/>
  <c r="N325" i="3"/>
  <c r="K325" i="3"/>
  <c r="L325" i="3"/>
  <c r="N326" i="3"/>
  <c r="K326" i="3"/>
  <c r="L326" i="3"/>
  <c r="N327" i="3"/>
  <c r="K327" i="3"/>
  <c r="L327" i="3" s="1"/>
  <c r="N328" i="3"/>
  <c r="K328" i="3" s="1"/>
  <c r="L328" i="3" s="1"/>
  <c r="N329" i="3"/>
  <c r="K329" i="3"/>
  <c r="L329" i="3"/>
  <c r="N330" i="3"/>
  <c r="K330" i="3"/>
  <c r="L330" i="3" s="1"/>
  <c r="N331" i="3"/>
  <c r="K331" i="3"/>
  <c r="L331" i="3"/>
  <c r="N332" i="3"/>
  <c r="K332" i="3"/>
  <c r="L332" i="3" s="1"/>
  <c r="N333" i="3"/>
  <c r="K333" i="3"/>
  <c r="L333" i="3"/>
  <c r="N334" i="3"/>
  <c r="K334" i="3" s="1"/>
  <c r="L334" i="3" s="1"/>
  <c r="N335" i="3"/>
  <c r="K335" i="3"/>
  <c r="L335" i="3"/>
  <c r="N336" i="3"/>
  <c r="K336" i="3"/>
  <c r="L336" i="3"/>
  <c r="N337" i="3"/>
  <c r="K337" i="3" s="1"/>
  <c r="L337" i="3"/>
  <c r="N340" i="3"/>
  <c r="K340" i="3"/>
  <c r="L340" i="3" s="1"/>
  <c r="N341" i="3"/>
  <c r="K341" i="3"/>
  <c r="L341" i="3"/>
  <c r="N342" i="3"/>
  <c r="K342" i="3" s="1"/>
  <c r="L342" i="3" s="1"/>
  <c r="N343" i="3"/>
  <c r="K343" i="3" s="1"/>
  <c r="L343" i="3" s="1"/>
  <c r="N344" i="3"/>
  <c r="K344" i="3"/>
  <c r="L344" i="3"/>
  <c r="N345" i="3"/>
  <c r="K345" i="3"/>
  <c r="L345" i="3"/>
  <c r="N346" i="3"/>
  <c r="K346" i="3"/>
  <c r="L346" i="3" s="1"/>
  <c r="N347" i="3"/>
  <c r="K347" i="3" s="1"/>
  <c r="L347" i="3" s="1"/>
  <c r="N348" i="3"/>
  <c r="K348" i="3"/>
  <c r="L348" i="3"/>
  <c r="N349" i="3"/>
  <c r="K349" i="3"/>
  <c r="L349" i="3" s="1"/>
  <c r="N350" i="3"/>
  <c r="K350" i="3" s="1"/>
  <c r="L350" i="3" s="1"/>
  <c r="N351" i="3"/>
  <c r="K351" i="3"/>
  <c r="L351" i="3"/>
  <c r="N352" i="3"/>
  <c r="K352" i="3"/>
  <c r="L352" i="3" s="1"/>
  <c r="N353" i="3"/>
  <c r="K353" i="3"/>
  <c r="L353" i="3"/>
  <c r="N354" i="3"/>
  <c r="K354" i="3"/>
  <c r="L354" i="3" s="1"/>
  <c r="N355" i="3"/>
  <c r="K355" i="3" s="1"/>
  <c r="L355" i="3" s="1"/>
  <c r="N356" i="3"/>
  <c r="K356" i="3" s="1"/>
  <c r="L356" i="3" s="1"/>
  <c r="N357" i="3"/>
  <c r="K357" i="3"/>
  <c r="L357" i="3"/>
  <c r="N358" i="3"/>
  <c r="K358" i="3" s="1"/>
  <c r="L358" i="3" s="1"/>
  <c r="N359" i="3"/>
  <c r="K359" i="3" s="1"/>
  <c r="L359" i="3"/>
  <c r="N362" i="3"/>
  <c r="K362" i="3"/>
  <c r="L362" i="3"/>
  <c r="N363" i="3"/>
  <c r="K363" i="3"/>
  <c r="L363" i="3"/>
  <c r="N364" i="3"/>
  <c r="K364" i="3" s="1"/>
  <c r="L364" i="3" s="1"/>
  <c r="N365" i="3"/>
  <c r="K365" i="3" s="1"/>
  <c r="L365" i="3" s="1"/>
  <c r="N366" i="3"/>
  <c r="K366" i="3"/>
  <c r="L366" i="3"/>
  <c r="N367" i="3"/>
  <c r="K367" i="3"/>
  <c r="L367" i="3"/>
  <c r="N368" i="3"/>
  <c r="K368" i="3"/>
  <c r="L368" i="3"/>
  <c r="N369" i="3"/>
  <c r="K369" i="3"/>
  <c r="L369" i="3"/>
  <c r="N370" i="3"/>
  <c r="K370" i="3"/>
  <c r="L370" i="3"/>
  <c r="N371" i="3"/>
  <c r="K371" i="3"/>
  <c r="L371" i="3" s="1"/>
  <c r="N372" i="3"/>
  <c r="K372" i="3" s="1"/>
  <c r="L372" i="3" s="1"/>
  <c r="N373" i="3"/>
  <c r="K373" i="3"/>
  <c r="L373" i="3"/>
  <c r="N374" i="3"/>
  <c r="K374" i="3"/>
  <c r="L374" i="3" s="1"/>
  <c r="N375" i="3"/>
  <c r="K375" i="3"/>
  <c r="L375" i="3"/>
  <c r="N376" i="3"/>
  <c r="K376" i="3"/>
  <c r="L376" i="3"/>
  <c r="N377" i="3"/>
  <c r="K377" i="3"/>
  <c r="L377" i="3"/>
  <c r="N378" i="3"/>
  <c r="K378" i="3" s="1"/>
  <c r="L378" i="3" s="1"/>
  <c r="N379" i="3"/>
  <c r="K379" i="3"/>
  <c r="L379" i="3"/>
  <c r="N380" i="3"/>
  <c r="K380" i="3" s="1"/>
  <c r="L380" i="3" s="1"/>
  <c r="N381" i="3"/>
  <c r="K381" i="3" s="1"/>
  <c r="L381" i="3"/>
  <c r="N382" i="3"/>
  <c r="N361" i="3"/>
  <c r="N360" i="3"/>
  <c r="N339" i="3"/>
  <c r="N338" i="3"/>
  <c r="N317" i="3"/>
  <c r="N316" i="3"/>
  <c r="N295" i="3"/>
  <c r="N294" i="3"/>
  <c r="N273" i="3"/>
  <c r="N28" i="3"/>
  <c r="N29" i="3"/>
  <c r="N50" i="3"/>
  <c r="N51" i="3"/>
  <c r="N72" i="3"/>
  <c r="N73" i="3"/>
  <c r="N94" i="3"/>
  <c r="N95" i="3"/>
  <c r="N116" i="3"/>
  <c r="N117" i="3"/>
  <c r="N118" i="3"/>
  <c r="N139" i="3"/>
  <c r="N140" i="3"/>
  <c r="N160" i="3"/>
  <c r="N161" i="3"/>
  <c r="N182" i="3"/>
  <c r="N183" i="3"/>
  <c r="N205" i="3"/>
  <c r="N206" i="3"/>
  <c r="N228" i="3"/>
  <c r="N229" i="3"/>
  <c r="N250" i="3"/>
  <c r="N251" i="3"/>
  <c r="N272" i="3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12" i="10"/>
  <c r="F13" i="10"/>
  <c r="F14" i="10"/>
  <c r="F15" i="10"/>
  <c r="F11" i="10"/>
  <c r="J12" i="10"/>
  <c r="H12" i="10"/>
  <c r="K12" i="10"/>
  <c r="L12" i="10"/>
  <c r="L29" i="10" s="1"/>
  <c r="J13" i="10"/>
  <c r="K13" i="10"/>
  <c r="H13" i="10"/>
  <c r="L13" i="10"/>
  <c r="J14" i="10"/>
  <c r="K14" i="10"/>
  <c r="L14" i="10"/>
  <c r="J15" i="10"/>
  <c r="J29" i="10" s="1"/>
  <c r="K15" i="10"/>
  <c r="L15" i="10"/>
  <c r="J16" i="10"/>
  <c r="K16" i="10"/>
  <c r="L16" i="10"/>
  <c r="J17" i="10"/>
  <c r="K17" i="10"/>
  <c r="L17" i="10"/>
  <c r="J18" i="10"/>
  <c r="K18" i="10"/>
  <c r="L18" i="10"/>
  <c r="J19" i="10"/>
  <c r="K19" i="10"/>
  <c r="L19" i="10"/>
  <c r="J20" i="10"/>
  <c r="K20" i="10"/>
  <c r="L20" i="10"/>
  <c r="J21" i="10"/>
  <c r="K21" i="10"/>
  <c r="L21" i="10"/>
  <c r="J22" i="10"/>
  <c r="K22" i="10"/>
  <c r="L22" i="10"/>
  <c r="J23" i="10"/>
  <c r="K23" i="10"/>
  <c r="L23" i="10"/>
  <c r="J24" i="10"/>
  <c r="K24" i="10"/>
  <c r="L24" i="10"/>
  <c r="J25" i="10"/>
  <c r="K25" i="10"/>
  <c r="L25" i="10"/>
  <c r="J26" i="10"/>
  <c r="K26" i="10"/>
  <c r="L26" i="10"/>
  <c r="J27" i="10"/>
  <c r="K27" i="10"/>
  <c r="L27" i="10"/>
  <c r="J28" i="10"/>
  <c r="K28" i="10"/>
  <c r="L28" i="10"/>
  <c r="H14" i="10"/>
  <c r="H29" i="10" s="1"/>
  <c r="H15" i="10"/>
  <c r="H16" i="10"/>
  <c r="H17" i="10"/>
  <c r="H18" i="10"/>
  <c r="H19" i="10"/>
  <c r="H11" i="10"/>
  <c r="J11" i="10"/>
  <c r="L11" i="10"/>
  <c r="K11" i="10"/>
  <c r="K29" i="10" s="1"/>
  <c r="H20" i="10"/>
  <c r="H21" i="10"/>
  <c r="H22" i="10"/>
  <c r="H23" i="10"/>
  <c r="H24" i="10"/>
  <c r="H25" i="10"/>
  <c r="H26" i="10"/>
  <c r="H27" i="10"/>
  <c r="H28" i="10"/>
  <c r="L316" i="3" l="1"/>
  <c r="L94" i="3"/>
  <c r="L28" i="3"/>
  <c r="L382" i="3"/>
  <c r="L360" i="3"/>
  <c r="L294" i="3"/>
  <c r="L385" i="3" s="1"/>
  <c r="K224" i="1"/>
  <c r="L182" i="3"/>
  <c r="L139" i="3"/>
  <c r="L116" i="3"/>
  <c r="L272" i="3"/>
  <c r="L250" i="3"/>
  <c r="L160" i="3"/>
  <c r="L228" i="3"/>
  <c r="L141" i="3"/>
  <c r="K231" i="6"/>
  <c r="L50" i="3"/>
  <c r="K231" i="7"/>
</calcChain>
</file>

<file path=xl/comments1.xml><?xml version="1.0" encoding="utf-8"?>
<comments xmlns="http://schemas.openxmlformats.org/spreadsheetml/2006/main">
  <authors>
    <author>Wallem</author>
  </authors>
  <commentList>
    <comment ref="E7" authorId="0" shapeId="0">
      <text>
        <r>
          <rPr>
            <sz val="8"/>
            <color indexed="81"/>
            <rFont val="Tahoma"/>
            <family val="2"/>
            <charset val="204"/>
          </rPr>
          <t xml:space="preserve">Please input the unit price
</t>
        </r>
      </text>
    </comment>
    <comment ref="I10" authorId="0" shapeId="0">
      <text>
        <r>
          <rPr>
            <sz val="8"/>
            <color indexed="81"/>
            <rFont val="Tahoma"/>
            <family val="2"/>
            <charset val="204"/>
          </rPr>
          <t xml:space="preserve">Please input:
1=owner
2=charterer
3=other
</t>
        </r>
      </text>
    </comment>
  </commentList>
</comments>
</file>

<file path=xl/sharedStrings.xml><?xml version="1.0" encoding="utf-8"?>
<sst xmlns="http://schemas.openxmlformats.org/spreadsheetml/2006/main" count="877" uniqueCount="78">
  <si>
    <t>Account Name:</t>
  </si>
  <si>
    <t>Account Type:</t>
  </si>
  <si>
    <t>Date</t>
  </si>
  <si>
    <t>Time (GMT)</t>
  </si>
  <si>
    <t xml:space="preserve"> </t>
  </si>
  <si>
    <t>Business</t>
  </si>
  <si>
    <t>Number</t>
  </si>
  <si>
    <t>Fleet77 Radio Accounts</t>
  </si>
  <si>
    <t>Duration (min/bytes)</t>
  </si>
  <si>
    <t>Duration (sec)</t>
  </si>
  <si>
    <t>Type</t>
  </si>
  <si>
    <t>Peak/Off-peak</t>
  </si>
  <si>
    <t>Unit Cost</t>
  </si>
  <si>
    <t>Ship Charge</t>
  </si>
  <si>
    <t>Call Cost</t>
  </si>
  <si>
    <t>Total Cost</t>
  </si>
  <si>
    <t>1</t>
  </si>
  <si>
    <t>Private</t>
  </si>
  <si>
    <t>Total</t>
  </si>
  <si>
    <t>3/E</t>
  </si>
  <si>
    <t>C/E</t>
  </si>
  <si>
    <t>C/O</t>
  </si>
  <si>
    <t>2/E</t>
  </si>
  <si>
    <t>MASTER</t>
  </si>
  <si>
    <t>E/E</t>
  </si>
  <si>
    <t>3/O</t>
  </si>
  <si>
    <t>2/O</t>
  </si>
  <si>
    <t>Type (Tel/Email)</t>
  </si>
  <si>
    <t>BSN</t>
  </si>
  <si>
    <t>AB</t>
  </si>
  <si>
    <t>A/B</t>
  </si>
  <si>
    <t>TTL MIN</t>
  </si>
  <si>
    <t>M/M</t>
  </si>
  <si>
    <t>CH/CK</t>
  </si>
  <si>
    <t>STWARD</t>
  </si>
  <si>
    <t>Total Amount</t>
  </si>
  <si>
    <t>TOTAL</t>
  </si>
  <si>
    <t>Vessel Name:</t>
  </si>
  <si>
    <t>DATE</t>
  </si>
  <si>
    <t>TIME</t>
  </si>
  <si>
    <t>CHARTERER</t>
  </si>
  <si>
    <t>TELEX</t>
  </si>
  <si>
    <t>SAT -C ACCOUNTING</t>
  </si>
  <si>
    <t xml:space="preserve">CODE </t>
  </si>
  <si>
    <t>E-MAIL</t>
  </si>
  <si>
    <t>CODE</t>
  </si>
  <si>
    <t>SIZE</t>
  </si>
  <si>
    <t>AMOUNT</t>
  </si>
  <si>
    <t>TYPE</t>
  </si>
  <si>
    <t>VESSEL:</t>
  </si>
  <si>
    <t>MONTH:</t>
  </si>
  <si>
    <t>Sat-C No.</t>
  </si>
  <si>
    <t>US</t>
  </si>
  <si>
    <t>UNIT PRICE / 256bits</t>
  </si>
  <si>
    <t>OWNER</t>
  </si>
  <si>
    <t>OTHER</t>
  </si>
  <si>
    <t>TOTAL:</t>
  </si>
  <si>
    <t>A/C</t>
  </si>
  <si>
    <t>(1)</t>
  </si>
  <si>
    <t>(2)</t>
  </si>
  <si>
    <t>(3)</t>
  </si>
  <si>
    <t>RAVIKUMAR,KARIVETI</t>
  </si>
  <si>
    <t>GURDIP RAM UJAGAR RAM</t>
  </si>
  <si>
    <t>MAITY, DEBABRATA</t>
  </si>
  <si>
    <t>Charterer - NA</t>
  </si>
  <si>
    <t>Amos</t>
  </si>
  <si>
    <t>E-Mail</t>
  </si>
  <si>
    <t>TEL</t>
  </si>
  <si>
    <t>15-Oct</t>
  </si>
  <si>
    <t>0326</t>
  </si>
  <si>
    <t>1752</t>
  </si>
  <si>
    <t>0038050802164</t>
  </si>
  <si>
    <t>Radio Accounts</t>
  </si>
  <si>
    <t>Cr-19</t>
  </si>
  <si>
    <t>Owner - Atlantic Marine Devision Corp., Manager - MKTM LTD</t>
  </si>
  <si>
    <t>m/t "PRIDE"</t>
  </si>
  <si>
    <t>Leader Ship Management LLC</t>
  </si>
  <si>
    <t>09.09.2020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</si>
</sst>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89" formatCode="[$$-409]#,##0.00"/>
    <numFmt numFmtId="194" formatCode="[$-409]mmm\-yy;@"/>
    <numFmt numFmtId="220" formatCode="&quot;$&quot;#,##0.000_);[Red]\(&quot;$&quot;#,##0.000\)"/>
    <numFmt numFmtId="223" formatCode="0.0000"/>
  </numFmts>
  <fonts count="23" x14ac:knownFonts="1">
    <font>
      <sz val="12"/>
      <name val="Arial"/>
    </font>
    <font>
      <b/>
      <sz val="10"/>
      <name val="Arial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12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sz val="12"/>
      <color indexed="48"/>
      <name val="Arial"/>
      <family val="2"/>
      <charset val="204"/>
    </font>
    <font>
      <sz val="12"/>
      <color indexed="14"/>
      <name val="Arial"/>
      <family val="2"/>
      <charset val="204"/>
    </font>
    <font>
      <sz val="12"/>
      <name val="Terminal"/>
      <family val="3"/>
      <charset val="255"/>
    </font>
    <font>
      <i/>
      <sz val="12"/>
      <name val="Script MT Bold"/>
      <family val="4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8"/>
      <color indexed="81"/>
      <name val="Tahoma"/>
      <family val="2"/>
      <charset val="204"/>
    </font>
    <font>
      <b/>
      <i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9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8"/>
      </left>
      <right style="medium">
        <color indexed="64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35">
    <xf numFmtId="0" fontId="0" fillId="0" borderId="0" xfId="0"/>
    <xf numFmtId="0" fontId="2" fillId="0" borderId="0" xfId="0" applyNumberFormat="1" applyFont="1" applyAlignment="1"/>
    <xf numFmtId="0" fontId="0" fillId="0" borderId="0" xfId="0" applyNumberFormat="1"/>
    <xf numFmtId="0" fontId="3" fillId="0" borderId="0" xfId="0" applyNumberFormat="1" applyFont="1" applyAlignment="1">
      <alignment horizontal="center"/>
    </xf>
    <xf numFmtId="189" fontId="0" fillId="0" borderId="0" xfId="0" applyNumberFormat="1"/>
    <xf numFmtId="189" fontId="0" fillId="0" borderId="1" xfId="0" applyNumberFormat="1" applyBorder="1"/>
    <xf numFmtId="15" fontId="0" fillId="0" borderId="0" xfId="0" applyNumberFormat="1"/>
    <xf numFmtId="20" fontId="0" fillId="0" borderId="0" xfId="0" applyNumberFormat="1"/>
    <xf numFmtId="3" fontId="0" fillId="0" borderId="0" xfId="0" applyNumberFormat="1"/>
    <xf numFmtId="0" fontId="4" fillId="0" borderId="0" xfId="0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0" fontId="3" fillId="0" borderId="0" xfId="0" applyNumberFormat="1" applyFont="1" applyBorder="1" applyAlignment="1">
      <alignment horizontal="center" wrapText="1"/>
    </xf>
    <xf numFmtId="189" fontId="0" fillId="0" borderId="0" xfId="0" applyNumberFormat="1" applyBorder="1"/>
    <xf numFmtId="0" fontId="3" fillId="0" borderId="2" xfId="0" applyNumberFormat="1" applyFont="1" applyBorder="1" applyAlignment="1">
      <alignment horizontal="center" wrapText="1"/>
    </xf>
    <xf numFmtId="0" fontId="3" fillId="0" borderId="3" xfId="0" applyNumberFormat="1" applyFont="1" applyBorder="1" applyAlignment="1">
      <alignment horizontal="center" wrapText="1"/>
    </xf>
    <xf numFmtId="189" fontId="0" fillId="0" borderId="4" xfId="0" applyNumberFormat="1" applyBorder="1" applyProtection="1"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49" fontId="0" fillId="0" borderId="4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0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3" fillId="0" borderId="7" xfId="0" applyNumberFormat="1" applyFont="1" applyBorder="1" applyAlignment="1"/>
    <xf numFmtId="0" fontId="0" fillId="0" borderId="8" xfId="0" applyNumberFormat="1" applyBorder="1"/>
    <xf numFmtId="0" fontId="2" fillId="0" borderId="0" xfId="0" applyNumberFormat="1" applyFont="1" applyBorder="1" applyAlignment="1"/>
    <xf numFmtId="0" fontId="2" fillId="0" borderId="9" xfId="0" applyNumberFormat="1" applyFont="1" applyBorder="1" applyAlignment="1"/>
    <xf numFmtId="0" fontId="3" fillId="0" borderId="0" xfId="0" applyNumberFormat="1" applyFont="1" applyBorder="1" applyAlignment="1">
      <alignment horizontal="center"/>
    </xf>
    <xf numFmtId="0" fontId="0" fillId="0" borderId="10" xfId="0" applyNumberFormat="1" applyBorder="1"/>
    <xf numFmtId="0" fontId="2" fillId="0" borderId="11" xfId="0" applyNumberFormat="1" applyFont="1" applyBorder="1" applyAlignment="1"/>
    <xf numFmtId="0" fontId="0" fillId="0" borderId="11" xfId="0" applyNumberFormat="1" applyBorder="1"/>
    <xf numFmtId="0" fontId="2" fillId="0" borderId="12" xfId="0" applyNumberFormat="1" applyFont="1" applyBorder="1" applyAlignment="1"/>
    <xf numFmtId="49" fontId="0" fillId="0" borderId="13" xfId="0" applyNumberFormat="1" applyBorder="1" applyAlignment="1" applyProtection="1">
      <alignment horizontal="center"/>
      <protection locked="0"/>
    </xf>
    <xf numFmtId="15" fontId="0" fillId="0" borderId="14" xfId="0" applyNumberFormat="1" applyBorder="1" applyAlignment="1" applyProtection="1">
      <alignment horizontal="center"/>
      <protection locked="0"/>
    </xf>
    <xf numFmtId="3" fontId="0" fillId="0" borderId="4" xfId="0" applyNumberFormat="1" applyBorder="1" applyAlignment="1" applyProtection="1">
      <alignment horizontal="center"/>
      <protection locked="0"/>
    </xf>
    <xf numFmtId="189" fontId="0" fillId="0" borderId="4" xfId="0" applyNumberFormat="1" applyBorder="1" applyAlignment="1" applyProtection="1">
      <alignment horizontal="center"/>
      <protection locked="0"/>
    </xf>
    <xf numFmtId="189" fontId="0" fillId="0" borderId="4" xfId="0" applyNumberFormat="1" applyBorder="1" applyAlignment="1">
      <alignment horizontal="center"/>
    </xf>
    <xf numFmtId="189" fontId="0" fillId="0" borderId="15" xfId="0" applyNumberFormat="1" applyBorder="1" applyAlignment="1">
      <alignment horizontal="center"/>
    </xf>
    <xf numFmtId="189" fontId="0" fillId="0" borderId="5" xfId="0" applyNumberFormat="1" applyBorder="1" applyAlignment="1">
      <alignment horizontal="center"/>
    </xf>
    <xf numFmtId="189" fontId="0" fillId="0" borderId="16" xfId="0" applyNumberFormat="1" applyBorder="1" applyAlignment="1">
      <alignment horizontal="center"/>
    </xf>
    <xf numFmtId="3" fontId="0" fillId="0" borderId="13" xfId="0" applyNumberFormat="1" applyBorder="1" applyAlignment="1" applyProtection="1">
      <alignment horizontal="center"/>
      <protection locked="0"/>
    </xf>
    <xf numFmtId="189" fontId="0" fillId="0" borderId="13" xfId="0" applyNumberFormat="1" applyBorder="1" applyAlignment="1" applyProtection="1">
      <alignment horizontal="center"/>
      <protection locked="0"/>
    </xf>
    <xf numFmtId="189" fontId="0" fillId="0" borderId="17" xfId="0" applyNumberFormat="1" applyBorder="1" applyAlignment="1">
      <alignment horizontal="center"/>
    </xf>
    <xf numFmtId="15" fontId="0" fillId="0" borderId="14" xfId="0" applyNumberFormat="1" applyBorder="1" applyAlignment="1">
      <alignment horizontal="center"/>
    </xf>
    <xf numFmtId="20" fontId="0" fillId="0" borderId="4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15" fontId="0" fillId="0" borderId="18" xfId="0" applyNumberFormat="1" applyBorder="1" applyAlignment="1">
      <alignment horizontal="center"/>
    </xf>
    <xf numFmtId="20" fontId="0" fillId="0" borderId="5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4" fillId="0" borderId="5" xfId="0" applyNumberFormat="1" applyFont="1" applyBorder="1" applyAlignment="1">
      <alignment horizontal="center"/>
    </xf>
    <xf numFmtId="189" fontId="0" fillId="0" borderId="2" xfId="0" applyNumberFormat="1" applyBorder="1" applyAlignment="1">
      <alignment horizontal="center"/>
    </xf>
    <xf numFmtId="189" fontId="0" fillId="0" borderId="3" xfId="0" applyNumberFormat="1" applyBorder="1" applyAlignment="1">
      <alignment horizontal="center"/>
    </xf>
    <xf numFmtId="0" fontId="5" fillId="0" borderId="8" xfId="0" applyNumberFormat="1" applyFont="1" applyBorder="1"/>
    <xf numFmtId="0" fontId="5" fillId="0" borderId="0" xfId="0" applyNumberFormat="1" applyFont="1" applyBorder="1" applyAlignment="1"/>
    <xf numFmtId="0" fontId="5" fillId="0" borderId="19" xfId="0" applyNumberFormat="1" applyFont="1" applyBorder="1"/>
    <xf numFmtId="0" fontId="1" fillId="0" borderId="20" xfId="0" applyNumberFormat="1" applyFont="1" applyBorder="1" applyAlignment="1">
      <alignment horizontal="center" wrapText="1"/>
    </xf>
    <xf numFmtId="0" fontId="1" fillId="0" borderId="21" xfId="0" applyNumberFormat="1" applyFont="1" applyBorder="1" applyAlignment="1">
      <alignment horizontal="center" wrapText="1"/>
    </xf>
    <xf numFmtId="0" fontId="6" fillId="0" borderId="14" xfId="0" applyNumberFormat="1" applyFont="1" applyBorder="1" applyAlignment="1">
      <alignment horizontal="center"/>
    </xf>
    <xf numFmtId="0" fontId="7" fillId="0" borderId="4" xfId="0" applyNumberFormat="1" applyFont="1" applyBorder="1" applyAlignment="1" applyProtection="1">
      <alignment horizontal="center" wrapText="1"/>
      <protection locked="0"/>
    </xf>
    <xf numFmtId="0" fontId="7" fillId="0" borderId="4" xfId="0" applyNumberFormat="1" applyFont="1" applyBorder="1" applyAlignment="1">
      <alignment horizontal="center" wrapText="1"/>
    </xf>
    <xf numFmtId="0" fontId="6" fillId="0" borderId="4" xfId="0" applyNumberFormat="1" applyFont="1" applyBorder="1" applyAlignment="1" applyProtection="1">
      <alignment horizontal="center"/>
      <protection locked="0"/>
    </xf>
    <xf numFmtId="0" fontId="6" fillId="0" borderId="18" xfId="0" applyNumberFormat="1" applyFont="1" applyBorder="1" applyAlignment="1">
      <alignment horizontal="center"/>
    </xf>
    <xf numFmtId="0" fontId="6" fillId="0" borderId="5" xfId="0" applyNumberFormat="1" applyFont="1" applyBorder="1" applyAlignment="1" applyProtection="1">
      <alignment horizontal="center"/>
      <protection locked="0"/>
    </xf>
    <xf numFmtId="0" fontId="1" fillId="0" borderId="22" xfId="0" applyNumberFormat="1" applyFont="1" applyBorder="1" applyAlignment="1">
      <alignment horizontal="center" wrapText="1"/>
    </xf>
    <xf numFmtId="0" fontId="7" fillId="0" borderId="15" xfId="0" applyNumberFormat="1" applyFont="1" applyBorder="1" applyAlignment="1">
      <alignment horizontal="center" wrapText="1"/>
    </xf>
    <xf numFmtId="0" fontId="6" fillId="0" borderId="6" xfId="0" applyNumberFormat="1" applyFont="1" applyBorder="1" applyAlignment="1">
      <alignment horizontal="center"/>
    </xf>
    <xf numFmtId="0" fontId="6" fillId="0" borderId="2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Border="1" applyAlignment="1" applyProtection="1">
      <alignment horizontal="center"/>
      <protection locked="0"/>
    </xf>
    <xf numFmtId="3" fontId="6" fillId="0" borderId="4" xfId="0" applyNumberFormat="1" applyFont="1" applyBorder="1" applyAlignment="1" applyProtection="1">
      <alignment horizontal="center"/>
      <protection locked="0"/>
    </xf>
    <xf numFmtId="189" fontId="6" fillId="0" borderId="4" xfId="0" applyNumberFormat="1" applyFont="1" applyBorder="1" applyAlignment="1" applyProtection="1">
      <alignment horizontal="center"/>
      <protection locked="0"/>
    </xf>
    <xf numFmtId="189" fontId="6" fillId="0" borderId="4" xfId="0" applyNumberFormat="1" applyFont="1" applyBorder="1" applyAlignment="1">
      <alignment horizontal="center"/>
    </xf>
    <xf numFmtId="189" fontId="6" fillId="0" borderId="15" xfId="0" applyNumberFormat="1" applyFont="1" applyBorder="1" applyAlignment="1">
      <alignment horizontal="center"/>
    </xf>
    <xf numFmtId="0" fontId="7" fillId="0" borderId="4" xfId="0" applyNumberFormat="1" applyFont="1" applyBorder="1" applyAlignment="1">
      <alignment horizontal="center"/>
    </xf>
    <xf numFmtId="49" fontId="6" fillId="0" borderId="5" xfId="0" applyNumberFormat="1" applyFont="1" applyBorder="1" applyAlignment="1" applyProtection="1">
      <alignment horizontal="center"/>
      <protection locked="0"/>
    </xf>
    <xf numFmtId="15" fontId="0" fillId="0" borderId="8" xfId="0" applyNumberFormat="1" applyBorder="1" applyAlignment="1" applyProtection="1">
      <alignment horizontal="center"/>
      <protection locked="0"/>
    </xf>
    <xf numFmtId="49" fontId="0" fillId="0" borderId="23" xfId="0" applyNumberFormat="1" applyBorder="1" applyAlignment="1" applyProtection="1">
      <alignment horizontal="center"/>
      <protection locked="0"/>
    </xf>
    <xf numFmtId="15" fontId="0" fillId="0" borderId="24" xfId="0" applyNumberFormat="1" applyBorder="1" applyAlignment="1" applyProtection="1">
      <alignment horizontal="center"/>
      <protection locked="0"/>
    </xf>
    <xf numFmtId="49" fontId="0" fillId="0" borderId="25" xfId="0" applyNumberFormat="1" applyBorder="1" applyAlignment="1" applyProtection="1">
      <alignment horizontal="center"/>
      <protection locked="0"/>
    </xf>
    <xf numFmtId="3" fontId="0" fillId="0" borderId="25" xfId="0" applyNumberFormat="1" applyBorder="1" applyAlignment="1" applyProtection="1">
      <alignment horizontal="center"/>
      <protection locked="0"/>
    </xf>
    <xf numFmtId="189" fontId="0" fillId="0" borderId="25" xfId="0" applyNumberFormat="1" applyBorder="1" applyAlignment="1" applyProtection="1">
      <alignment horizontal="center"/>
      <protection locked="0"/>
    </xf>
    <xf numFmtId="49" fontId="6" fillId="0" borderId="23" xfId="0" applyNumberFormat="1" applyFont="1" applyBorder="1" applyAlignment="1" applyProtection="1">
      <alignment horizontal="center"/>
      <protection locked="0"/>
    </xf>
    <xf numFmtId="49" fontId="0" fillId="0" borderId="26" xfId="0" applyNumberFormat="1" applyBorder="1" applyAlignment="1" applyProtection="1">
      <alignment horizontal="center"/>
      <protection locked="0"/>
    </xf>
    <xf numFmtId="0" fontId="6" fillId="0" borderId="13" xfId="0" applyNumberFormat="1" applyFont="1" applyBorder="1" applyAlignment="1" applyProtection="1">
      <alignment horizontal="center"/>
      <protection locked="0"/>
    </xf>
    <xf numFmtId="49" fontId="0" fillId="0" borderId="27" xfId="0" applyNumberFormat="1" applyBorder="1" applyAlignment="1" applyProtection="1">
      <alignment horizontal="center"/>
      <protection locked="0"/>
    </xf>
    <xf numFmtId="0" fontId="6" fillId="0" borderId="8" xfId="0" applyNumberFormat="1" applyFont="1" applyBorder="1" applyAlignment="1">
      <alignment horizontal="center"/>
    </xf>
    <xf numFmtId="49" fontId="6" fillId="0" borderId="13" xfId="0" applyNumberFormat="1" applyFont="1" applyBorder="1" applyAlignment="1" applyProtection="1">
      <alignment horizontal="center"/>
      <protection locked="0"/>
    </xf>
    <xf numFmtId="189" fontId="6" fillId="0" borderId="13" xfId="0" applyNumberFormat="1" applyFont="1" applyBorder="1" applyAlignment="1">
      <alignment horizontal="center"/>
    </xf>
    <xf numFmtId="189" fontId="6" fillId="0" borderId="17" xfId="0" applyNumberFormat="1" applyFont="1" applyBorder="1" applyAlignment="1">
      <alignment horizontal="center"/>
    </xf>
    <xf numFmtId="189" fontId="7" fillId="0" borderId="15" xfId="0" applyNumberFormat="1" applyFont="1" applyBorder="1" applyAlignment="1">
      <alignment horizontal="center"/>
    </xf>
    <xf numFmtId="0" fontId="6" fillId="0" borderId="24" xfId="0" applyNumberFormat="1" applyFont="1" applyBorder="1" applyAlignment="1">
      <alignment horizontal="center"/>
    </xf>
    <xf numFmtId="0" fontId="6" fillId="0" borderId="25" xfId="0" applyNumberFormat="1" applyFont="1" applyBorder="1" applyAlignment="1" applyProtection="1">
      <alignment horizontal="center"/>
      <protection locked="0"/>
    </xf>
    <xf numFmtId="0" fontId="2" fillId="0" borderId="13" xfId="0" applyNumberFormat="1" applyFont="1" applyBorder="1" applyAlignment="1" applyProtection="1">
      <alignment horizontal="center"/>
      <protection locked="0"/>
    </xf>
    <xf numFmtId="0" fontId="2" fillId="0" borderId="4" xfId="0" applyNumberFormat="1" applyFont="1" applyBorder="1" applyAlignment="1" applyProtection="1">
      <alignment horizontal="center"/>
      <protection locked="0"/>
    </xf>
    <xf numFmtId="0" fontId="2" fillId="0" borderId="25" xfId="0" applyNumberFormat="1" applyFont="1" applyBorder="1" applyAlignment="1" applyProtection="1">
      <alignment horizontal="center"/>
      <protection locked="0"/>
    </xf>
    <xf numFmtId="0" fontId="2" fillId="0" borderId="4" xfId="0" applyNumberFormat="1" applyFont="1" applyBorder="1" applyAlignment="1">
      <alignment horizontal="center"/>
    </xf>
    <xf numFmtId="0" fontId="2" fillId="0" borderId="5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right"/>
    </xf>
    <xf numFmtId="189" fontId="0" fillId="0" borderId="1" xfId="0" applyNumberFormat="1" applyBorder="1" applyAlignment="1">
      <alignment horizontal="center"/>
    </xf>
    <xf numFmtId="49" fontId="0" fillId="0" borderId="28" xfId="0" applyNumberFormat="1" applyBorder="1" applyAlignment="1" applyProtection="1">
      <alignment horizontal="center"/>
      <protection locked="0"/>
    </xf>
    <xf numFmtId="3" fontId="0" fillId="0" borderId="28" xfId="0" applyNumberFormat="1" applyBorder="1" applyAlignment="1" applyProtection="1">
      <alignment horizontal="center"/>
      <protection locked="0"/>
    </xf>
    <xf numFmtId="189" fontId="0" fillId="0" borderId="28" xfId="0" applyNumberFormat="1" applyBorder="1" applyAlignment="1" applyProtection="1">
      <alignment horizontal="center"/>
      <protection locked="0"/>
    </xf>
    <xf numFmtId="189" fontId="7" fillId="0" borderId="29" xfId="0" applyNumberFormat="1" applyFont="1" applyBorder="1" applyAlignment="1">
      <alignment horizontal="center"/>
    </xf>
    <xf numFmtId="49" fontId="9" fillId="0" borderId="13" xfId="0" applyNumberFormat="1" applyFont="1" applyBorder="1" applyAlignment="1" applyProtection="1">
      <alignment horizontal="center"/>
      <protection locked="0"/>
    </xf>
    <xf numFmtId="0" fontId="9" fillId="0" borderId="2" xfId="0" applyNumberFormat="1" applyFont="1" applyBorder="1" applyAlignment="1" applyProtection="1">
      <alignment horizontal="center"/>
      <protection locked="0"/>
    </xf>
    <xf numFmtId="0" fontId="9" fillId="0" borderId="4" xfId="0" applyNumberFormat="1" applyFont="1" applyBorder="1" applyAlignment="1" applyProtection="1">
      <alignment horizontal="center"/>
      <protection locked="0"/>
    </xf>
    <xf numFmtId="3" fontId="0" fillId="0" borderId="1" xfId="0" applyNumberFormat="1" applyBorder="1" applyAlignment="1" applyProtection="1">
      <alignment horizontal="center"/>
      <protection locked="0"/>
    </xf>
    <xf numFmtId="0" fontId="9" fillId="0" borderId="14" xfId="0" applyNumberFormat="1" applyFont="1" applyBorder="1" applyAlignment="1">
      <alignment horizontal="center"/>
    </xf>
    <xf numFmtId="0" fontId="9" fillId="0" borderId="23" xfId="0" applyNumberFormat="1" applyFont="1" applyBorder="1" applyAlignment="1" applyProtection="1">
      <alignment horizontal="center"/>
      <protection locked="0"/>
    </xf>
    <xf numFmtId="0" fontId="7" fillId="0" borderId="13" xfId="0" applyNumberFormat="1" applyFont="1" applyBorder="1" applyAlignment="1">
      <alignment horizontal="center"/>
    </xf>
    <xf numFmtId="189" fontId="7" fillId="0" borderId="17" xfId="0" applyNumberFormat="1" applyFont="1" applyBorder="1" applyAlignment="1">
      <alignment horizontal="center"/>
    </xf>
    <xf numFmtId="49" fontId="6" fillId="0" borderId="25" xfId="0" applyNumberFormat="1" applyFont="1" applyBorder="1" applyAlignment="1" applyProtection="1">
      <alignment horizontal="center"/>
      <protection locked="0"/>
    </xf>
    <xf numFmtId="0" fontId="6" fillId="0" borderId="30" xfId="0" applyNumberFormat="1" applyFont="1" applyBorder="1" applyAlignment="1">
      <alignment horizontal="center"/>
    </xf>
    <xf numFmtId="49" fontId="6" fillId="0" borderId="31" xfId="0" applyNumberFormat="1" applyFont="1" applyBorder="1" applyAlignment="1" applyProtection="1">
      <alignment horizontal="center"/>
      <protection locked="0"/>
    </xf>
    <xf numFmtId="0" fontId="6" fillId="0" borderId="31" xfId="0" applyNumberFormat="1" applyFont="1" applyBorder="1" applyAlignment="1" applyProtection="1">
      <alignment horizontal="center"/>
      <protection locked="0"/>
    </xf>
    <xf numFmtId="0" fontId="11" fillId="0" borderId="4" xfId="0" applyNumberFormat="1" applyFont="1" applyBorder="1" applyAlignment="1" applyProtection="1">
      <alignment horizontal="center"/>
      <protection locked="0"/>
    </xf>
    <xf numFmtId="49" fontId="11" fillId="0" borderId="4" xfId="0" applyNumberFormat="1" applyFont="1" applyBorder="1" applyAlignment="1" applyProtection="1">
      <alignment horizontal="center"/>
      <protection locked="0"/>
    </xf>
    <xf numFmtId="0" fontId="6" fillId="0" borderId="13" xfId="0" applyNumberFormat="1" applyFont="1" applyBorder="1" applyAlignment="1">
      <alignment horizontal="center"/>
    </xf>
    <xf numFmtId="0" fontId="6" fillId="0" borderId="17" xfId="0" applyNumberFormat="1" applyFont="1" applyBorder="1" applyAlignment="1">
      <alignment horizontal="center"/>
    </xf>
    <xf numFmtId="189" fontId="10" fillId="0" borderId="32" xfId="0" applyNumberFormat="1" applyFont="1" applyBorder="1" applyAlignment="1">
      <alignment horizontal="center"/>
    </xf>
    <xf numFmtId="49" fontId="6" fillId="0" borderId="33" xfId="0" applyNumberFormat="1" applyFont="1" applyBorder="1" applyAlignment="1" applyProtection="1">
      <alignment horizontal="center"/>
      <protection locked="0"/>
    </xf>
    <xf numFmtId="189" fontId="6" fillId="0" borderId="34" xfId="0" applyNumberFormat="1" applyFont="1" applyBorder="1" applyAlignment="1">
      <alignment horizontal="center"/>
    </xf>
    <xf numFmtId="0" fontId="6" fillId="0" borderId="28" xfId="0" applyNumberFormat="1" applyFont="1" applyBorder="1" applyAlignment="1">
      <alignment horizontal="center"/>
    </xf>
    <xf numFmtId="49" fontId="6" fillId="0" borderId="28" xfId="0" applyNumberFormat="1" applyFont="1" applyBorder="1" applyAlignment="1" applyProtection="1">
      <alignment horizontal="center"/>
      <protection locked="0"/>
    </xf>
    <xf numFmtId="0" fontId="6" fillId="0" borderId="28" xfId="0" applyNumberFormat="1" applyFont="1" applyBorder="1" applyAlignment="1" applyProtection="1">
      <alignment horizontal="center"/>
      <protection locked="0"/>
    </xf>
    <xf numFmtId="189" fontId="6" fillId="0" borderId="28" xfId="0" applyNumberFormat="1" applyFont="1" applyBorder="1" applyAlignment="1">
      <alignment horizontal="center"/>
    </xf>
    <xf numFmtId="0" fontId="11" fillId="0" borderId="28" xfId="0" applyNumberFormat="1" applyFont="1" applyBorder="1" applyAlignment="1" applyProtection="1">
      <alignment horizontal="center"/>
      <protection locked="0"/>
    </xf>
    <xf numFmtId="49" fontId="11" fillId="0" borderId="28" xfId="0" applyNumberFormat="1" applyFont="1" applyBorder="1" applyAlignment="1" applyProtection="1">
      <alignment horizontal="center"/>
      <protection locked="0"/>
    </xf>
    <xf numFmtId="0" fontId="6" fillId="0" borderId="28" xfId="0" quotePrefix="1" applyNumberFormat="1" applyFont="1" applyBorder="1" applyAlignment="1" applyProtection="1">
      <alignment horizontal="center"/>
      <protection locked="0"/>
    </xf>
    <xf numFmtId="0" fontId="11" fillId="0" borderId="28" xfId="0" quotePrefix="1" applyNumberFormat="1" applyFont="1" applyBorder="1" applyAlignment="1" applyProtection="1">
      <alignment horizontal="center"/>
      <protection locked="0"/>
    </xf>
    <xf numFmtId="0" fontId="6" fillId="0" borderId="35" xfId="0" applyNumberFormat="1" applyFont="1" applyBorder="1" applyAlignment="1" applyProtection="1">
      <alignment horizontal="center"/>
      <protection locked="0"/>
    </xf>
    <xf numFmtId="0" fontId="11" fillId="0" borderId="28" xfId="0" applyNumberFormat="1" applyFont="1" applyBorder="1" applyAlignment="1">
      <alignment horizontal="center"/>
    </xf>
    <xf numFmtId="0" fontId="6" fillId="0" borderId="36" xfId="0" applyNumberFormat="1" applyFont="1" applyBorder="1" applyAlignment="1">
      <alignment horizontal="center"/>
    </xf>
    <xf numFmtId="0" fontId="6" fillId="0" borderId="36" xfId="0" applyNumberFormat="1" applyFont="1" applyBorder="1" applyAlignment="1" applyProtection="1">
      <alignment horizontal="center"/>
      <protection locked="0"/>
    </xf>
    <xf numFmtId="0" fontId="6" fillId="0" borderId="37" xfId="0" applyNumberFormat="1" applyFont="1" applyBorder="1" applyAlignment="1" applyProtection="1">
      <alignment horizontal="center"/>
      <protection locked="0"/>
    </xf>
    <xf numFmtId="189" fontId="6" fillId="0" borderId="38" xfId="0" applyNumberFormat="1" applyFont="1" applyBorder="1" applyAlignment="1">
      <alignment horizontal="center"/>
    </xf>
    <xf numFmtId="189" fontId="7" fillId="0" borderId="39" xfId="0" applyNumberFormat="1" applyFont="1" applyBorder="1" applyAlignment="1">
      <alignment horizontal="center"/>
    </xf>
    <xf numFmtId="49" fontId="6" fillId="0" borderId="38" xfId="0" applyNumberFormat="1" applyFont="1" applyBorder="1" applyAlignment="1" applyProtection="1">
      <alignment horizontal="center"/>
      <protection locked="0"/>
    </xf>
    <xf numFmtId="0" fontId="6" fillId="0" borderId="38" xfId="0" applyNumberFormat="1" applyFont="1" applyBorder="1" applyAlignment="1" applyProtection="1">
      <alignment horizontal="center"/>
      <protection locked="0"/>
    </xf>
    <xf numFmtId="0" fontId="6" fillId="0" borderId="40" xfId="0" applyNumberFormat="1" applyFont="1" applyBorder="1" applyAlignment="1">
      <alignment horizontal="center"/>
    </xf>
    <xf numFmtId="189" fontId="6" fillId="0" borderId="41" xfId="0" applyNumberFormat="1" applyFont="1" applyBorder="1" applyAlignment="1">
      <alignment horizontal="center"/>
    </xf>
    <xf numFmtId="189" fontId="0" fillId="0" borderId="0" xfId="0" applyNumberFormat="1" applyBorder="1" applyAlignment="1">
      <alignment horizontal="center"/>
    </xf>
    <xf numFmtId="0" fontId="3" fillId="0" borderId="6" xfId="0" applyNumberFormat="1" applyFont="1" applyBorder="1" applyAlignment="1">
      <alignment horizontal="center" wrapText="1"/>
    </xf>
    <xf numFmtId="15" fontId="0" fillId="0" borderId="42" xfId="0" applyNumberFormat="1" applyBorder="1" applyAlignment="1" applyProtection="1">
      <alignment horizontal="center"/>
      <protection locked="0"/>
    </xf>
    <xf numFmtId="49" fontId="0" fillId="0" borderId="42" xfId="0" applyNumberFormat="1" applyBorder="1" applyAlignment="1" applyProtection="1">
      <alignment horizontal="center"/>
      <protection locked="0"/>
    </xf>
    <xf numFmtId="3" fontId="0" fillId="0" borderId="42" xfId="0" applyNumberFormat="1" applyBorder="1" applyAlignment="1" applyProtection="1">
      <alignment horizontal="center"/>
      <protection locked="0"/>
    </xf>
    <xf numFmtId="189" fontId="0" fillId="0" borderId="42" xfId="0" applyNumberFormat="1" applyBorder="1" applyAlignment="1" applyProtection="1">
      <alignment horizontal="center"/>
      <protection locked="0"/>
    </xf>
    <xf numFmtId="189" fontId="0" fillId="0" borderId="2" xfId="0" applyNumberFormat="1" applyBorder="1" applyAlignment="1" applyProtection="1">
      <alignment horizontal="center"/>
      <protection locked="0"/>
    </xf>
    <xf numFmtId="15" fontId="0" fillId="0" borderId="40" xfId="0" applyNumberFormat="1" applyBorder="1" applyAlignment="1" applyProtection="1">
      <alignment horizontal="center"/>
      <protection locked="0"/>
    </xf>
    <xf numFmtId="15" fontId="0" fillId="0" borderId="43" xfId="0" applyNumberFormat="1" applyBorder="1" applyAlignment="1" applyProtection="1">
      <alignment horizontal="center"/>
      <protection locked="0"/>
    </xf>
    <xf numFmtId="49" fontId="0" fillId="0" borderId="36" xfId="0" applyNumberFormat="1" applyBorder="1" applyAlignment="1" applyProtection="1">
      <alignment horizontal="center"/>
      <protection locked="0"/>
    </xf>
    <xf numFmtId="3" fontId="0" fillId="0" borderId="36" xfId="0" applyNumberFormat="1" applyBorder="1" applyAlignment="1" applyProtection="1">
      <alignment horizontal="center"/>
      <protection locked="0"/>
    </xf>
    <xf numFmtId="189" fontId="10" fillId="0" borderId="29" xfId="0" applyNumberFormat="1" applyFont="1" applyBorder="1" applyAlignment="1">
      <alignment horizontal="center"/>
    </xf>
    <xf numFmtId="0" fontId="10" fillId="0" borderId="32" xfId="0" applyNumberFormat="1" applyFont="1" applyBorder="1" applyAlignment="1">
      <alignment horizontal="center"/>
    </xf>
    <xf numFmtId="0" fontId="10" fillId="0" borderId="29" xfId="0" applyNumberFormat="1" applyFont="1" applyBorder="1" applyAlignment="1">
      <alignment horizontal="center"/>
    </xf>
    <xf numFmtId="15" fontId="6" fillId="0" borderId="28" xfId="0" applyNumberFormat="1" applyFont="1" applyBorder="1" applyAlignment="1" applyProtection="1">
      <alignment horizontal="center"/>
      <protection locked="0"/>
    </xf>
    <xf numFmtId="189" fontId="6" fillId="0" borderId="42" xfId="0" applyNumberFormat="1" applyFont="1" applyBorder="1" applyAlignment="1">
      <alignment horizontal="center"/>
    </xf>
    <xf numFmtId="0" fontId="6" fillId="0" borderId="38" xfId="0" applyNumberFormat="1" applyFont="1" applyBorder="1" applyAlignment="1">
      <alignment horizontal="center"/>
    </xf>
    <xf numFmtId="0" fontId="7" fillId="0" borderId="2" xfId="0" applyNumberFormat="1" applyFont="1" applyBorder="1" applyAlignment="1">
      <alignment horizontal="center" wrapText="1"/>
    </xf>
    <xf numFmtId="0" fontId="7" fillId="0" borderId="3" xfId="0" applyNumberFormat="1" applyFont="1" applyBorder="1" applyAlignment="1">
      <alignment horizontal="center" wrapText="1"/>
    </xf>
    <xf numFmtId="0" fontId="2" fillId="0" borderId="44" xfId="0" applyNumberFormat="1" applyFont="1" applyBorder="1" applyAlignment="1"/>
    <xf numFmtId="189" fontId="6" fillId="0" borderId="45" xfId="0" applyNumberFormat="1" applyFont="1" applyBorder="1" applyAlignment="1">
      <alignment horizontal="center"/>
    </xf>
    <xf numFmtId="0" fontId="6" fillId="0" borderId="4" xfId="0" quotePrefix="1" applyNumberFormat="1" applyFont="1" applyBorder="1" applyAlignment="1" applyProtection="1">
      <alignment horizontal="center"/>
      <protection locked="0"/>
    </xf>
    <xf numFmtId="0" fontId="13" fillId="0" borderId="0" xfId="0" applyNumberFormat="1" applyFont="1" applyAlignment="1"/>
    <xf numFmtId="0" fontId="14" fillId="0" borderId="0" xfId="0" applyNumberFormat="1" applyFont="1" applyAlignment="1"/>
    <xf numFmtId="0" fontId="15" fillId="0" borderId="0" xfId="0" applyNumberFormat="1" applyFont="1" applyAlignment="1"/>
    <xf numFmtId="0" fontId="0" fillId="0" borderId="0" xfId="0" applyNumberFormat="1" applyFill="1" applyBorder="1"/>
    <xf numFmtId="0" fontId="2" fillId="0" borderId="0" xfId="0" applyNumberFormat="1" applyFont="1" applyFill="1" applyAlignment="1"/>
    <xf numFmtId="0" fontId="9" fillId="0" borderId="28" xfId="0" applyNumberFormat="1" applyFont="1" applyBorder="1" applyAlignment="1" applyProtection="1">
      <alignment horizontal="center"/>
      <protection locked="0"/>
    </xf>
    <xf numFmtId="49" fontId="6" fillId="0" borderId="36" xfId="0" applyNumberFormat="1" applyFont="1" applyBorder="1" applyAlignment="1" applyProtection="1">
      <alignment horizontal="center"/>
      <protection locked="0"/>
    </xf>
    <xf numFmtId="0" fontId="6" fillId="0" borderId="46" xfId="0" applyNumberFormat="1" applyFont="1" applyBorder="1" applyAlignment="1">
      <alignment horizontal="center"/>
    </xf>
    <xf numFmtId="0" fontId="6" fillId="0" borderId="42" xfId="0" applyNumberFormat="1" applyFont="1" applyBorder="1" applyAlignment="1" applyProtection="1">
      <alignment horizontal="center"/>
      <protection locked="0"/>
    </xf>
    <xf numFmtId="189" fontId="6" fillId="0" borderId="47" xfId="0" applyNumberFormat="1" applyFont="1" applyBorder="1" applyAlignment="1">
      <alignment horizontal="center"/>
    </xf>
    <xf numFmtId="0" fontId="16" fillId="0" borderId="0" xfId="0" applyNumberFormat="1" applyFont="1" applyAlignment="1"/>
    <xf numFmtId="0" fontId="17" fillId="0" borderId="0" xfId="0" applyNumberFormat="1" applyFont="1" applyAlignment="1"/>
    <xf numFmtId="0" fontId="12" fillId="0" borderId="0" xfId="0" applyNumberFormat="1" applyFont="1" applyAlignment="1"/>
    <xf numFmtId="0" fontId="12" fillId="0" borderId="0" xfId="0" applyNumberFormat="1" applyFont="1" applyFill="1" applyAlignment="1">
      <alignment horizontal="right"/>
    </xf>
    <xf numFmtId="0" fontId="2" fillId="0" borderId="0" xfId="0" applyNumberFormat="1" applyFont="1" applyFill="1" applyAlignment="1">
      <alignment horizontal="left"/>
    </xf>
    <xf numFmtId="0" fontId="12" fillId="0" borderId="0" xfId="0" applyNumberFormat="1" applyFont="1" applyFill="1" applyAlignment="1">
      <alignment horizontal="left"/>
    </xf>
    <xf numFmtId="0" fontId="9" fillId="0" borderId="36" xfId="0" applyNumberFormat="1" applyFont="1" applyBorder="1" applyAlignment="1" applyProtection="1">
      <alignment horizontal="center"/>
      <protection locked="0"/>
    </xf>
    <xf numFmtId="0" fontId="11" fillId="0" borderId="48" xfId="0" applyNumberFormat="1" applyFont="1" applyBorder="1" applyAlignment="1">
      <alignment horizontal="center"/>
    </xf>
    <xf numFmtId="189" fontId="6" fillId="0" borderId="49" xfId="0" applyNumberFormat="1" applyFont="1" applyBorder="1" applyAlignment="1">
      <alignment horizontal="center"/>
    </xf>
    <xf numFmtId="189" fontId="6" fillId="0" borderId="50" xfId="0" applyNumberFormat="1" applyFont="1" applyBorder="1" applyAlignment="1">
      <alignment horizontal="center"/>
    </xf>
    <xf numFmtId="49" fontId="9" fillId="0" borderId="28" xfId="0" applyNumberFormat="1" applyFont="1" applyBorder="1" applyAlignment="1" applyProtection="1">
      <alignment horizontal="center"/>
      <protection locked="0"/>
    </xf>
    <xf numFmtId="49" fontId="9" fillId="0" borderId="2" xfId="0" applyNumberFormat="1" applyFont="1" applyBorder="1" applyAlignment="1" applyProtection="1">
      <alignment horizontal="center"/>
      <protection locked="0"/>
    </xf>
    <xf numFmtId="49" fontId="9" fillId="0" borderId="2" xfId="0" applyNumberFormat="1" applyFont="1" applyBorder="1" applyAlignment="1" applyProtection="1">
      <alignment horizontal="left"/>
      <protection locked="0"/>
    </xf>
    <xf numFmtId="49" fontId="6" fillId="0" borderId="2" xfId="0" applyNumberFormat="1" applyFont="1" applyBorder="1" applyAlignment="1" applyProtection="1">
      <alignment horizontal="center"/>
      <protection locked="0"/>
    </xf>
    <xf numFmtId="189" fontId="6" fillId="0" borderId="51" xfId="0" applyNumberFormat="1" applyFont="1" applyBorder="1" applyAlignment="1">
      <alignment horizontal="center"/>
    </xf>
    <xf numFmtId="189" fontId="6" fillId="0" borderId="52" xfId="0" applyNumberFormat="1" applyFont="1" applyBorder="1" applyAlignment="1">
      <alignment horizontal="center"/>
    </xf>
    <xf numFmtId="0" fontId="6" fillId="0" borderId="53" xfId="0" applyNumberFormat="1" applyFont="1" applyBorder="1" applyAlignment="1" applyProtection="1">
      <alignment horizontal="center"/>
      <protection locked="0"/>
    </xf>
    <xf numFmtId="0" fontId="6" fillId="0" borderId="1" xfId="0" applyNumberFormat="1" applyFont="1" applyBorder="1" applyAlignment="1" applyProtection="1">
      <alignment horizontal="center"/>
      <protection locked="0"/>
    </xf>
    <xf numFmtId="49" fontId="9" fillId="0" borderId="13" xfId="0" applyNumberFormat="1" applyFont="1" applyBorder="1" applyAlignment="1" applyProtection="1">
      <alignment horizontal="left"/>
      <protection locked="0"/>
    </xf>
    <xf numFmtId="49" fontId="0" fillId="0" borderId="54" xfId="0" applyNumberFormat="1" applyBorder="1" applyAlignment="1" applyProtection="1">
      <alignment horizontal="center"/>
      <protection locked="0"/>
    </xf>
    <xf numFmtId="49" fontId="0" fillId="0" borderId="7" xfId="0" applyNumberFormat="1" applyBorder="1" applyAlignment="1" applyProtection="1">
      <alignment horizontal="center"/>
      <protection locked="0"/>
    </xf>
    <xf numFmtId="49" fontId="0" fillId="0" borderId="51" xfId="0" applyNumberFormat="1" applyBorder="1" applyAlignment="1" applyProtection="1">
      <alignment horizontal="center"/>
      <protection locked="0"/>
    </xf>
    <xf numFmtId="3" fontId="0" fillId="0" borderId="7" xfId="0" applyNumberFormat="1" applyBorder="1" applyAlignment="1" applyProtection="1">
      <alignment horizontal="center"/>
      <protection locked="0"/>
    </xf>
    <xf numFmtId="3" fontId="0" fillId="0" borderId="2" xfId="0" applyNumberFormat="1" applyBorder="1" applyAlignment="1" applyProtection="1">
      <alignment horizontal="center"/>
      <protection locked="0"/>
    </xf>
    <xf numFmtId="189" fontId="0" fillId="0" borderId="55" xfId="0" applyNumberFormat="1" applyBorder="1" applyAlignment="1">
      <alignment horizontal="center"/>
    </xf>
    <xf numFmtId="0" fontId="8" fillId="0" borderId="0" xfId="0" applyNumberFormat="1" applyFont="1" applyBorder="1" applyAlignment="1"/>
    <xf numFmtId="0" fontId="18" fillId="0" borderId="0" xfId="0" applyNumberFormat="1" applyFont="1" applyBorder="1" applyAlignment="1"/>
    <xf numFmtId="0" fontId="9" fillId="0" borderId="8" xfId="0" applyNumberFormat="1" applyFont="1" applyBorder="1" applyAlignment="1">
      <alignment horizontal="center"/>
    </xf>
    <xf numFmtId="0" fontId="9" fillId="0" borderId="28" xfId="0" applyNumberFormat="1" applyFont="1" applyBorder="1" applyAlignment="1">
      <alignment horizontal="center"/>
    </xf>
    <xf numFmtId="0" fontId="9" fillId="0" borderId="24" xfId="0" applyNumberFormat="1" applyFont="1" applyBorder="1" applyAlignment="1">
      <alignment horizontal="center"/>
    </xf>
    <xf numFmtId="0" fontId="9" fillId="0" borderId="6" xfId="0" applyNumberFormat="1" applyFont="1" applyBorder="1" applyAlignment="1">
      <alignment horizontal="center"/>
    </xf>
    <xf numFmtId="189" fontId="8" fillId="0" borderId="29" xfId="0" applyNumberFormat="1" applyFont="1" applyBorder="1" applyAlignment="1"/>
    <xf numFmtId="194" fontId="8" fillId="0" borderId="56" xfId="0" applyNumberFormat="1" applyFont="1" applyBorder="1"/>
    <xf numFmtId="2" fontId="2" fillId="0" borderId="0" xfId="0" applyNumberFormat="1" applyFont="1" applyAlignment="1"/>
    <xf numFmtId="2" fontId="3" fillId="0" borderId="0" xfId="0" applyNumberFormat="1" applyFont="1" applyAlignment="1">
      <alignment horizontal="center" wrapText="1"/>
    </xf>
    <xf numFmtId="2" fontId="0" fillId="0" borderId="0" xfId="0" applyNumberFormat="1"/>
    <xf numFmtId="2" fontId="0" fillId="0" borderId="1" xfId="0" applyNumberFormat="1" applyBorder="1"/>
    <xf numFmtId="189" fontId="8" fillId="0" borderId="4" xfId="0" applyNumberFormat="1" applyFont="1" applyBorder="1" applyAlignment="1">
      <alignment horizontal="center"/>
    </xf>
    <xf numFmtId="189" fontId="8" fillId="0" borderId="15" xfId="0" applyNumberFormat="1" applyFont="1" applyBorder="1" applyAlignment="1">
      <alignment horizontal="center"/>
    </xf>
    <xf numFmtId="0" fontId="19" fillId="0" borderId="7" xfId="0" applyNumberFormat="1" applyFont="1" applyBorder="1" applyAlignment="1"/>
    <xf numFmtId="189" fontId="0" fillId="0" borderId="36" xfId="0" applyNumberFormat="1" applyBorder="1" applyAlignment="1" applyProtection="1">
      <alignment horizontal="center"/>
      <protection locked="0"/>
    </xf>
    <xf numFmtId="0" fontId="2" fillId="0" borderId="2" xfId="0" applyNumberFormat="1" applyFont="1" applyBorder="1" applyAlignment="1" applyProtection="1">
      <alignment horizontal="center"/>
      <protection locked="0"/>
    </xf>
    <xf numFmtId="0" fontId="2" fillId="0" borderId="28" xfId="0" applyNumberFormat="1" applyFont="1" applyBorder="1" applyAlignment="1" applyProtection="1">
      <alignment horizontal="center"/>
      <protection locked="0"/>
    </xf>
    <xf numFmtId="0" fontId="2" fillId="0" borderId="36" xfId="0" applyNumberFormat="1" applyFont="1" applyBorder="1" applyAlignment="1" applyProtection="1">
      <alignment horizontal="center"/>
      <protection locked="0"/>
    </xf>
    <xf numFmtId="0" fontId="2" fillId="0" borderId="42" xfId="0" applyNumberFormat="1" applyFont="1" applyBorder="1" applyAlignment="1" applyProtection="1">
      <alignment horizontal="center"/>
      <protection locked="0"/>
    </xf>
    <xf numFmtId="0" fontId="5" fillId="0" borderId="0" xfId="1"/>
    <xf numFmtId="0" fontId="8" fillId="0" borderId="0" xfId="1" applyFont="1"/>
    <xf numFmtId="0" fontId="18" fillId="0" borderId="0" xfId="1" applyFont="1" applyAlignment="1">
      <alignment horizontal="left"/>
    </xf>
    <xf numFmtId="0" fontId="5" fillId="0" borderId="0" xfId="1" applyAlignment="1">
      <alignment horizontal="left"/>
    </xf>
    <xf numFmtId="49" fontId="18" fillId="0" borderId="0" xfId="1" applyNumberFormat="1" applyFont="1"/>
    <xf numFmtId="0" fontId="18" fillId="0" borderId="0" xfId="1" applyFont="1"/>
    <xf numFmtId="0" fontId="5" fillId="0" borderId="0" xfId="1" applyAlignment="1">
      <alignment horizontal="center"/>
    </xf>
    <xf numFmtId="0" fontId="5" fillId="0" borderId="28" xfId="1" applyBorder="1" applyAlignment="1">
      <alignment horizontal="center"/>
    </xf>
    <xf numFmtId="14" fontId="5" fillId="0" borderId="28" xfId="1" applyNumberFormat="1" applyBorder="1" applyAlignment="1">
      <alignment horizontal="center"/>
    </xf>
    <xf numFmtId="49" fontId="5" fillId="0" borderId="28" xfId="1" applyNumberFormat="1" applyBorder="1" applyAlignment="1">
      <alignment horizontal="center"/>
    </xf>
    <xf numFmtId="2" fontId="5" fillId="0" borderId="28" xfId="1" applyNumberFormat="1" applyBorder="1" applyAlignment="1">
      <alignment horizontal="center"/>
    </xf>
    <xf numFmtId="0" fontId="20" fillId="0" borderId="28" xfId="1" applyFont="1" applyBorder="1" applyAlignment="1">
      <alignment horizontal="center"/>
    </xf>
    <xf numFmtId="0" fontId="5" fillId="0" borderId="28" xfId="1" applyBorder="1"/>
    <xf numFmtId="0" fontId="18" fillId="0" borderId="28" xfId="1" applyFont="1" applyBorder="1"/>
    <xf numFmtId="0" fontId="18" fillId="0" borderId="0" xfId="1" applyFont="1" applyAlignment="1">
      <alignment horizontal="center"/>
    </xf>
    <xf numFmtId="0" fontId="18" fillId="0" borderId="28" xfId="1" applyFont="1" applyBorder="1" applyAlignment="1">
      <alignment horizontal="center"/>
    </xf>
    <xf numFmtId="0" fontId="5" fillId="0" borderId="0" xfId="1" applyFont="1" applyAlignment="1">
      <alignment horizontal="right"/>
    </xf>
    <xf numFmtId="220" fontId="5" fillId="0" borderId="0" xfId="1" applyNumberFormat="1" applyAlignment="1">
      <alignment horizontal="left"/>
    </xf>
    <xf numFmtId="2" fontId="18" fillId="0" borderId="28" xfId="1" applyNumberFormat="1" applyFont="1" applyBorder="1" applyAlignment="1">
      <alignment horizontal="center"/>
    </xf>
    <xf numFmtId="0" fontId="18" fillId="0" borderId="28" xfId="1" quotePrefix="1" applyFont="1" applyBorder="1" applyAlignment="1">
      <alignment horizontal="center"/>
    </xf>
    <xf numFmtId="223" fontId="3" fillId="0" borderId="7" xfId="0" applyNumberFormat="1" applyFont="1" applyBorder="1" applyAlignment="1"/>
    <xf numFmtId="223" fontId="2" fillId="0" borderId="0" xfId="0" applyNumberFormat="1" applyFont="1" applyBorder="1" applyAlignment="1"/>
    <xf numFmtId="223" fontId="2" fillId="0" borderId="11" xfId="0" applyNumberFormat="1" applyFont="1" applyBorder="1" applyAlignment="1"/>
    <xf numFmtId="223" fontId="3" fillId="0" borderId="57" xfId="0" applyNumberFormat="1" applyFont="1" applyBorder="1" applyAlignment="1">
      <alignment horizontal="center" wrapText="1"/>
    </xf>
    <xf numFmtId="223" fontId="2" fillId="0" borderId="2" xfId="0" applyNumberFormat="1" applyFont="1" applyBorder="1" applyAlignment="1" applyProtection="1">
      <alignment horizontal="center"/>
      <protection locked="0"/>
    </xf>
    <xf numFmtId="223" fontId="2" fillId="0" borderId="4" xfId="0" applyNumberFormat="1" applyFont="1" applyBorder="1" applyAlignment="1" applyProtection="1">
      <alignment horizontal="center"/>
      <protection locked="0"/>
    </xf>
    <xf numFmtId="223" fontId="2" fillId="0" borderId="25" xfId="0" applyNumberFormat="1" applyFont="1" applyBorder="1" applyAlignment="1" applyProtection="1">
      <alignment horizontal="center"/>
      <protection locked="0"/>
    </xf>
    <xf numFmtId="223" fontId="2" fillId="0" borderId="13" xfId="0" applyNumberFormat="1" applyFont="1" applyBorder="1" applyAlignment="1" applyProtection="1">
      <alignment horizontal="center"/>
      <protection locked="0"/>
    </xf>
    <xf numFmtId="223" fontId="2" fillId="0" borderId="28" xfId="0" applyNumberFormat="1" applyFont="1" applyBorder="1" applyAlignment="1" applyProtection="1">
      <alignment horizontal="center"/>
      <protection locked="0"/>
    </xf>
    <xf numFmtId="223" fontId="2" fillId="0" borderId="36" xfId="0" applyNumberFormat="1" applyFont="1" applyBorder="1" applyAlignment="1" applyProtection="1">
      <alignment horizontal="center"/>
      <protection locked="0"/>
    </xf>
    <xf numFmtId="223" fontId="2" fillId="0" borderId="42" xfId="0" applyNumberFormat="1" applyFont="1" applyBorder="1" applyAlignment="1" applyProtection="1">
      <alignment horizontal="center"/>
      <protection locked="0"/>
    </xf>
    <xf numFmtId="223" fontId="2" fillId="0" borderId="4" xfId="0" applyNumberFormat="1" applyFont="1" applyBorder="1" applyAlignment="1">
      <alignment horizontal="center"/>
    </xf>
    <xf numFmtId="223" fontId="2" fillId="0" borderId="5" xfId="0" applyNumberFormat="1" applyFont="1" applyBorder="1" applyAlignment="1">
      <alignment horizontal="center"/>
    </xf>
    <xf numFmtId="223" fontId="2" fillId="0" borderId="0" xfId="0" applyNumberFormat="1" applyFont="1" applyAlignment="1">
      <alignment horizontal="right"/>
    </xf>
    <xf numFmtId="223" fontId="2" fillId="0" borderId="0" xfId="0" applyNumberFormat="1" applyFont="1" applyAlignment="1"/>
    <xf numFmtId="0" fontId="9" fillId="0" borderId="58" xfId="0" applyNumberFormat="1" applyFont="1" applyBorder="1" applyAlignment="1" applyProtection="1">
      <alignment horizontal="justify"/>
      <protection locked="0"/>
    </xf>
    <xf numFmtId="0" fontId="8" fillId="0" borderId="23" xfId="0" applyFont="1" applyBorder="1" applyAlignment="1">
      <alignment horizontal="justify"/>
    </xf>
    <xf numFmtId="49" fontId="11" fillId="0" borderId="59" xfId="0" applyNumberFormat="1" applyFont="1" applyBorder="1" applyAlignment="1" applyProtection="1">
      <alignment horizontal="center"/>
      <protection locked="0"/>
    </xf>
    <xf numFmtId="49" fontId="11" fillId="0" borderId="25" xfId="0" applyNumberFormat="1" applyFont="1" applyBorder="1" applyAlignment="1" applyProtection="1">
      <alignment horizontal="center"/>
      <protection locked="0"/>
    </xf>
    <xf numFmtId="0" fontId="11" fillId="0" borderId="25" xfId="0" applyNumberFormat="1" applyFont="1" applyBorder="1" applyAlignment="1" applyProtection="1">
      <alignment horizontal="center"/>
      <protection locked="0"/>
    </xf>
    <xf numFmtId="0" fontId="6" fillId="0" borderId="60" xfId="0" applyNumberFormat="1" applyFont="1" applyBorder="1" applyAlignment="1" applyProtection="1">
      <alignment horizontal="center"/>
      <protection locked="0"/>
    </xf>
    <xf numFmtId="0" fontId="12" fillId="0" borderId="0" xfId="0" applyNumberFormat="1" applyFont="1" applyBorder="1" applyAlignment="1"/>
    <xf numFmtId="49" fontId="20" fillId="0" borderId="27" xfId="0" applyNumberFormat="1" applyFont="1" applyBorder="1" applyAlignment="1" applyProtection="1">
      <alignment horizontal="center"/>
      <protection locked="0"/>
    </xf>
    <xf numFmtId="49" fontId="20" fillId="0" borderId="4" xfId="0" applyNumberFormat="1" applyFont="1" applyBorder="1" applyAlignment="1" applyProtection="1">
      <alignment horizontal="center"/>
      <protection locked="0"/>
    </xf>
    <xf numFmtId="49" fontId="20" fillId="0" borderId="28" xfId="0" applyNumberFormat="1" applyFont="1" applyBorder="1" applyAlignment="1" applyProtection="1">
      <alignment horizontal="center"/>
      <protection locked="0"/>
    </xf>
    <xf numFmtId="3" fontId="20" fillId="0" borderId="1" xfId="0" applyNumberFormat="1" applyFont="1" applyBorder="1" applyAlignment="1" applyProtection="1">
      <alignment horizontal="center"/>
      <protection locked="0"/>
    </xf>
    <xf numFmtId="3" fontId="20" fillId="0" borderId="4" xfId="0" applyNumberFormat="1" applyFont="1" applyBorder="1" applyAlignment="1" applyProtection="1">
      <alignment horizontal="center"/>
      <protection locked="0"/>
    </xf>
    <xf numFmtId="0" fontId="20" fillId="0" borderId="4" xfId="0" applyNumberFormat="1" applyFont="1" applyBorder="1" applyAlignment="1" applyProtection="1">
      <alignment horizontal="center"/>
      <protection locked="0"/>
    </xf>
    <xf numFmtId="189" fontId="20" fillId="0" borderId="4" xfId="0" applyNumberFormat="1" applyFont="1" applyBorder="1" applyAlignment="1" applyProtection="1">
      <alignment horizontal="center"/>
      <protection locked="0"/>
    </xf>
    <xf numFmtId="2" fontId="3" fillId="0" borderId="7" xfId="0" applyNumberFormat="1" applyFont="1" applyBorder="1" applyAlignment="1"/>
    <xf numFmtId="2" fontId="2" fillId="0" borderId="0" xfId="0" applyNumberFormat="1" applyFont="1" applyBorder="1" applyAlignment="1"/>
    <xf numFmtId="2" fontId="3" fillId="0" borderId="57" xfId="0" applyNumberFormat="1" applyFont="1" applyBorder="1" applyAlignment="1">
      <alignment horizontal="center" wrapText="1"/>
    </xf>
    <xf numFmtId="2" fontId="20" fillId="0" borderId="4" xfId="0" applyNumberFormat="1" applyFont="1" applyBorder="1" applyAlignment="1" applyProtection="1">
      <alignment horizontal="center"/>
      <protection locked="0"/>
    </xf>
    <xf numFmtId="2" fontId="4" fillId="0" borderId="5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right"/>
    </xf>
    <xf numFmtId="49" fontId="20" fillId="0" borderId="23" xfId="0" applyNumberFormat="1" applyFont="1" applyBorder="1" applyAlignment="1" applyProtection="1">
      <alignment horizontal="center"/>
      <protection locked="0"/>
    </xf>
    <xf numFmtId="189" fontId="20" fillId="0" borderId="4" xfId="0" applyNumberFormat="1" applyFont="1" applyBorder="1" applyProtection="1">
      <protection locked="0"/>
    </xf>
    <xf numFmtId="49" fontId="20" fillId="0" borderId="25" xfId="0" applyNumberFormat="1" applyFont="1" applyBorder="1" applyAlignment="1" applyProtection="1">
      <alignment horizontal="center"/>
      <protection locked="0"/>
    </xf>
    <xf numFmtId="3" fontId="20" fillId="0" borderId="25" xfId="0" applyNumberFormat="1" applyFont="1" applyBorder="1" applyAlignment="1" applyProtection="1">
      <alignment horizontal="center"/>
      <protection locked="0"/>
    </xf>
    <xf numFmtId="0" fontId="20" fillId="0" borderId="25" xfId="0" applyNumberFormat="1" applyFont="1" applyBorder="1" applyAlignment="1" applyProtection="1">
      <alignment horizontal="center"/>
      <protection locked="0"/>
    </xf>
    <xf numFmtId="2" fontId="20" fillId="0" borderId="25" xfId="0" applyNumberFormat="1" applyFont="1" applyBorder="1" applyAlignment="1" applyProtection="1">
      <alignment horizontal="center"/>
      <protection locked="0"/>
    </xf>
    <xf numFmtId="189" fontId="20" fillId="0" borderId="25" xfId="0" applyNumberFormat="1" applyFont="1" applyBorder="1" applyAlignment="1" applyProtection="1">
      <alignment horizontal="center"/>
      <protection locked="0"/>
    </xf>
    <xf numFmtId="49" fontId="20" fillId="0" borderId="13" xfId="0" applyNumberFormat="1" applyFont="1" applyBorder="1" applyAlignment="1" applyProtection="1">
      <alignment horizontal="center"/>
      <protection locked="0"/>
    </xf>
    <xf numFmtId="3" fontId="20" fillId="0" borderId="13" xfId="0" applyNumberFormat="1" applyFont="1" applyBorder="1" applyAlignment="1" applyProtection="1">
      <alignment horizontal="center"/>
      <protection locked="0"/>
    </xf>
    <xf numFmtId="0" fontId="20" fillId="0" borderId="13" xfId="0" applyNumberFormat="1" applyFont="1" applyBorder="1" applyAlignment="1" applyProtection="1">
      <alignment horizontal="center"/>
      <protection locked="0"/>
    </xf>
    <xf numFmtId="2" fontId="20" fillId="0" borderId="13" xfId="0" applyNumberFormat="1" applyFont="1" applyBorder="1" applyAlignment="1" applyProtection="1">
      <alignment horizontal="center"/>
      <protection locked="0"/>
    </xf>
    <xf numFmtId="189" fontId="20" fillId="0" borderId="13" xfId="0" applyNumberFormat="1" applyFont="1" applyBorder="1" applyAlignment="1" applyProtection="1">
      <alignment horizontal="center"/>
      <protection locked="0"/>
    </xf>
    <xf numFmtId="3" fontId="20" fillId="0" borderId="28" xfId="0" applyNumberFormat="1" applyFont="1" applyBorder="1" applyAlignment="1" applyProtection="1">
      <alignment horizontal="center"/>
      <protection locked="0"/>
    </xf>
    <xf numFmtId="0" fontId="20" fillId="0" borderId="28" xfId="0" applyNumberFormat="1" applyFont="1" applyBorder="1" applyAlignment="1" applyProtection="1">
      <alignment horizontal="center"/>
      <protection locked="0"/>
    </xf>
    <xf numFmtId="2" fontId="20" fillId="0" borderId="28" xfId="0" applyNumberFormat="1" applyFont="1" applyBorder="1" applyAlignment="1" applyProtection="1">
      <alignment horizontal="center"/>
      <protection locked="0"/>
    </xf>
    <xf numFmtId="189" fontId="20" fillId="0" borderId="28" xfId="0" applyNumberFormat="1" applyFont="1" applyBorder="1" applyAlignment="1" applyProtection="1">
      <alignment horizontal="center"/>
      <protection locked="0"/>
    </xf>
    <xf numFmtId="189" fontId="12" fillId="0" borderId="4" xfId="0" applyNumberFormat="1" applyFont="1" applyBorder="1" applyAlignment="1">
      <alignment horizontal="center"/>
    </xf>
    <xf numFmtId="189" fontId="12" fillId="0" borderId="15" xfId="0" applyNumberFormat="1" applyFont="1" applyBorder="1" applyAlignment="1">
      <alignment horizontal="center"/>
    </xf>
    <xf numFmtId="189" fontId="12" fillId="0" borderId="1" xfId="0" applyNumberFormat="1" applyFont="1" applyBorder="1" applyAlignment="1">
      <alignment horizontal="center"/>
    </xf>
    <xf numFmtId="189" fontId="12" fillId="0" borderId="16" xfId="0" applyNumberFormat="1" applyFont="1" applyBorder="1" applyAlignment="1">
      <alignment horizontal="center"/>
    </xf>
    <xf numFmtId="49" fontId="20" fillId="0" borderId="0" xfId="0" applyNumberFormat="1" applyFont="1" applyBorder="1" applyAlignment="1" applyProtection="1">
      <alignment horizontal="center"/>
      <protection locked="0"/>
    </xf>
    <xf numFmtId="49" fontId="20" fillId="0" borderId="42" xfId="0" applyNumberFormat="1" applyFont="1" applyBorder="1" applyAlignment="1" applyProtection="1">
      <alignment horizontal="center"/>
      <protection locked="0"/>
    </xf>
    <xf numFmtId="3" fontId="20" fillId="0" borderId="0" xfId="0" applyNumberFormat="1" applyFont="1" applyBorder="1" applyAlignment="1" applyProtection="1">
      <alignment horizontal="center"/>
      <protection locked="0"/>
    </xf>
    <xf numFmtId="189" fontId="0" fillId="0" borderId="13" xfId="0" applyNumberFormat="1" applyBorder="1" applyAlignment="1">
      <alignment horizontal="center"/>
    </xf>
    <xf numFmtId="49" fontId="20" fillId="0" borderId="61" xfId="0" applyNumberFormat="1" applyFont="1" applyBorder="1" applyAlignment="1" applyProtection="1">
      <alignment horizontal="center"/>
      <protection locked="0"/>
    </xf>
    <xf numFmtId="189" fontId="12" fillId="0" borderId="25" xfId="0" applyNumberFormat="1" applyFont="1" applyBorder="1" applyAlignment="1">
      <alignment horizontal="center"/>
    </xf>
    <xf numFmtId="189" fontId="12" fillId="0" borderId="62" xfId="0" applyNumberFormat="1" applyFont="1" applyBorder="1" applyAlignment="1">
      <alignment horizontal="center"/>
    </xf>
    <xf numFmtId="189" fontId="12" fillId="0" borderId="13" xfId="0" applyNumberFormat="1" applyFont="1" applyBorder="1" applyAlignment="1">
      <alignment horizontal="center"/>
    </xf>
    <xf numFmtId="189" fontId="12" fillId="0" borderId="17" xfId="0" applyNumberFormat="1" applyFont="1" applyBorder="1" applyAlignment="1">
      <alignment horizontal="center"/>
    </xf>
    <xf numFmtId="189" fontId="12" fillId="0" borderId="63" xfId="0" applyNumberFormat="1" applyFont="1" applyBorder="1" applyAlignment="1">
      <alignment horizontal="center"/>
    </xf>
    <xf numFmtId="49" fontId="20" fillId="0" borderId="64" xfId="0" applyNumberFormat="1" applyFont="1" applyBorder="1" applyAlignment="1" applyProtection="1">
      <alignment horizontal="center"/>
      <protection locked="0"/>
    </xf>
    <xf numFmtId="15" fontId="0" fillId="0" borderId="8" xfId="0" applyNumberFormat="1" applyBorder="1" applyAlignment="1">
      <alignment horizontal="center"/>
    </xf>
    <xf numFmtId="20" fontId="0" fillId="0" borderId="13" xfId="0" applyNumberForma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0" fontId="4" fillId="0" borderId="13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89" fontId="8" fillId="0" borderId="13" xfId="0" applyNumberFormat="1" applyFont="1" applyBorder="1" applyAlignment="1">
      <alignment horizontal="center"/>
    </xf>
    <xf numFmtId="189" fontId="8" fillId="0" borderId="17" xfId="0" applyNumberFormat="1" applyFont="1" applyBorder="1" applyAlignment="1">
      <alignment horizontal="center"/>
    </xf>
    <xf numFmtId="49" fontId="20" fillId="0" borderId="65" xfId="0" applyNumberFormat="1" applyFont="1" applyBorder="1" applyAlignment="1" applyProtection="1">
      <alignment horizontal="center"/>
      <protection locked="0"/>
    </xf>
    <xf numFmtId="49" fontId="20" fillId="0" borderId="5" xfId="0" applyNumberFormat="1" applyFont="1" applyBorder="1" applyAlignment="1" applyProtection="1">
      <alignment horizontal="center"/>
      <protection locked="0"/>
    </xf>
    <xf numFmtId="3" fontId="20" fillId="0" borderId="5" xfId="0" applyNumberFormat="1" applyFont="1" applyBorder="1" applyAlignment="1" applyProtection="1">
      <alignment horizontal="center"/>
      <protection locked="0"/>
    </xf>
    <xf numFmtId="0" fontId="20" fillId="0" borderId="5" xfId="0" applyNumberFormat="1" applyFont="1" applyBorder="1" applyAlignment="1" applyProtection="1">
      <alignment horizontal="center"/>
      <protection locked="0"/>
    </xf>
    <xf numFmtId="2" fontId="20" fillId="0" borderId="5" xfId="0" applyNumberFormat="1" applyFont="1" applyBorder="1" applyAlignment="1" applyProtection="1">
      <alignment horizontal="center"/>
      <protection locked="0"/>
    </xf>
    <xf numFmtId="189" fontId="20" fillId="0" borderId="5" xfId="0" applyNumberFormat="1" applyFont="1" applyBorder="1" applyAlignment="1" applyProtection="1">
      <alignment horizontal="center"/>
      <protection locked="0"/>
    </xf>
    <xf numFmtId="189" fontId="12" fillId="0" borderId="5" xfId="0" applyNumberFormat="1" applyFont="1" applyBorder="1" applyAlignment="1">
      <alignment horizontal="center"/>
    </xf>
    <xf numFmtId="0" fontId="19" fillId="0" borderId="0" xfId="0" applyNumberFormat="1" applyFont="1" applyBorder="1" applyAlignment="1"/>
    <xf numFmtId="0" fontId="3" fillId="0" borderId="0" xfId="0" applyNumberFormat="1" applyFont="1" applyBorder="1" applyAlignment="1"/>
    <xf numFmtId="2" fontId="3" fillId="0" borderId="0" xfId="0" applyNumberFormat="1" applyFont="1" applyBorder="1" applyAlignment="1"/>
    <xf numFmtId="194" fontId="8" fillId="0" borderId="9" xfId="0" applyNumberFormat="1" applyFont="1" applyBorder="1"/>
    <xf numFmtId="0" fontId="22" fillId="0" borderId="0" xfId="0" applyFont="1"/>
    <xf numFmtId="14" fontId="6" fillId="0" borderId="4" xfId="0" applyNumberFormat="1" applyFont="1" applyBorder="1" applyAlignment="1" applyProtection="1">
      <alignment horizontal="center"/>
      <protection locked="0"/>
    </xf>
    <xf numFmtId="0" fontId="8" fillId="0" borderId="0" xfId="0" applyNumberFormat="1" applyFont="1" applyBorder="1" applyAlignment="1"/>
    <xf numFmtId="0" fontId="0" fillId="0" borderId="0" xfId="0" applyAlignment="1"/>
    <xf numFmtId="0" fontId="0" fillId="0" borderId="9" xfId="0" applyBorder="1" applyAlignment="1"/>
    <xf numFmtId="0" fontId="8" fillId="0" borderId="32" xfId="0" applyNumberFormat="1" applyFont="1" applyBorder="1" applyAlignment="1">
      <alignment horizontal="center"/>
    </xf>
    <xf numFmtId="0" fontId="8" fillId="0" borderId="39" xfId="0" applyNumberFormat="1" applyFont="1" applyBorder="1" applyAlignment="1">
      <alignment horizontal="center"/>
    </xf>
    <xf numFmtId="0" fontId="9" fillId="0" borderId="28" xfId="0" applyNumberFormat="1" applyFont="1" applyBorder="1" applyAlignment="1" applyProtection="1">
      <alignment horizontal="justify"/>
      <protection locked="0"/>
    </xf>
    <xf numFmtId="0" fontId="8" fillId="0" borderId="28" xfId="0" applyFont="1" applyBorder="1" applyAlignment="1">
      <alignment horizontal="justify"/>
    </xf>
    <xf numFmtId="0" fontId="9" fillId="0" borderId="58" xfId="0" applyNumberFormat="1" applyFont="1" applyBorder="1" applyAlignment="1" applyProtection="1">
      <alignment horizontal="justify"/>
      <protection locked="0"/>
    </xf>
    <xf numFmtId="0" fontId="8" fillId="0" borderId="66" xfId="0" applyFont="1" applyBorder="1" applyAlignment="1">
      <alignment horizontal="justify"/>
    </xf>
    <xf numFmtId="0" fontId="9" fillId="0" borderId="67" xfId="0" applyNumberFormat="1" applyFont="1" applyBorder="1" applyAlignment="1" applyProtection="1">
      <alignment horizontal="justify"/>
      <protection locked="0"/>
    </xf>
    <xf numFmtId="0" fontId="0" fillId="0" borderId="68" xfId="0" applyBorder="1" applyAlignment="1">
      <alignment horizontal="justify"/>
    </xf>
    <xf numFmtId="0" fontId="18" fillId="0" borderId="0" xfId="1" applyFont="1" applyAlignment="1">
      <alignment horizontal="center"/>
    </xf>
  </cellXfs>
  <cellStyles count="2">
    <cellStyle name="Normal_SAT C JULY 06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5"/>
  <sheetViews>
    <sheetView showOutlineSymbols="0" view="pageLayout" topLeftCell="A10" zoomScaleNormal="87" workbookViewId="0">
      <selection activeCell="F22" sqref="F22"/>
    </sheetView>
  </sheetViews>
  <sheetFormatPr defaultColWidth="9.609375" defaultRowHeight="15" x14ac:dyDescent="0.4"/>
  <cols>
    <col min="1" max="1" width="9.44140625" style="1" customWidth="1"/>
    <col min="2" max="2" width="7" style="1" customWidth="1"/>
    <col min="3" max="3" width="12.88671875" style="1" customWidth="1"/>
    <col min="4" max="4" width="10.83203125" style="1" customWidth="1"/>
    <col min="5" max="5" width="8.609375" style="1" customWidth="1"/>
    <col min="6" max="6" width="11.109375" style="1" customWidth="1"/>
    <col min="7" max="7" width="5.609375" style="1" customWidth="1"/>
    <col min="8" max="8" width="6.38671875" style="204" customWidth="1"/>
    <col min="9" max="9" width="7.38671875" style="1" customWidth="1"/>
    <col min="10" max="10" width="8.609375" style="1" customWidth="1"/>
    <col min="11" max="11" width="9.609375" style="1" customWidth="1"/>
    <col min="12" max="12" width="9.83203125" style="1" customWidth="1"/>
    <col min="13" max="13" width="0.109375" style="204" customWidth="1"/>
    <col min="14" max="16384" width="9.609375" style="1"/>
  </cols>
  <sheetData>
    <row r="1" spans="1:19" ht="15.4" thickBot="1" x14ac:dyDescent="0.45"/>
    <row r="2" spans="1:19" ht="21.75" customHeight="1" x14ac:dyDescent="0.5">
      <c r="A2" s="321" t="s">
        <v>76</v>
      </c>
      <c r="B2" s="21"/>
      <c r="C2" s="21"/>
      <c r="D2" s="210" t="s">
        <v>72</v>
      </c>
      <c r="E2" s="22"/>
      <c r="F2" s="22"/>
      <c r="G2" s="22"/>
      <c r="H2" s="265"/>
      <c r="I2" s="21"/>
      <c r="J2" s="21"/>
      <c r="K2" s="203" t="s">
        <v>73</v>
      </c>
      <c r="L2" s="19"/>
    </row>
    <row r="3" spans="1:19" ht="21.75" customHeight="1" x14ac:dyDescent="0.5">
      <c r="A3" s="23"/>
      <c r="B3" s="19"/>
      <c r="C3" s="19"/>
      <c r="D3" s="317"/>
      <c r="E3" s="318"/>
      <c r="F3" s="318"/>
      <c r="G3" s="318"/>
      <c r="H3" s="319"/>
      <c r="I3" s="19"/>
      <c r="J3" s="19"/>
      <c r="K3" s="320"/>
      <c r="L3" s="19"/>
    </row>
    <row r="4" spans="1:19" x14ac:dyDescent="0.4">
      <c r="A4" s="23" t="s">
        <v>37</v>
      </c>
      <c r="B4" s="24"/>
      <c r="C4" s="318" t="s">
        <v>75</v>
      </c>
      <c r="D4" s="24"/>
      <c r="E4" s="24"/>
      <c r="F4" s="24"/>
      <c r="G4" s="19"/>
      <c r="H4" s="266"/>
      <c r="I4" s="24"/>
      <c r="J4" s="24"/>
      <c r="K4" s="25"/>
      <c r="L4" s="19"/>
    </row>
    <row r="5" spans="1:19" x14ac:dyDescent="0.4">
      <c r="A5" s="23" t="s">
        <v>0</v>
      </c>
      <c r="B5" s="24"/>
      <c r="C5" s="323" t="s">
        <v>74</v>
      </c>
      <c r="D5" s="324"/>
      <c r="E5" s="324"/>
      <c r="F5" s="324"/>
      <c r="G5" s="324"/>
      <c r="H5" s="324"/>
      <c r="I5" s="324"/>
      <c r="J5" s="324"/>
      <c r="K5" s="325"/>
      <c r="L5" s="19"/>
      <c r="N5" s="3" t="s">
        <v>4</v>
      </c>
      <c r="S5" s="3" t="s">
        <v>4</v>
      </c>
    </row>
    <row r="6" spans="1:19" x14ac:dyDescent="0.4">
      <c r="A6" s="19" t="s">
        <v>1</v>
      </c>
      <c r="B6" s="24"/>
      <c r="C6" s="24" t="s">
        <v>5</v>
      </c>
      <c r="D6" s="24"/>
      <c r="E6" s="24"/>
      <c r="F6" s="24"/>
      <c r="G6" s="19"/>
      <c r="H6" s="266"/>
      <c r="I6" s="24"/>
      <c r="J6" s="24"/>
      <c r="K6" s="24"/>
      <c r="L6" s="19"/>
    </row>
    <row r="7" spans="1:19" ht="15.4" thickBot="1" x14ac:dyDescent="0.45">
      <c r="A7" s="23"/>
      <c r="B7" s="24"/>
      <c r="C7" s="24"/>
      <c r="D7" s="24"/>
      <c r="E7" s="24"/>
      <c r="F7" s="24"/>
      <c r="G7" s="19"/>
      <c r="H7" s="266"/>
      <c r="I7" s="24"/>
      <c r="J7" s="24"/>
      <c r="K7" s="25"/>
      <c r="L7" s="19"/>
    </row>
    <row r="8" spans="1:19" ht="47.25" customHeight="1" x14ac:dyDescent="0.4">
      <c r="A8" s="140" t="s">
        <v>2</v>
      </c>
      <c r="B8" s="13" t="s">
        <v>3</v>
      </c>
      <c r="C8" s="13" t="s">
        <v>6</v>
      </c>
      <c r="D8" s="13" t="s">
        <v>8</v>
      </c>
      <c r="E8" s="13" t="s">
        <v>9</v>
      </c>
      <c r="F8" s="13" t="s">
        <v>27</v>
      </c>
      <c r="G8" s="13" t="s">
        <v>11</v>
      </c>
      <c r="H8" s="267" t="s">
        <v>12</v>
      </c>
      <c r="I8" s="13" t="s">
        <v>13</v>
      </c>
      <c r="J8" s="13" t="s">
        <v>14</v>
      </c>
      <c r="K8" s="14" t="s">
        <v>15</v>
      </c>
      <c r="L8" s="11" t="s">
        <v>4</v>
      </c>
      <c r="M8" s="205" t="s">
        <v>31</v>
      </c>
    </row>
    <row r="9" spans="1:19" x14ac:dyDescent="0.4">
      <c r="A9" s="258" t="s">
        <v>68</v>
      </c>
      <c r="B9" s="259" t="s">
        <v>69</v>
      </c>
      <c r="C9" s="260" t="s">
        <v>65</v>
      </c>
      <c r="D9" s="261"/>
      <c r="E9" s="262">
        <v>69</v>
      </c>
      <c r="F9" s="263" t="s">
        <v>66</v>
      </c>
      <c r="G9" s="263"/>
      <c r="H9" s="268">
        <v>2.4</v>
      </c>
      <c r="I9" s="264"/>
      <c r="J9" s="35">
        <f t="shared" ref="J9:J26" si="0">IF(F9="TLX",ROUND(M9/32*H9,2),ROUND(M9*H9,2))</f>
        <v>2.76</v>
      </c>
      <c r="K9" s="36">
        <f t="shared" ref="K9:K26" si="1">SUM(I9+J9)</f>
        <v>2.76</v>
      </c>
      <c r="L9" s="12"/>
      <c r="M9" s="206">
        <f>ROUND(D9+E9/60,2)</f>
        <v>1.1499999999999999</v>
      </c>
    </row>
    <row r="10" spans="1:19" x14ac:dyDescent="0.4">
      <c r="A10" s="258"/>
      <c r="B10" s="259"/>
      <c r="C10" s="260"/>
      <c r="D10" s="261"/>
      <c r="E10" s="262"/>
      <c r="F10" s="263"/>
      <c r="G10" s="263"/>
      <c r="H10" s="268"/>
      <c r="I10" s="264"/>
      <c r="J10" s="35">
        <f t="shared" si="0"/>
        <v>0</v>
      </c>
      <c r="K10" s="36">
        <f t="shared" si="1"/>
        <v>0</v>
      </c>
      <c r="L10" s="12"/>
      <c r="M10" s="206">
        <f>ROUND(D10+E10/60,2)</f>
        <v>0</v>
      </c>
    </row>
    <row r="11" spans="1:19" x14ac:dyDescent="0.4">
      <c r="A11" s="258"/>
      <c r="B11" s="259"/>
      <c r="C11" s="260"/>
      <c r="D11" s="261"/>
      <c r="E11" s="262"/>
      <c r="F11" s="263"/>
      <c r="G11" s="113"/>
      <c r="H11" s="268"/>
      <c r="I11" s="264"/>
      <c r="J11" s="35">
        <f t="shared" si="0"/>
        <v>0</v>
      </c>
      <c r="K11" s="36">
        <f t="shared" si="1"/>
        <v>0</v>
      </c>
      <c r="L11" s="12"/>
      <c r="M11" s="206">
        <f t="shared" ref="M11:M65" si="2">ROUND(D11+E11/60,2)</f>
        <v>0</v>
      </c>
    </row>
    <row r="12" spans="1:19" x14ac:dyDescent="0.4">
      <c r="A12" s="258"/>
      <c r="B12" s="259"/>
      <c r="C12" s="260"/>
      <c r="D12" s="261"/>
      <c r="E12" s="262"/>
      <c r="F12" s="263"/>
      <c r="G12" s="263"/>
      <c r="H12" s="268"/>
      <c r="I12" s="264"/>
      <c r="J12" s="35">
        <f t="shared" si="0"/>
        <v>0</v>
      </c>
      <c r="K12" s="36">
        <f t="shared" si="1"/>
        <v>0</v>
      </c>
      <c r="L12" s="12"/>
      <c r="M12" s="206">
        <f t="shared" si="2"/>
        <v>0</v>
      </c>
      <c r="O12" s="162"/>
    </row>
    <row r="13" spans="1:19" x14ac:dyDescent="0.4">
      <c r="A13" s="258"/>
      <c r="B13" s="259"/>
      <c r="C13" s="260"/>
      <c r="D13" s="262"/>
      <c r="E13" s="262"/>
      <c r="F13" s="263"/>
      <c r="G13" s="263"/>
      <c r="H13" s="268"/>
      <c r="I13" s="264"/>
      <c r="J13" s="35">
        <f t="shared" si="0"/>
        <v>0</v>
      </c>
      <c r="K13" s="36">
        <f t="shared" si="1"/>
        <v>0</v>
      </c>
      <c r="L13" s="12"/>
      <c r="M13" s="206">
        <f t="shared" si="2"/>
        <v>0</v>
      </c>
    </row>
    <row r="14" spans="1:19" x14ac:dyDescent="0.4">
      <c r="A14" s="258"/>
      <c r="B14" s="259"/>
      <c r="C14" s="260"/>
      <c r="D14" s="261"/>
      <c r="E14" s="262"/>
      <c r="F14" s="263"/>
      <c r="G14" s="263"/>
      <c r="H14" s="268"/>
      <c r="I14" s="264"/>
      <c r="J14" s="35">
        <f t="shared" si="0"/>
        <v>0</v>
      </c>
      <c r="K14" s="36">
        <f t="shared" si="1"/>
        <v>0</v>
      </c>
      <c r="L14" s="12"/>
      <c r="M14" s="206">
        <f t="shared" si="2"/>
        <v>0</v>
      </c>
    </row>
    <row r="15" spans="1:19" x14ac:dyDescent="0.4">
      <c r="A15" s="258"/>
      <c r="B15" s="259"/>
      <c r="C15" s="260"/>
      <c r="D15" s="261"/>
      <c r="E15" s="262"/>
      <c r="F15" s="263"/>
      <c r="G15" s="263"/>
      <c r="H15" s="268"/>
      <c r="I15" s="264"/>
      <c r="J15" s="35">
        <f t="shared" si="0"/>
        <v>0</v>
      </c>
      <c r="K15" s="36">
        <f t="shared" si="1"/>
        <v>0</v>
      </c>
      <c r="L15" s="12"/>
      <c r="M15" s="206">
        <f t="shared" si="2"/>
        <v>0</v>
      </c>
    </row>
    <row r="16" spans="1:19" x14ac:dyDescent="0.4">
      <c r="A16" s="258"/>
      <c r="B16" s="259"/>
      <c r="C16" s="260"/>
      <c r="D16" s="261"/>
      <c r="E16" s="262"/>
      <c r="F16" s="263"/>
      <c r="G16" s="263"/>
      <c r="H16" s="268"/>
      <c r="I16" s="264"/>
      <c r="J16" s="35">
        <f t="shared" si="0"/>
        <v>0</v>
      </c>
      <c r="K16" s="36">
        <f t="shared" si="1"/>
        <v>0</v>
      </c>
      <c r="L16" s="12"/>
      <c r="M16" s="206">
        <f t="shared" si="2"/>
        <v>0</v>
      </c>
    </row>
    <row r="17" spans="1:14" x14ac:dyDescent="0.4">
      <c r="A17" s="258"/>
      <c r="B17" s="259"/>
      <c r="C17" s="260"/>
      <c r="D17" s="261"/>
      <c r="E17" s="262"/>
      <c r="F17" s="263"/>
      <c r="G17" s="263"/>
      <c r="H17" s="268"/>
      <c r="I17" s="264"/>
      <c r="J17" s="35">
        <f>IF(F17="TLX",ROUND(M17/32*H17,2),ROUND(M17*H17,2))</f>
        <v>0</v>
      </c>
      <c r="K17" s="36">
        <f>SUM(I17+J17)</f>
        <v>0</v>
      </c>
      <c r="L17" s="12"/>
      <c r="M17" s="206">
        <f>ROUND(D17+E17/60,2)</f>
        <v>0</v>
      </c>
    </row>
    <row r="18" spans="1:14" x14ac:dyDescent="0.4">
      <c r="A18" s="258"/>
      <c r="B18" s="259"/>
      <c r="C18" s="260"/>
      <c r="D18" s="261"/>
      <c r="E18" s="262"/>
      <c r="F18" s="263"/>
      <c r="G18" s="263"/>
      <c r="H18" s="268"/>
      <c r="I18" s="264"/>
      <c r="J18" s="35">
        <f>IF(F18="TLX",ROUND(M18/32*H18,2),ROUND(M18*H18,2))</f>
        <v>0</v>
      </c>
      <c r="K18" s="36">
        <f>SUM(I18+J18)</f>
        <v>0</v>
      </c>
      <c r="L18" s="12"/>
      <c r="M18" s="206">
        <f>ROUND(D18+E18/60,2)</f>
        <v>0</v>
      </c>
    </row>
    <row r="19" spans="1:14" x14ac:dyDescent="0.4">
      <c r="A19" s="258" t="s">
        <v>68</v>
      </c>
      <c r="B19" s="259" t="s">
        <v>70</v>
      </c>
      <c r="C19" s="260" t="s">
        <v>71</v>
      </c>
      <c r="D19" s="261"/>
      <c r="E19" s="262">
        <v>360</v>
      </c>
      <c r="F19" s="263" t="s">
        <v>67</v>
      </c>
      <c r="G19" s="263"/>
      <c r="H19" s="268">
        <v>1.56</v>
      </c>
      <c r="I19" s="264"/>
      <c r="J19" s="35">
        <f>IF(F19="TLX",ROUND(M19/32*H19,2),ROUND(M19*H19,2))</f>
        <v>9.36</v>
      </c>
      <c r="K19" s="36">
        <f>SUM(I19+J19)</f>
        <v>9.36</v>
      </c>
      <c r="L19" s="12"/>
      <c r="M19" s="206">
        <f>ROUND(D19+E19/60,2)</f>
        <v>6</v>
      </c>
    </row>
    <row r="20" spans="1:14" x14ac:dyDescent="0.4">
      <c r="A20" s="258"/>
      <c r="B20" s="259"/>
      <c r="C20" s="260"/>
      <c r="D20" s="262"/>
      <c r="E20" s="262"/>
      <c r="F20" s="263"/>
      <c r="G20" s="263"/>
      <c r="H20" s="268"/>
      <c r="I20" s="264"/>
      <c r="J20" s="35">
        <f t="shared" si="0"/>
        <v>0</v>
      </c>
      <c r="K20" s="36">
        <f t="shared" si="1"/>
        <v>0</v>
      </c>
      <c r="L20" s="12"/>
      <c r="M20" s="206">
        <f t="shared" si="2"/>
        <v>0</v>
      </c>
      <c r="N20" s="161"/>
    </row>
    <row r="21" spans="1:14" x14ac:dyDescent="0.4">
      <c r="A21" s="258"/>
      <c r="B21" s="259"/>
      <c r="C21" s="259"/>
      <c r="D21" s="262"/>
      <c r="E21" s="262"/>
      <c r="F21" s="263"/>
      <c r="G21" s="263"/>
      <c r="H21" s="268"/>
      <c r="I21" s="264"/>
      <c r="J21" s="35">
        <f t="shared" si="0"/>
        <v>0</v>
      </c>
      <c r="K21" s="36">
        <f t="shared" si="1"/>
        <v>0</v>
      </c>
      <c r="L21" s="12"/>
      <c r="M21" s="206">
        <f t="shared" si="2"/>
        <v>0</v>
      </c>
      <c r="N21" s="161"/>
    </row>
    <row r="22" spans="1:14" x14ac:dyDescent="0.4">
      <c r="A22" s="258"/>
      <c r="B22" s="259"/>
      <c r="C22" s="260"/>
      <c r="D22" s="261"/>
      <c r="E22" s="262"/>
      <c r="F22" s="263"/>
      <c r="G22" s="263"/>
      <c r="H22" s="268"/>
      <c r="I22" s="264"/>
      <c r="J22" s="35">
        <f t="shared" si="0"/>
        <v>0</v>
      </c>
      <c r="K22" s="36">
        <f t="shared" si="1"/>
        <v>0</v>
      </c>
      <c r="L22" s="12"/>
      <c r="M22" s="206">
        <f t="shared" si="2"/>
        <v>0</v>
      </c>
      <c r="N22" s="161"/>
    </row>
    <row r="23" spans="1:14" x14ac:dyDescent="0.4">
      <c r="A23" s="258"/>
      <c r="B23" s="259"/>
      <c r="C23" s="260"/>
      <c r="D23" s="261"/>
      <c r="E23" s="262"/>
      <c r="F23" s="263"/>
      <c r="G23" s="263"/>
      <c r="H23" s="268"/>
      <c r="I23" s="264"/>
      <c r="J23" s="35">
        <f t="shared" si="0"/>
        <v>0</v>
      </c>
      <c r="K23" s="36">
        <f t="shared" si="1"/>
        <v>0</v>
      </c>
      <c r="L23" s="12"/>
      <c r="M23" s="206">
        <f t="shared" si="2"/>
        <v>0</v>
      </c>
      <c r="N23" s="161"/>
    </row>
    <row r="24" spans="1:14" x14ac:dyDescent="0.4">
      <c r="A24" s="258"/>
      <c r="B24" s="259"/>
      <c r="C24" s="260"/>
      <c r="D24" s="261"/>
      <c r="E24" s="262"/>
      <c r="F24" s="263"/>
      <c r="G24" s="263"/>
      <c r="H24" s="268"/>
      <c r="I24" s="264"/>
      <c r="J24" s="35">
        <f t="shared" si="0"/>
        <v>0</v>
      </c>
      <c r="K24" s="36">
        <f t="shared" si="1"/>
        <v>0</v>
      </c>
      <c r="L24" s="12"/>
      <c r="M24" s="206">
        <f t="shared" si="2"/>
        <v>0</v>
      </c>
      <c r="N24" s="161"/>
    </row>
    <row r="25" spans="1:14" x14ac:dyDescent="0.4">
      <c r="A25" s="258"/>
      <c r="B25" s="259"/>
      <c r="C25" s="260"/>
      <c r="D25" s="262"/>
      <c r="E25" s="262"/>
      <c r="F25" s="263"/>
      <c r="G25" s="263"/>
      <c r="H25" s="268"/>
      <c r="I25" s="264"/>
      <c r="J25" s="35">
        <f t="shared" si="0"/>
        <v>0</v>
      </c>
      <c r="K25" s="36">
        <f t="shared" si="1"/>
        <v>0</v>
      </c>
      <c r="L25" s="12"/>
      <c r="M25" s="206">
        <f t="shared" si="2"/>
        <v>0</v>
      </c>
      <c r="N25" s="161"/>
    </row>
    <row r="26" spans="1:14" x14ac:dyDescent="0.4">
      <c r="A26" s="258"/>
      <c r="B26" s="259"/>
      <c r="C26" s="260"/>
      <c r="D26" s="262"/>
      <c r="E26" s="262"/>
      <c r="F26" s="263"/>
      <c r="G26" s="263"/>
      <c r="H26" s="268"/>
      <c r="I26" s="264"/>
      <c r="J26" s="35">
        <f t="shared" si="0"/>
        <v>0</v>
      </c>
      <c r="K26" s="36">
        <f t="shared" si="1"/>
        <v>0</v>
      </c>
      <c r="L26" s="12"/>
      <c r="M26" s="206">
        <f t="shared" si="2"/>
        <v>0</v>
      </c>
    </row>
    <row r="27" spans="1:14" x14ac:dyDescent="0.4">
      <c r="A27" s="258"/>
      <c r="B27" s="259"/>
      <c r="C27" s="260"/>
      <c r="D27" s="262"/>
      <c r="E27" s="262"/>
      <c r="F27" s="263"/>
      <c r="G27" s="263"/>
      <c r="H27" s="268"/>
      <c r="I27" s="264"/>
      <c r="J27" s="35">
        <f t="shared" ref="J27:J33" si="3">IF(F27="TLX",ROUND(M27/32*H27,2),ROUND(M27*H27,2))</f>
        <v>0</v>
      </c>
      <c r="K27" s="36">
        <f t="shared" ref="K27:K33" si="4">SUM(I27+J27)</f>
        <v>0</v>
      </c>
      <c r="L27" s="12"/>
      <c r="M27" s="206">
        <f t="shared" si="2"/>
        <v>0</v>
      </c>
    </row>
    <row r="28" spans="1:14" x14ac:dyDescent="0.4">
      <c r="A28" s="258"/>
      <c r="B28" s="259"/>
      <c r="C28" s="260"/>
      <c r="D28" s="262"/>
      <c r="E28" s="262"/>
      <c r="F28" s="263"/>
      <c r="G28" s="263"/>
      <c r="H28" s="268"/>
      <c r="I28" s="264"/>
      <c r="J28" s="287">
        <f t="shared" si="3"/>
        <v>0</v>
      </c>
      <c r="K28" s="288">
        <f t="shared" si="4"/>
        <v>0</v>
      </c>
      <c r="L28" s="12"/>
      <c r="M28" s="206">
        <f t="shared" si="2"/>
        <v>0</v>
      </c>
    </row>
    <row r="29" spans="1:14" x14ac:dyDescent="0.4">
      <c r="A29" s="258"/>
      <c r="B29" s="259"/>
      <c r="C29" s="260"/>
      <c r="D29" s="262"/>
      <c r="E29" s="262"/>
      <c r="F29" s="263"/>
      <c r="G29" s="263"/>
      <c r="H29" s="268"/>
      <c r="I29" s="264"/>
      <c r="J29" s="287">
        <f t="shared" si="3"/>
        <v>0</v>
      </c>
      <c r="K29" s="288">
        <f t="shared" si="4"/>
        <v>0</v>
      </c>
      <c r="L29" s="12"/>
      <c r="M29" s="206">
        <f t="shared" si="2"/>
        <v>0</v>
      </c>
    </row>
    <row r="30" spans="1:14" x14ac:dyDescent="0.4">
      <c r="A30" s="258"/>
      <c r="B30" s="259"/>
      <c r="C30" s="260"/>
      <c r="D30" s="262"/>
      <c r="E30" s="262"/>
      <c r="F30" s="263"/>
      <c r="G30" s="263"/>
      <c r="H30" s="268"/>
      <c r="I30" s="264"/>
      <c r="J30" s="287">
        <f t="shared" si="3"/>
        <v>0</v>
      </c>
      <c r="K30" s="288">
        <f t="shared" si="4"/>
        <v>0</v>
      </c>
      <c r="L30" s="12"/>
      <c r="M30" s="206">
        <f t="shared" si="2"/>
        <v>0</v>
      </c>
    </row>
    <row r="31" spans="1:14" x14ac:dyDescent="0.4">
      <c r="A31" s="258"/>
      <c r="B31" s="259"/>
      <c r="C31" s="260"/>
      <c r="D31" s="262"/>
      <c r="E31" s="262"/>
      <c r="F31" s="263"/>
      <c r="G31" s="263"/>
      <c r="H31" s="268"/>
      <c r="I31" s="264"/>
      <c r="J31" s="287">
        <f>IF(F31="TLX",ROUND(M31/32*H31,2),ROUND(M31*H31,2))</f>
        <v>0</v>
      </c>
      <c r="K31" s="288">
        <f>SUM(I31+J31)</f>
        <v>0</v>
      </c>
      <c r="L31" s="12"/>
      <c r="M31" s="206">
        <f>ROUND(D31+E31/60,2)</f>
        <v>0</v>
      </c>
    </row>
    <row r="32" spans="1:14" x14ac:dyDescent="0.4">
      <c r="A32" s="258"/>
      <c r="B32" s="259"/>
      <c r="C32" s="271"/>
      <c r="D32" s="262"/>
      <c r="E32" s="262"/>
      <c r="F32" s="263"/>
      <c r="G32" s="263"/>
      <c r="H32" s="268"/>
      <c r="I32" s="272"/>
      <c r="J32" s="287">
        <f t="shared" si="3"/>
        <v>0</v>
      </c>
      <c r="K32" s="288">
        <f t="shared" si="4"/>
        <v>0</v>
      </c>
      <c r="L32" s="12"/>
      <c r="M32" s="206">
        <f t="shared" si="2"/>
        <v>0</v>
      </c>
    </row>
    <row r="33" spans="1:15" x14ac:dyDescent="0.4">
      <c r="A33" s="258"/>
      <c r="B33" s="259"/>
      <c r="C33" s="271"/>
      <c r="D33" s="262"/>
      <c r="E33" s="262"/>
      <c r="F33" s="263"/>
      <c r="G33" s="263"/>
      <c r="H33" s="268"/>
      <c r="I33" s="272"/>
      <c r="J33" s="287">
        <f t="shared" si="3"/>
        <v>0</v>
      </c>
      <c r="K33" s="288">
        <f t="shared" si="4"/>
        <v>0</v>
      </c>
      <c r="L33" s="12"/>
      <c r="M33" s="206">
        <f t="shared" si="2"/>
        <v>0</v>
      </c>
    </row>
    <row r="34" spans="1:15" x14ac:dyDescent="0.4">
      <c r="A34" s="258"/>
      <c r="B34" s="259"/>
      <c r="C34" s="271"/>
      <c r="D34" s="262"/>
      <c r="E34" s="262"/>
      <c r="F34" s="263"/>
      <c r="G34" s="263"/>
      <c r="H34" s="268"/>
      <c r="I34" s="264"/>
      <c r="J34" s="287">
        <f t="shared" ref="J34:J45" si="5">IF(F34="TLX",ROUND(M34/32*H34,2),ROUND(M34*H34,2))</f>
        <v>0</v>
      </c>
      <c r="K34" s="288">
        <f t="shared" ref="K34:K45" si="6">SUM(I34+J34)</f>
        <v>0</v>
      </c>
      <c r="L34" s="12"/>
      <c r="M34" s="206">
        <f t="shared" si="2"/>
        <v>0</v>
      </c>
    </row>
    <row r="35" spans="1:15" x14ac:dyDescent="0.4">
      <c r="A35" s="258"/>
      <c r="B35" s="259"/>
      <c r="C35" s="271"/>
      <c r="D35" s="262"/>
      <c r="E35" s="262"/>
      <c r="F35" s="263"/>
      <c r="G35" s="263"/>
      <c r="H35" s="268"/>
      <c r="I35" s="264"/>
      <c r="J35" s="287">
        <f t="shared" si="5"/>
        <v>0</v>
      </c>
      <c r="K35" s="288">
        <f t="shared" si="6"/>
        <v>0</v>
      </c>
      <c r="L35" s="12"/>
      <c r="M35" s="206">
        <f t="shared" si="2"/>
        <v>0</v>
      </c>
    </row>
    <row r="36" spans="1:15" x14ac:dyDescent="0.4">
      <c r="A36" s="258"/>
      <c r="B36" s="259"/>
      <c r="C36" s="271"/>
      <c r="D36" s="262"/>
      <c r="E36" s="262"/>
      <c r="F36" s="263"/>
      <c r="G36" s="263"/>
      <c r="H36" s="268"/>
      <c r="I36" s="264"/>
      <c r="J36" s="287">
        <f t="shared" si="5"/>
        <v>0</v>
      </c>
      <c r="K36" s="288">
        <f t="shared" si="6"/>
        <v>0</v>
      </c>
      <c r="L36" s="12"/>
      <c r="M36" s="206">
        <f t="shared" si="2"/>
        <v>0</v>
      </c>
    </row>
    <row r="37" spans="1:15" x14ac:dyDescent="0.4">
      <c r="A37" s="258"/>
      <c r="B37" s="259"/>
      <c r="C37" s="271"/>
      <c r="D37" s="262"/>
      <c r="E37" s="262"/>
      <c r="F37" s="263"/>
      <c r="G37" s="263"/>
      <c r="H37" s="268"/>
      <c r="I37" s="264"/>
      <c r="J37" s="287">
        <f t="shared" si="5"/>
        <v>0</v>
      </c>
      <c r="K37" s="288">
        <f t="shared" si="6"/>
        <v>0</v>
      </c>
      <c r="L37" s="12"/>
      <c r="M37" s="206">
        <f t="shared" si="2"/>
        <v>0</v>
      </c>
    </row>
    <row r="38" spans="1:15" x14ac:dyDescent="0.4">
      <c r="A38" s="258"/>
      <c r="B38" s="273"/>
      <c r="C38" s="295"/>
      <c r="D38" s="274"/>
      <c r="E38" s="274"/>
      <c r="F38" s="275"/>
      <c r="G38" s="275"/>
      <c r="H38" s="276"/>
      <c r="I38" s="277"/>
      <c r="J38" s="296">
        <f t="shared" si="5"/>
        <v>0</v>
      </c>
      <c r="K38" s="297">
        <f t="shared" si="6"/>
        <v>0</v>
      </c>
      <c r="L38" s="12"/>
      <c r="M38" s="206">
        <f t="shared" si="2"/>
        <v>0</v>
      </c>
    </row>
    <row r="39" spans="1:15" x14ac:dyDescent="0.4">
      <c r="A39" s="258"/>
      <c r="B39" s="291"/>
      <c r="C39" s="292"/>
      <c r="D39" s="293"/>
      <c r="E39" s="279"/>
      <c r="F39" s="280"/>
      <c r="G39" s="280"/>
      <c r="H39" s="281"/>
      <c r="I39" s="282"/>
      <c r="J39" s="294">
        <f t="shared" si="5"/>
        <v>0</v>
      </c>
      <c r="K39" s="41">
        <f t="shared" si="6"/>
        <v>0</v>
      </c>
      <c r="L39" s="12"/>
      <c r="M39" s="206">
        <f>ROUND(D39+E39/60,2)</f>
        <v>0</v>
      </c>
    </row>
    <row r="40" spans="1:15" x14ac:dyDescent="0.4">
      <c r="A40" s="258"/>
      <c r="B40" s="259"/>
      <c r="C40" s="260"/>
      <c r="D40" s="261"/>
      <c r="E40" s="262"/>
      <c r="F40" s="263"/>
      <c r="G40" s="263"/>
      <c r="H40" s="268"/>
      <c r="I40" s="264"/>
      <c r="J40" s="35">
        <f t="shared" si="5"/>
        <v>0</v>
      </c>
      <c r="K40" s="36">
        <f t="shared" si="6"/>
        <v>0</v>
      </c>
      <c r="L40" s="12"/>
      <c r="M40" s="206">
        <f>ROUND(D40+E40/60,2)</f>
        <v>0</v>
      </c>
    </row>
    <row r="41" spans="1:15" x14ac:dyDescent="0.4">
      <c r="A41" s="258"/>
      <c r="B41" s="259"/>
      <c r="C41" s="260"/>
      <c r="D41" s="261"/>
      <c r="E41" s="262"/>
      <c r="F41" s="263"/>
      <c r="G41" s="263"/>
      <c r="H41" s="268"/>
      <c r="I41" s="264"/>
      <c r="J41" s="35">
        <f t="shared" si="5"/>
        <v>0</v>
      </c>
      <c r="K41" s="36">
        <f t="shared" si="6"/>
        <v>0</v>
      </c>
      <c r="L41" s="12"/>
      <c r="M41" s="206">
        <f>ROUND(D41+E41/60,2)</f>
        <v>0</v>
      </c>
      <c r="O41" s="163"/>
    </row>
    <row r="42" spans="1:15" x14ac:dyDescent="0.4">
      <c r="A42" s="258"/>
      <c r="B42" s="259"/>
      <c r="C42" s="259"/>
      <c r="D42" s="262"/>
      <c r="E42" s="262"/>
      <c r="F42" s="263"/>
      <c r="G42" s="263"/>
      <c r="H42" s="268"/>
      <c r="I42" s="264"/>
      <c r="J42" s="287">
        <f t="shared" si="5"/>
        <v>0</v>
      </c>
      <c r="K42" s="288">
        <f t="shared" si="6"/>
        <v>0</v>
      </c>
      <c r="L42" s="12"/>
      <c r="M42" s="206">
        <f t="shared" si="2"/>
        <v>0</v>
      </c>
    </row>
    <row r="43" spans="1:15" x14ac:dyDescent="0.4">
      <c r="A43" s="258"/>
      <c r="B43" s="259"/>
      <c r="C43" s="259"/>
      <c r="D43" s="262"/>
      <c r="E43" s="262"/>
      <c r="F43" s="263"/>
      <c r="G43" s="263"/>
      <c r="H43" s="268"/>
      <c r="I43" s="264"/>
      <c r="J43" s="287">
        <f t="shared" si="5"/>
        <v>0</v>
      </c>
      <c r="K43" s="288">
        <f t="shared" si="6"/>
        <v>0</v>
      </c>
      <c r="L43" s="12"/>
      <c r="M43" s="206">
        <f t="shared" si="2"/>
        <v>0</v>
      </c>
    </row>
    <row r="44" spans="1:15" x14ac:dyDescent="0.4">
      <c r="A44" s="258"/>
      <c r="B44" s="259"/>
      <c r="C44" s="259"/>
      <c r="D44" s="262"/>
      <c r="E44" s="262"/>
      <c r="F44" s="263"/>
      <c r="G44" s="263"/>
      <c r="H44" s="268"/>
      <c r="I44" s="264"/>
      <c r="J44" s="287">
        <f t="shared" si="5"/>
        <v>0</v>
      </c>
      <c r="K44" s="288">
        <f t="shared" si="6"/>
        <v>0</v>
      </c>
      <c r="L44" s="12"/>
      <c r="M44" s="206">
        <f t="shared" si="2"/>
        <v>0</v>
      </c>
    </row>
    <row r="45" spans="1:15" x14ac:dyDescent="0.4">
      <c r="A45" s="258"/>
      <c r="B45" s="259"/>
      <c r="C45" s="271"/>
      <c r="D45" s="262"/>
      <c r="E45" s="262"/>
      <c r="F45" s="263"/>
      <c r="G45" s="263"/>
      <c r="H45" s="268"/>
      <c r="I45" s="264"/>
      <c r="J45" s="287">
        <f t="shared" si="5"/>
        <v>0</v>
      </c>
      <c r="K45" s="288">
        <f t="shared" si="6"/>
        <v>0</v>
      </c>
      <c r="L45" s="12"/>
      <c r="M45" s="206">
        <f t="shared" si="2"/>
        <v>0</v>
      </c>
    </row>
    <row r="46" spans="1:15" x14ac:dyDescent="0.4">
      <c r="A46" s="258"/>
      <c r="B46" s="259"/>
      <c r="C46" s="271"/>
      <c r="D46" s="262"/>
      <c r="E46" s="262"/>
      <c r="F46" s="263"/>
      <c r="G46" s="263"/>
      <c r="H46" s="268"/>
      <c r="I46" s="264"/>
      <c r="J46" s="287">
        <f>IF(F46="TLX",ROUND(M46/32*H46,2),ROUND(M46*H46,2))</f>
        <v>0</v>
      </c>
      <c r="K46" s="288">
        <f>SUM(I46+J46)</f>
        <v>0</v>
      </c>
      <c r="L46" s="12"/>
      <c r="M46" s="206">
        <f t="shared" si="2"/>
        <v>0</v>
      </c>
    </row>
    <row r="47" spans="1:15" x14ac:dyDescent="0.4">
      <c r="A47" s="258"/>
      <c r="B47" s="259"/>
      <c r="C47" s="259"/>
      <c r="D47" s="262"/>
      <c r="E47" s="262"/>
      <c r="F47" s="263"/>
      <c r="G47" s="263"/>
      <c r="H47" s="268"/>
      <c r="I47" s="264"/>
      <c r="J47" s="287">
        <f>IF(F47="TLX",ROUND(M47/32*H47,2),ROUND(M47*H47,2))</f>
        <v>0</v>
      </c>
      <c r="K47" s="288">
        <f t="shared" ref="K47:K65" si="7">SUM(I47+J47)</f>
        <v>0</v>
      </c>
      <c r="L47" s="12"/>
      <c r="M47" s="206">
        <f t="shared" si="2"/>
        <v>0</v>
      </c>
    </row>
    <row r="48" spans="1:15" x14ac:dyDescent="0.4">
      <c r="A48" s="258"/>
      <c r="B48" s="259"/>
      <c r="C48" s="260"/>
      <c r="D48" s="262"/>
      <c r="E48" s="262"/>
      <c r="F48" s="263"/>
      <c r="G48" s="263"/>
      <c r="H48" s="268"/>
      <c r="I48" s="264"/>
      <c r="J48" s="287">
        <f t="shared" ref="J48:J65" si="8">IF(F48="TLX",ROUND(M48/32*H48,2),ROUND(M48*H48,2))</f>
        <v>0</v>
      </c>
      <c r="K48" s="288">
        <f t="shared" si="7"/>
        <v>0</v>
      </c>
      <c r="L48" s="12"/>
      <c r="M48" s="206">
        <f t="shared" si="2"/>
        <v>0</v>
      </c>
    </row>
    <row r="49" spans="1:13" x14ac:dyDescent="0.4">
      <c r="A49" s="258"/>
      <c r="B49" s="259"/>
      <c r="C49" s="259"/>
      <c r="D49" s="262"/>
      <c r="E49" s="262"/>
      <c r="F49" s="263"/>
      <c r="G49" s="263"/>
      <c r="H49" s="268"/>
      <c r="I49" s="264"/>
      <c r="J49" s="287">
        <f t="shared" si="8"/>
        <v>0</v>
      </c>
      <c r="K49" s="288">
        <f t="shared" si="7"/>
        <v>0</v>
      </c>
      <c r="L49" s="12"/>
      <c r="M49" s="206">
        <f t="shared" si="2"/>
        <v>0</v>
      </c>
    </row>
    <row r="50" spans="1:13" x14ac:dyDescent="0.4">
      <c r="A50" s="258"/>
      <c r="B50" s="259"/>
      <c r="C50" s="259"/>
      <c r="D50" s="262"/>
      <c r="E50" s="262"/>
      <c r="F50" s="263"/>
      <c r="G50" s="263"/>
      <c r="H50" s="268"/>
      <c r="I50" s="264"/>
      <c r="J50" s="287">
        <f t="shared" si="8"/>
        <v>0</v>
      </c>
      <c r="K50" s="288">
        <f t="shared" si="7"/>
        <v>0</v>
      </c>
      <c r="L50" s="12"/>
      <c r="M50" s="206">
        <f t="shared" si="2"/>
        <v>0</v>
      </c>
    </row>
    <row r="51" spans="1:13" x14ac:dyDescent="0.4">
      <c r="A51" s="258"/>
      <c r="B51" s="273"/>
      <c r="C51" s="273"/>
      <c r="D51" s="274"/>
      <c r="E51" s="274"/>
      <c r="F51" s="275"/>
      <c r="G51" s="275"/>
      <c r="H51" s="276"/>
      <c r="I51" s="277"/>
      <c r="J51" s="287">
        <f t="shared" si="8"/>
        <v>0</v>
      </c>
      <c r="K51" s="288">
        <f t="shared" si="7"/>
        <v>0</v>
      </c>
      <c r="L51" s="12"/>
      <c r="M51" s="206">
        <f t="shared" si="2"/>
        <v>0</v>
      </c>
    </row>
    <row r="52" spans="1:13" x14ac:dyDescent="0.4">
      <c r="A52" s="258"/>
      <c r="B52" s="278"/>
      <c r="C52" s="278"/>
      <c r="D52" s="279"/>
      <c r="E52" s="279"/>
      <c r="F52" s="280"/>
      <c r="G52" s="280"/>
      <c r="H52" s="281"/>
      <c r="I52" s="282"/>
      <c r="J52" s="287">
        <f t="shared" si="8"/>
        <v>0</v>
      </c>
      <c r="K52" s="288">
        <f t="shared" si="7"/>
        <v>0</v>
      </c>
      <c r="L52" s="12"/>
      <c r="M52" s="206">
        <f t="shared" si="2"/>
        <v>0</v>
      </c>
    </row>
    <row r="53" spans="1:13" x14ac:dyDescent="0.4">
      <c r="A53" s="258"/>
      <c r="B53" s="259"/>
      <c r="C53" s="259"/>
      <c r="D53" s="262"/>
      <c r="E53" s="262"/>
      <c r="F53" s="263"/>
      <c r="G53" s="263"/>
      <c r="H53" s="268"/>
      <c r="I53" s="264"/>
      <c r="J53" s="287">
        <f t="shared" si="8"/>
        <v>0</v>
      </c>
      <c r="K53" s="288">
        <f t="shared" si="7"/>
        <v>0</v>
      </c>
      <c r="L53" s="12"/>
      <c r="M53" s="206">
        <f t="shared" si="2"/>
        <v>0</v>
      </c>
    </row>
    <row r="54" spans="1:13" x14ac:dyDescent="0.4">
      <c r="A54" s="258"/>
      <c r="B54" s="259"/>
      <c r="C54" s="259"/>
      <c r="D54" s="262"/>
      <c r="E54" s="262"/>
      <c r="F54" s="263"/>
      <c r="G54" s="263"/>
      <c r="H54" s="268"/>
      <c r="I54" s="264"/>
      <c r="J54" s="287">
        <f t="shared" ref="J54:J59" si="9">IF(F54="TLX",ROUND(M54/32*H54,2),ROUND(M54*H54,2))</f>
        <v>0</v>
      </c>
      <c r="K54" s="288">
        <f t="shared" ref="K54:K59" si="10">SUM(I54+J54)</f>
        <v>0</v>
      </c>
      <c r="L54" s="12"/>
      <c r="M54" s="206">
        <f t="shared" ref="M54:M59" si="11">ROUND(D54+E54/60,2)</f>
        <v>0</v>
      </c>
    </row>
    <row r="55" spans="1:13" x14ac:dyDescent="0.4">
      <c r="A55" s="258"/>
      <c r="B55" s="273"/>
      <c r="C55" s="273"/>
      <c r="D55" s="274"/>
      <c r="E55" s="274"/>
      <c r="F55" s="275"/>
      <c r="G55" s="275"/>
      <c r="H55" s="276"/>
      <c r="I55" s="277"/>
      <c r="J55" s="287">
        <f t="shared" si="9"/>
        <v>0</v>
      </c>
      <c r="K55" s="288">
        <f t="shared" si="10"/>
        <v>0</v>
      </c>
      <c r="L55" s="12"/>
      <c r="M55" s="206">
        <f t="shared" si="11"/>
        <v>0</v>
      </c>
    </row>
    <row r="56" spans="1:13" x14ac:dyDescent="0.4">
      <c r="A56" s="258"/>
      <c r="B56" s="259"/>
      <c r="C56" s="259"/>
      <c r="D56" s="262"/>
      <c r="E56" s="262"/>
      <c r="F56" s="263"/>
      <c r="G56" s="263"/>
      <c r="H56" s="268"/>
      <c r="I56" s="264"/>
      <c r="J56" s="287">
        <f t="shared" si="9"/>
        <v>0</v>
      </c>
      <c r="K56" s="288">
        <f t="shared" si="10"/>
        <v>0</v>
      </c>
      <c r="L56" s="12"/>
      <c r="M56" s="206">
        <f t="shared" si="11"/>
        <v>0</v>
      </c>
    </row>
    <row r="57" spans="1:13" x14ac:dyDescent="0.4">
      <c r="A57" s="258"/>
      <c r="B57" s="273"/>
      <c r="C57" s="273"/>
      <c r="D57" s="274"/>
      <c r="E57" s="274"/>
      <c r="F57" s="275"/>
      <c r="G57" s="275"/>
      <c r="H57" s="276"/>
      <c r="I57" s="277"/>
      <c r="J57" s="287">
        <f t="shared" si="9"/>
        <v>0</v>
      </c>
      <c r="K57" s="288">
        <f t="shared" si="10"/>
        <v>0</v>
      </c>
      <c r="L57" s="12"/>
      <c r="M57" s="206">
        <f t="shared" si="11"/>
        <v>0</v>
      </c>
    </row>
    <row r="58" spans="1:13" x14ac:dyDescent="0.4">
      <c r="A58" s="258"/>
      <c r="B58" s="278"/>
      <c r="C58" s="278"/>
      <c r="D58" s="279"/>
      <c r="E58" s="279"/>
      <c r="F58" s="280"/>
      <c r="G58" s="280"/>
      <c r="H58" s="281"/>
      <c r="I58" s="282"/>
      <c r="J58" s="287">
        <f t="shared" si="9"/>
        <v>0</v>
      </c>
      <c r="K58" s="288">
        <f t="shared" si="10"/>
        <v>0</v>
      </c>
      <c r="L58" s="12"/>
      <c r="M58" s="206">
        <f t="shared" si="11"/>
        <v>0</v>
      </c>
    </row>
    <row r="59" spans="1:13" x14ac:dyDescent="0.4">
      <c r="A59" s="258"/>
      <c r="B59" s="259"/>
      <c r="C59" s="259"/>
      <c r="D59" s="262"/>
      <c r="E59" s="262"/>
      <c r="F59" s="263"/>
      <c r="G59" s="263"/>
      <c r="H59" s="268"/>
      <c r="I59" s="264"/>
      <c r="J59" s="287">
        <f t="shared" si="9"/>
        <v>0</v>
      </c>
      <c r="K59" s="288">
        <f t="shared" si="10"/>
        <v>0</v>
      </c>
      <c r="L59" s="12"/>
      <c r="M59" s="206">
        <f t="shared" si="11"/>
        <v>0</v>
      </c>
    </row>
    <row r="60" spans="1:13" x14ac:dyDescent="0.4">
      <c r="A60" s="258"/>
      <c r="B60" s="259"/>
      <c r="C60" s="259"/>
      <c r="D60" s="262"/>
      <c r="E60" s="262"/>
      <c r="F60" s="263"/>
      <c r="G60" s="263"/>
      <c r="H60" s="268"/>
      <c r="I60" s="264"/>
      <c r="J60" s="287">
        <f t="shared" si="8"/>
        <v>0</v>
      </c>
      <c r="K60" s="288">
        <f t="shared" si="7"/>
        <v>0</v>
      </c>
      <c r="L60" s="12"/>
      <c r="M60" s="206">
        <f t="shared" si="2"/>
        <v>0</v>
      </c>
    </row>
    <row r="61" spans="1:13" x14ac:dyDescent="0.4">
      <c r="A61" s="258"/>
      <c r="B61" s="259"/>
      <c r="C61" s="259"/>
      <c r="D61" s="262"/>
      <c r="E61" s="262"/>
      <c r="F61" s="263"/>
      <c r="G61" s="263"/>
      <c r="H61" s="268"/>
      <c r="I61" s="264"/>
      <c r="J61" s="287">
        <f t="shared" si="8"/>
        <v>0</v>
      </c>
      <c r="K61" s="288">
        <f t="shared" si="7"/>
        <v>0</v>
      </c>
      <c r="L61" s="12"/>
      <c r="M61" s="206">
        <f t="shared" si="2"/>
        <v>0</v>
      </c>
    </row>
    <row r="62" spans="1:13" x14ac:dyDescent="0.4">
      <c r="A62" s="258"/>
      <c r="B62" s="259"/>
      <c r="C62" s="259"/>
      <c r="D62" s="262"/>
      <c r="E62" s="262"/>
      <c r="F62" s="263"/>
      <c r="G62" s="263"/>
      <c r="H62" s="268"/>
      <c r="I62" s="264"/>
      <c r="J62" s="287">
        <f>IF(F62="TLX",ROUND(M62/32*H62,2),ROUND(M62*H62,2))</f>
        <v>0</v>
      </c>
      <c r="K62" s="288">
        <f>SUM(I62+J62)</f>
        <v>0</v>
      </c>
      <c r="L62" s="12"/>
      <c r="M62" s="206">
        <f>ROUND(D62+E62/60,2)</f>
        <v>0</v>
      </c>
    </row>
    <row r="63" spans="1:13" x14ac:dyDescent="0.4">
      <c r="A63" s="258"/>
      <c r="B63" s="259"/>
      <c r="C63" s="259"/>
      <c r="D63" s="262"/>
      <c r="E63" s="262"/>
      <c r="F63" s="263"/>
      <c r="G63" s="263"/>
      <c r="H63" s="268"/>
      <c r="I63" s="264"/>
      <c r="J63" s="287">
        <f>IF(F63="TLX",ROUND(M63/32*H63,2),ROUND(M63*H63,2))</f>
        <v>0</v>
      </c>
      <c r="K63" s="288">
        <f>SUM(I63+J63)</f>
        <v>0</v>
      </c>
      <c r="L63" s="12"/>
      <c r="M63" s="206">
        <f>ROUND(D63+E63/60,2)</f>
        <v>0</v>
      </c>
    </row>
    <row r="64" spans="1:13" x14ac:dyDescent="0.4">
      <c r="A64" s="258"/>
      <c r="B64" s="260"/>
      <c r="C64" s="259"/>
      <c r="D64" s="283"/>
      <c r="E64" s="283"/>
      <c r="F64" s="284"/>
      <c r="G64" s="284"/>
      <c r="H64" s="285"/>
      <c r="I64" s="286"/>
      <c r="J64" s="289">
        <f t="shared" si="8"/>
        <v>0</v>
      </c>
      <c r="K64" s="288">
        <f t="shared" si="7"/>
        <v>0</v>
      </c>
      <c r="L64" s="12"/>
      <c r="M64" s="206">
        <f t="shared" si="2"/>
        <v>0</v>
      </c>
    </row>
    <row r="65" spans="1:15" x14ac:dyDescent="0.4">
      <c r="A65" s="258"/>
      <c r="B65" s="260"/>
      <c r="C65" s="301"/>
      <c r="D65" s="283"/>
      <c r="E65" s="283"/>
      <c r="F65" s="284"/>
      <c r="G65" s="284"/>
      <c r="H65" s="285"/>
      <c r="I65" s="286"/>
      <c r="J65" s="300">
        <f t="shared" si="8"/>
        <v>0</v>
      </c>
      <c r="K65" s="297">
        <f t="shared" si="7"/>
        <v>0</v>
      </c>
      <c r="L65" s="12"/>
      <c r="M65" s="206">
        <f t="shared" si="2"/>
        <v>0</v>
      </c>
    </row>
    <row r="66" spans="1:15" x14ac:dyDescent="0.4">
      <c r="A66" s="258"/>
      <c r="B66" s="291"/>
      <c r="C66" s="292"/>
      <c r="D66" s="293"/>
      <c r="E66" s="279"/>
      <c r="F66" s="280"/>
      <c r="G66" s="280"/>
      <c r="H66" s="281"/>
      <c r="I66" s="282"/>
      <c r="J66" s="298">
        <f t="shared" ref="J66:J98" si="12">IF(F66="TLX",ROUND(M66/32*H66,2),ROUND(M66*H66,2))</f>
        <v>0</v>
      </c>
      <c r="K66" s="299">
        <f t="shared" ref="K66:K98" si="13">SUM(I66+J66)</f>
        <v>0</v>
      </c>
      <c r="L66" s="12"/>
      <c r="M66" s="206">
        <f t="shared" ref="M66:M82" si="14">ROUND(D66+E66/60,2)</f>
        <v>0</v>
      </c>
    </row>
    <row r="67" spans="1:15" x14ac:dyDescent="0.4">
      <c r="A67" s="258"/>
      <c r="B67" s="259"/>
      <c r="C67" s="260"/>
      <c r="D67" s="261"/>
      <c r="E67" s="262"/>
      <c r="F67" s="263"/>
      <c r="G67" s="263"/>
      <c r="H67" s="268"/>
      <c r="I67" s="264"/>
      <c r="J67" s="287">
        <f t="shared" si="12"/>
        <v>0</v>
      </c>
      <c r="K67" s="288">
        <f t="shared" si="13"/>
        <v>0</v>
      </c>
      <c r="L67" s="12"/>
      <c r="M67" s="206">
        <f t="shared" si="14"/>
        <v>0</v>
      </c>
    </row>
    <row r="68" spans="1:15" x14ac:dyDescent="0.4">
      <c r="A68" s="258"/>
      <c r="B68" s="259"/>
      <c r="C68" s="260"/>
      <c r="D68" s="261"/>
      <c r="E68" s="262"/>
      <c r="F68" s="263"/>
      <c r="G68" s="263"/>
      <c r="H68" s="268"/>
      <c r="I68" s="264"/>
      <c r="J68" s="287">
        <f t="shared" si="12"/>
        <v>0</v>
      </c>
      <c r="K68" s="288">
        <f t="shared" si="13"/>
        <v>0</v>
      </c>
      <c r="L68" s="12"/>
      <c r="M68" s="206">
        <f t="shared" si="14"/>
        <v>0</v>
      </c>
      <c r="O68" s="163"/>
    </row>
    <row r="69" spans="1:15" x14ac:dyDescent="0.4">
      <c r="A69" s="258"/>
      <c r="B69" s="259"/>
      <c r="C69" s="260"/>
      <c r="D69" s="261"/>
      <c r="E69" s="262"/>
      <c r="F69" s="263"/>
      <c r="G69" s="263"/>
      <c r="H69" s="268"/>
      <c r="I69" s="264"/>
      <c r="J69" s="287">
        <f t="shared" si="12"/>
        <v>0</v>
      </c>
      <c r="K69" s="288">
        <f t="shared" si="13"/>
        <v>0</v>
      </c>
      <c r="L69" s="12"/>
      <c r="M69" s="206">
        <f t="shared" si="14"/>
        <v>0</v>
      </c>
    </row>
    <row r="70" spans="1:15" x14ac:dyDescent="0.4">
      <c r="A70" s="258"/>
      <c r="B70" s="259"/>
      <c r="C70" s="260"/>
      <c r="D70" s="261"/>
      <c r="E70" s="262"/>
      <c r="F70" s="263"/>
      <c r="G70" s="263"/>
      <c r="H70" s="268"/>
      <c r="I70" s="264"/>
      <c r="J70" s="287">
        <f t="shared" si="12"/>
        <v>0</v>
      </c>
      <c r="K70" s="288">
        <f t="shared" si="13"/>
        <v>0</v>
      </c>
      <c r="L70" s="12"/>
      <c r="M70" s="206">
        <f t="shared" si="14"/>
        <v>0</v>
      </c>
    </row>
    <row r="71" spans="1:15" x14ac:dyDescent="0.4">
      <c r="A71" s="258"/>
      <c r="B71" s="259"/>
      <c r="C71" s="260"/>
      <c r="D71" s="261"/>
      <c r="E71" s="262"/>
      <c r="F71" s="263"/>
      <c r="G71" s="263"/>
      <c r="H71" s="268"/>
      <c r="I71" s="264"/>
      <c r="J71" s="287">
        <f t="shared" si="12"/>
        <v>0</v>
      </c>
      <c r="K71" s="288">
        <f t="shared" si="13"/>
        <v>0</v>
      </c>
      <c r="L71" s="12"/>
      <c r="M71" s="206">
        <f t="shared" si="14"/>
        <v>0</v>
      </c>
    </row>
    <row r="72" spans="1:15" x14ac:dyDescent="0.4">
      <c r="A72" s="258"/>
      <c r="B72" s="259"/>
      <c r="C72" s="260"/>
      <c r="D72" s="261"/>
      <c r="E72" s="262"/>
      <c r="F72" s="263"/>
      <c r="G72" s="263"/>
      <c r="H72" s="268"/>
      <c r="I72" s="264"/>
      <c r="J72" s="287">
        <f t="shared" si="12"/>
        <v>0</v>
      </c>
      <c r="K72" s="288">
        <f t="shared" si="13"/>
        <v>0</v>
      </c>
      <c r="L72" s="12"/>
      <c r="M72" s="206">
        <f t="shared" si="14"/>
        <v>0</v>
      </c>
      <c r="O72" s="162"/>
    </row>
    <row r="73" spans="1:15" x14ac:dyDescent="0.4">
      <c r="A73" s="258"/>
      <c r="B73" s="259"/>
      <c r="C73" s="260"/>
      <c r="D73" s="262"/>
      <c r="E73" s="262"/>
      <c r="F73" s="263"/>
      <c r="G73" s="263"/>
      <c r="H73" s="268"/>
      <c r="I73" s="264"/>
      <c r="J73" s="287">
        <f t="shared" si="12"/>
        <v>0</v>
      </c>
      <c r="K73" s="288">
        <f t="shared" si="13"/>
        <v>0</v>
      </c>
      <c r="L73" s="12"/>
      <c r="M73" s="206">
        <f t="shared" si="14"/>
        <v>0</v>
      </c>
    </row>
    <row r="74" spans="1:15" x14ac:dyDescent="0.4">
      <c r="A74" s="258"/>
      <c r="B74" s="259"/>
      <c r="C74" s="260"/>
      <c r="D74" s="261"/>
      <c r="E74" s="262"/>
      <c r="F74" s="263"/>
      <c r="G74" s="263"/>
      <c r="H74" s="268"/>
      <c r="I74" s="264"/>
      <c r="J74" s="287">
        <f t="shared" si="12"/>
        <v>0</v>
      </c>
      <c r="K74" s="288">
        <f t="shared" si="13"/>
        <v>0</v>
      </c>
      <c r="L74" s="12"/>
      <c r="M74" s="206">
        <f t="shared" si="14"/>
        <v>0</v>
      </c>
    </row>
    <row r="75" spans="1:15" x14ac:dyDescent="0.4">
      <c r="A75" s="258"/>
      <c r="B75" s="259"/>
      <c r="C75" s="260"/>
      <c r="D75" s="261"/>
      <c r="E75" s="262"/>
      <c r="F75" s="263"/>
      <c r="G75" s="263"/>
      <c r="H75" s="268"/>
      <c r="I75" s="264"/>
      <c r="J75" s="287">
        <f t="shared" si="12"/>
        <v>0</v>
      </c>
      <c r="K75" s="288">
        <f t="shared" si="13"/>
        <v>0</v>
      </c>
      <c r="L75" s="12"/>
      <c r="M75" s="206">
        <f t="shared" si="14"/>
        <v>0</v>
      </c>
    </row>
    <row r="76" spans="1:15" x14ac:dyDescent="0.4">
      <c r="A76" s="258"/>
      <c r="B76" s="259"/>
      <c r="C76" s="260"/>
      <c r="D76" s="261"/>
      <c r="E76" s="262"/>
      <c r="F76" s="263"/>
      <c r="G76" s="263"/>
      <c r="H76" s="268"/>
      <c r="I76" s="264"/>
      <c r="J76" s="287">
        <f t="shared" si="12"/>
        <v>0</v>
      </c>
      <c r="K76" s="288">
        <f t="shared" si="13"/>
        <v>0</v>
      </c>
      <c r="L76" s="12"/>
      <c r="M76" s="206">
        <f t="shared" si="14"/>
        <v>0</v>
      </c>
    </row>
    <row r="77" spans="1:15" x14ac:dyDescent="0.4">
      <c r="A77" s="258"/>
      <c r="B77" s="259"/>
      <c r="C77" s="259"/>
      <c r="D77" s="262"/>
      <c r="E77" s="262"/>
      <c r="F77" s="263"/>
      <c r="G77" s="263"/>
      <c r="H77" s="268"/>
      <c r="I77" s="264"/>
      <c r="J77" s="287">
        <f t="shared" si="12"/>
        <v>0</v>
      </c>
      <c r="K77" s="288">
        <f t="shared" si="13"/>
        <v>0</v>
      </c>
      <c r="L77" s="12"/>
      <c r="M77" s="206">
        <f t="shared" si="14"/>
        <v>0</v>
      </c>
      <c r="N77" s="161"/>
    </row>
    <row r="78" spans="1:15" x14ac:dyDescent="0.4">
      <c r="A78" s="258"/>
      <c r="B78" s="259"/>
      <c r="C78" s="260"/>
      <c r="D78" s="262"/>
      <c r="E78" s="262"/>
      <c r="F78" s="263"/>
      <c r="G78" s="263"/>
      <c r="H78" s="268"/>
      <c r="I78" s="264"/>
      <c r="J78" s="287">
        <f t="shared" si="12"/>
        <v>0</v>
      </c>
      <c r="K78" s="288">
        <f t="shared" si="13"/>
        <v>0</v>
      </c>
      <c r="L78" s="12"/>
      <c r="M78" s="206">
        <f t="shared" si="14"/>
        <v>0</v>
      </c>
      <c r="N78" s="161"/>
    </row>
    <row r="79" spans="1:15" x14ac:dyDescent="0.4">
      <c r="A79" s="258"/>
      <c r="B79" s="259"/>
      <c r="C79" s="260"/>
      <c r="D79" s="261"/>
      <c r="E79" s="262"/>
      <c r="F79" s="263"/>
      <c r="G79" s="263"/>
      <c r="H79" s="268"/>
      <c r="I79" s="264"/>
      <c r="J79" s="287">
        <f t="shared" si="12"/>
        <v>0</v>
      </c>
      <c r="K79" s="288">
        <f t="shared" si="13"/>
        <v>0</v>
      </c>
      <c r="L79" s="12"/>
      <c r="M79" s="206">
        <f t="shared" si="14"/>
        <v>0</v>
      </c>
      <c r="N79" s="161"/>
    </row>
    <row r="80" spans="1:15" x14ac:dyDescent="0.4">
      <c r="A80" s="258"/>
      <c r="B80" s="259"/>
      <c r="C80" s="260"/>
      <c r="D80" s="261"/>
      <c r="E80" s="262"/>
      <c r="F80" s="263"/>
      <c r="G80" s="263"/>
      <c r="H80" s="268"/>
      <c r="I80" s="264"/>
      <c r="J80" s="287">
        <f t="shared" si="12"/>
        <v>0</v>
      </c>
      <c r="K80" s="288">
        <f t="shared" si="13"/>
        <v>0</v>
      </c>
      <c r="L80" s="12"/>
      <c r="M80" s="206">
        <f t="shared" si="14"/>
        <v>0</v>
      </c>
      <c r="N80" s="161"/>
    </row>
    <row r="81" spans="1:14" x14ac:dyDescent="0.4">
      <c r="A81" s="258"/>
      <c r="B81" s="259"/>
      <c r="C81" s="260"/>
      <c r="D81" s="261"/>
      <c r="E81" s="262"/>
      <c r="F81" s="263"/>
      <c r="G81" s="263"/>
      <c r="H81" s="268"/>
      <c r="I81" s="264"/>
      <c r="J81" s="287">
        <f t="shared" si="12"/>
        <v>0</v>
      </c>
      <c r="K81" s="288">
        <f t="shared" si="13"/>
        <v>0</v>
      </c>
      <c r="L81" s="12"/>
      <c r="M81" s="206">
        <f t="shared" si="14"/>
        <v>0</v>
      </c>
      <c r="N81" s="161"/>
    </row>
    <row r="82" spans="1:14" x14ac:dyDescent="0.4">
      <c r="A82" s="258"/>
      <c r="B82" s="259"/>
      <c r="C82" s="260"/>
      <c r="D82" s="262"/>
      <c r="E82" s="262"/>
      <c r="F82" s="263"/>
      <c r="G82" s="263"/>
      <c r="H82" s="268"/>
      <c r="I82" s="264"/>
      <c r="J82" s="287">
        <f t="shared" si="12"/>
        <v>0</v>
      </c>
      <c r="K82" s="288">
        <f t="shared" si="13"/>
        <v>0</v>
      </c>
      <c r="L82" s="12"/>
      <c r="M82" s="206">
        <f t="shared" si="14"/>
        <v>0</v>
      </c>
      <c r="N82" s="161"/>
    </row>
    <row r="83" spans="1:14" x14ac:dyDescent="0.4">
      <c r="A83" s="258"/>
      <c r="B83" s="259"/>
      <c r="C83" s="260"/>
      <c r="D83" s="262"/>
      <c r="E83" s="262"/>
      <c r="F83" s="263"/>
      <c r="G83" s="263"/>
      <c r="H83" s="268"/>
      <c r="I83" s="264"/>
      <c r="J83" s="287">
        <f t="shared" si="12"/>
        <v>0</v>
      </c>
      <c r="K83" s="288">
        <f t="shared" si="13"/>
        <v>0</v>
      </c>
      <c r="L83" s="12"/>
      <c r="M83" s="206">
        <f t="shared" ref="M83:M117" si="15">ROUND(D83+E83/60,2)</f>
        <v>0</v>
      </c>
    </row>
    <row r="84" spans="1:14" x14ac:dyDescent="0.4">
      <c r="A84" s="258"/>
      <c r="B84" s="259"/>
      <c r="C84" s="260"/>
      <c r="D84" s="262"/>
      <c r="E84" s="262"/>
      <c r="F84" s="263"/>
      <c r="G84" s="263"/>
      <c r="H84" s="268"/>
      <c r="I84" s="264"/>
      <c r="J84" s="287">
        <f t="shared" si="12"/>
        <v>0</v>
      </c>
      <c r="K84" s="288">
        <f t="shared" si="13"/>
        <v>0</v>
      </c>
      <c r="L84" s="12"/>
      <c r="M84" s="206">
        <f t="shared" si="15"/>
        <v>0</v>
      </c>
    </row>
    <row r="85" spans="1:14" x14ac:dyDescent="0.4">
      <c r="A85" s="258"/>
      <c r="B85" s="259"/>
      <c r="C85" s="260"/>
      <c r="D85" s="262"/>
      <c r="E85" s="262"/>
      <c r="F85" s="263"/>
      <c r="G85" s="263"/>
      <c r="H85" s="268"/>
      <c r="I85" s="264"/>
      <c r="J85" s="287">
        <f t="shared" si="12"/>
        <v>0</v>
      </c>
      <c r="K85" s="288">
        <f t="shared" si="13"/>
        <v>0</v>
      </c>
      <c r="L85" s="12"/>
      <c r="M85" s="206">
        <f t="shared" si="15"/>
        <v>0</v>
      </c>
    </row>
    <row r="86" spans="1:14" x14ac:dyDescent="0.4">
      <c r="A86" s="258"/>
      <c r="B86" s="259"/>
      <c r="C86" s="260"/>
      <c r="D86" s="262"/>
      <c r="E86" s="262"/>
      <c r="F86" s="263"/>
      <c r="G86" s="263"/>
      <c r="H86" s="268"/>
      <c r="I86" s="264"/>
      <c r="J86" s="287">
        <f t="shared" si="12"/>
        <v>0</v>
      </c>
      <c r="K86" s="288">
        <f t="shared" si="13"/>
        <v>0</v>
      </c>
      <c r="L86" s="12"/>
      <c r="M86" s="206">
        <f t="shared" si="15"/>
        <v>0</v>
      </c>
    </row>
    <row r="87" spans="1:14" x14ac:dyDescent="0.4">
      <c r="A87" s="258"/>
      <c r="B87" s="259"/>
      <c r="C87" s="260"/>
      <c r="D87" s="262"/>
      <c r="E87" s="262"/>
      <c r="F87" s="263"/>
      <c r="G87" s="263"/>
      <c r="H87" s="268"/>
      <c r="I87" s="264"/>
      <c r="J87" s="287">
        <f t="shared" si="12"/>
        <v>0</v>
      </c>
      <c r="K87" s="288">
        <f t="shared" si="13"/>
        <v>0</v>
      </c>
      <c r="L87" s="12"/>
      <c r="M87" s="206">
        <f t="shared" si="15"/>
        <v>0</v>
      </c>
    </row>
    <row r="88" spans="1:14" x14ac:dyDescent="0.4">
      <c r="A88" s="258"/>
      <c r="B88" s="259"/>
      <c r="C88" s="271"/>
      <c r="D88" s="262"/>
      <c r="E88" s="262"/>
      <c r="F88" s="263"/>
      <c r="G88" s="263"/>
      <c r="H88" s="268"/>
      <c r="I88" s="272"/>
      <c r="J88" s="287">
        <f t="shared" si="12"/>
        <v>0</v>
      </c>
      <c r="K88" s="288">
        <f t="shared" si="13"/>
        <v>0</v>
      </c>
      <c r="L88" s="12"/>
      <c r="M88" s="206">
        <f t="shared" si="15"/>
        <v>0</v>
      </c>
    </row>
    <row r="89" spans="1:14" x14ac:dyDescent="0.4">
      <c r="A89" s="258"/>
      <c r="B89" s="259"/>
      <c r="C89" s="271"/>
      <c r="D89" s="262"/>
      <c r="E89" s="262"/>
      <c r="F89" s="263"/>
      <c r="G89" s="263"/>
      <c r="H89" s="268"/>
      <c r="I89" s="272"/>
      <c r="J89" s="287">
        <f t="shared" si="12"/>
        <v>0</v>
      </c>
      <c r="K89" s="288">
        <f t="shared" si="13"/>
        <v>0</v>
      </c>
      <c r="L89" s="12"/>
      <c r="M89" s="206">
        <f t="shared" si="15"/>
        <v>0</v>
      </c>
    </row>
    <row r="90" spans="1:14" x14ac:dyDescent="0.4">
      <c r="A90" s="258"/>
      <c r="B90" s="259"/>
      <c r="C90" s="271"/>
      <c r="D90" s="262"/>
      <c r="E90" s="262"/>
      <c r="F90" s="263"/>
      <c r="G90" s="263"/>
      <c r="H90" s="268"/>
      <c r="I90" s="264"/>
      <c r="J90" s="287">
        <f t="shared" si="12"/>
        <v>0</v>
      </c>
      <c r="K90" s="288">
        <f t="shared" si="13"/>
        <v>0</v>
      </c>
      <c r="L90" s="12"/>
      <c r="M90" s="206">
        <f t="shared" si="15"/>
        <v>0</v>
      </c>
    </row>
    <row r="91" spans="1:14" x14ac:dyDescent="0.4">
      <c r="A91" s="258"/>
      <c r="B91" s="259"/>
      <c r="C91" s="271"/>
      <c r="D91" s="262"/>
      <c r="E91" s="262"/>
      <c r="F91" s="263"/>
      <c r="G91" s="263"/>
      <c r="H91" s="268"/>
      <c r="I91" s="264"/>
      <c r="J91" s="287">
        <f t="shared" si="12"/>
        <v>0</v>
      </c>
      <c r="K91" s="288">
        <f t="shared" si="13"/>
        <v>0</v>
      </c>
      <c r="L91" s="12"/>
      <c r="M91" s="206">
        <f t="shared" si="15"/>
        <v>0</v>
      </c>
    </row>
    <row r="92" spans="1:14" x14ac:dyDescent="0.4">
      <c r="A92" s="258"/>
      <c r="B92" s="259"/>
      <c r="C92" s="271"/>
      <c r="D92" s="262"/>
      <c r="E92" s="262"/>
      <c r="F92" s="263"/>
      <c r="G92" s="263"/>
      <c r="H92" s="268"/>
      <c r="I92" s="264"/>
      <c r="J92" s="287">
        <f t="shared" si="12"/>
        <v>0</v>
      </c>
      <c r="K92" s="288">
        <f t="shared" si="13"/>
        <v>0</v>
      </c>
      <c r="L92" s="12"/>
      <c r="M92" s="206">
        <f t="shared" si="15"/>
        <v>0</v>
      </c>
    </row>
    <row r="93" spans="1:14" x14ac:dyDescent="0.4">
      <c r="A93" s="258"/>
      <c r="B93" s="259"/>
      <c r="C93" s="271"/>
      <c r="D93" s="262"/>
      <c r="E93" s="262"/>
      <c r="F93" s="263"/>
      <c r="G93" s="263"/>
      <c r="H93" s="268"/>
      <c r="I93" s="264"/>
      <c r="J93" s="287">
        <f t="shared" si="12"/>
        <v>0</v>
      </c>
      <c r="K93" s="288">
        <f t="shared" si="13"/>
        <v>0</v>
      </c>
      <c r="L93" s="12"/>
      <c r="M93" s="206">
        <f t="shared" si="15"/>
        <v>0</v>
      </c>
    </row>
    <row r="94" spans="1:14" x14ac:dyDescent="0.4">
      <c r="A94" s="258"/>
      <c r="B94" s="259"/>
      <c r="C94" s="259"/>
      <c r="D94" s="262"/>
      <c r="E94" s="262"/>
      <c r="F94" s="263"/>
      <c r="G94" s="263"/>
      <c r="H94" s="268"/>
      <c r="I94" s="264"/>
      <c r="J94" s="287">
        <f t="shared" si="12"/>
        <v>0</v>
      </c>
      <c r="K94" s="288">
        <f t="shared" si="13"/>
        <v>0</v>
      </c>
      <c r="L94" s="12"/>
      <c r="M94" s="206">
        <f t="shared" si="15"/>
        <v>0</v>
      </c>
    </row>
    <row r="95" spans="1:14" x14ac:dyDescent="0.4">
      <c r="A95" s="258"/>
      <c r="B95" s="259"/>
      <c r="C95" s="259"/>
      <c r="D95" s="262"/>
      <c r="E95" s="262"/>
      <c r="F95" s="263"/>
      <c r="G95" s="263"/>
      <c r="H95" s="268"/>
      <c r="I95" s="264"/>
      <c r="J95" s="287">
        <f t="shared" si="12"/>
        <v>0</v>
      </c>
      <c r="K95" s="288">
        <f t="shared" si="13"/>
        <v>0</v>
      </c>
      <c r="L95" s="12"/>
      <c r="M95" s="206">
        <f t="shared" si="15"/>
        <v>0</v>
      </c>
    </row>
    <row r="96" spans="1:14" x14ac:dyDescent="0.4">
      <c r="A96" s="258"/>
      <c r="B96" s="259"/>
      <c r="C96" s="260"/>
      <c r="D96" s="262"/>
      <c r="E96" s="262"/>
      <c r="F96" s="263"/>
      <c r="G96" s="263"/>
      <c r="H96" s="268"/>
      <c r="I96" s="264"/>
      <c r="J96" s="287">
        <f t="shared" si="12"/>
        <v>0</v>
      </c>
      <c r="K96" s="288">
        <f t="shared" si="13"/>
        <v>0</v>
      </c>
      <c r="L96" s="12"/>
      <c r="M96" s="206">
        <f t="shared" si="15"/>
        <v>0</v>
      </c>
    </row>
    <row r="97" spans="1:13" x14ac:dyDescent="0.4">
      <c r="A97" s="258"/>
      <c r="B97" s="259"/>
      <c r="C97" s="259"/>
      <c r="D97" s="262"/>
      <c r="E97" s="262"/>
      <c r="F97" s="263"/>
      <c r="G97" s="263"/>
      <c r="H97" s="268"/>
      <c r="I97" s="264"/>
      <c r="J97" s="287">
        <f t="shared" si="12"/>
        <v>0</v>
      </c>
      <c r="K97" s="288">
        <f t="shared" si="13"/>
        <v>0</v>
      </c>
      <c r="L97" s="12"/>
      <c r="M97" s="206">
        <f t="shared" si="15"/>
        <v>0</v>
      </c>
    </row>
    <row r="98" spans="1:13" x14ac:dyDescent="0.4">
      <c r="A98" s="258"/>
      <c r="B98" s="259"/>
      <c r="C98" s="259"/>
      <c r="D98" s="262"/>
      <c r="E98" s="262"/>
      <c r="F98" s="263"/>
      <c r="G98" s="263"/>
      <c r="H98" s="268"/>
      <c r="I98" s="264"/>
      <c r="J98" s="287">
        <f t="shared" si="12"/>
        <v>0</v>
      </c>
      <c r="K98" s="288">
        <f t="shared" si="13"/>
        <v>0</v>
      </c>
      <c r="L98" s="12"/>
      <c r="M98" s="206">
        <f t="shared" si="15"/>
        <v>0</v>
      </c>
    </row>
    <row r="99" spans="1:13" x14ac:dyDescent="0.4">
      <c r="A99" s="258"/>
      <c r="B99" s="259"/>
      <c r="C99" s="260"/>
      <c r="D99" s="262"/>
      <c r="E99" s="262"/>
      <c r="F99" s="263"/>
      <c r="G99" s="263"/>
      <c r="H99" s="268"/>
      <c r="I99" s="264"/>
      <c r="J99" s="287">
        <f>IF(F99="TLX",ROUND(M99/32*H99,2),ROUND(M99*H99,2))</f>
        <v>0</v>
      </c>
      <c r="K99" s="288">
        <f>SUM(I99+J99)</f>
        <v>0</v>
      </c>
      <c r="L99" s="12"/>
      <c r="M99" s="206">
        <f t="shared" ref="M99:M106" si="16">ROUND(D99+E99/60,2)</f>
        <v>0</v>
      </c>
    </row>
    <row r="100" spans="1:13" x14ac:dyDescent="0.4">
      <c r="A100" s="258"/>
      <c r="B100" s="259"/>
      <c r="C100" s="259"/>
      <c r="D100" s="262"/>
      <c r="E100" s="262"/>
      <c r="F100" s="263"/>
      <c r="G100" s="263"/>
      <c r="H100" s="268"/>
      <c r="I100" s="264"/>
      <c r="J100" s="287">
        <f>IF(F100="TLX",ROUND(M100/32*H100,2),ROUND(M100*H100,2))</f>
        <v>0</v>
      </c>
      <c r="K100" s="288">
        <f t="shared" ref="K100:K106" si="17">SUM(I100+J100)</f>
        <v>0</v>
      </c>
      <c r="L100" s="12"/>
      <c r="M100" s="206">
        <f t="shared" si="16"/>
        <v>0</v>
      </c>
    </row>
    <row r="101" spans="1:13" x14ac:dyDescent="0.4">
      <c r="A101" s="258"/>
      <c r="B101" s="259"/>
      <c r="C101" s="271"/>
      <c r="D101" s="262"/>
      <c r="E101" s="262"/>
      <c r="F101" s="263"/>
      <c r="G101" s="263"/>
      <c r="H101" s="268"/>
      <c r="I101" s="264"/>
      <c r="J101" s="287">
        <f t="shared" ref="J101:J106" si="18">IF(F101="TLX",ROUND(M101/32*H101,2),ROUND(M101*H101,2))</f>
        <v>0</v>
      </c>
      <c r="K101" s="288">
        <f t="shared" si="17"/>
        <v>0</v>
      </c>
      <c r="L101" s="12"/>
      <c r="M101" s="206">
        <f t="shared" si="16"/>
        <v>0</v>
      </c>
    </row>
    <row r="102" spans="1:13" x14ac:dyDescent="0.4">
      <c r="A102" s="258"/>
      <c r="B102" s="259"/>
      <c r="C102" s="259"/>
      <c r="D102" s="262"/>
      <c r="E102" s="262"/>
      <c r="F102" s="263"/>
      <c r="G102" s="263"/>
      <c r="H102" s="268"/>
      <c r="I102" s="264"/>
      <c r="J102" s="287">
        <f t="shared" si="18"/>
        <v>0</v>
      </c>
      <c r="K102" s="288">
        <f t="shared" si="17"/>
        <v>0</v>
      </c>
      <c r="L102" s="12"/>
      <c r="M102" s="206">
        <f t="shared" si="16"/>
        <v>0</v>
      </c>
    </row>
    <row r="103" spans="1:13" x14ac:dyDescent="0.4">
      <c r="A103" s="258"/>
      <c r="B103" s="273"/>
      <c r="C103" s="273"/>
      <c r="D103" s="274"/>
      <c r="E103" s="274"/>
      <c r="F103" s="275"/>
      <c r="G103" s="275"/>
      <c r="H103" s="276"/>
      <c r="I103" s="277"/>
      <c r="J103" s="287">
        <f t="shared" si="18"/>
        <v>0</v>
      </c>
      <c r="K103" s="288">
        <f t="shared" si="17"/>
        <v>0</v>
      </c>
      <c r="L103" s="12"/>
      <c r="M103" s="206">
        <f t="shared" si="16"/>
        <v>0</v>
      </c>
    </row>
    <row r="104" spans="1:13" x14ac:dyDescent="0.4">
      <c r="A104" s="258"/>
      <c r="B104" s="278"/>
      <c r="C104" s="278"/>
      <c r="D104" s="279"/>
      <c r="E104" s="279"/>
      <c r="F104" s="280"/>
      <c r="G104" s="280"/>
      <c r="H104" s="281"/>
      <c r="I104" s="282"/>
      <c r="J104" s="287">
        <f t="shared" si="18"/>
        <v>0</v>
      </c>
      <c r="K104" s="288">
        <f t="shared" si="17"/>
        <v>0</v>
      </c>
      <c r="L104" s="12"/>
      <c r="M104" s="206">
        <f t="shared" si="16"/>
        <v>0</v>
      </c>
    </row>
    <row r="105" spans="1:13" x14ac:dyDescent="0.4">
      <c r="A105" s="258"/>
      <c r="B105" s="259"/>
      <c r="C105" s="259"/>
      <c r="D105" s="262"/>
      <c r="E105" s="262"/>
      <c r="F105" s="263"/>
      <c r="G105" s="263"/>
      <c r="H105" s="268"/>
      <c r="I105" s="264"/>
      <c r="J105" s="287">
        <f t="shared" si="18"/>
        <v>0</v>
      </c>
      <c r="K105" s="288">
        <f t="shared" si="17"/>
        <v>0</v>
      </c>
      <c r="L105" s="12"/>
      <c r="M105" s="206">
        <f t="shared" si="16"/>
        <v>0</v>
      </c>
    </row>
    <row r="106" spans="1:13" x14ac:dyDescent="0.4">
      <c r="A106" s="258"/>
      <c r="B106" s="259"/>
      <c r="C106" s="259"/>
      <c r="D106" s="262"/>
      <c r="E106" s="262"/>
      <c r="F106" s="263"/>
      <c r="G106" s="263"/>
      <c r="H106" s="268"/>
      <c r="I106" s="264"/>
      <c r="J106" s="287">
        <f t="shared" si="18"/>
        <v>0</v>
      </c>
      <c r="K106" s="288">
        <f t="shared" si="17"/>
        <v>0</v>
      </c>
      <c r="L106" s="12"/>
      <c r="M106" s="206">
        <f t="shared" si="16"/>
        <v>0</v>
      </c>
    </row>
    <row r="107" spans="1:13" x14ac:dyDescent="0.4">
      <c r="A107" s="258"/>
      <c r="B107" s="259"/>
      <c r="C107" s="271"/>
      <c r="D107" s="262"/>
      <c r="E107" s="262"/>
      <c r="F107" s="263"/>
      <c r="G107" s="263"/>
      <c r="H107" s="268"/>
      <c r="I107" s="264"/>
      <c r="J107" s="287">
        <f>IF(F107="TLX",ROUND(M107/32*H107,2),ROUND(M107*H107,2))</f>
        <v>0</v>
      </c>
      <c r="K107" s="288">
        <f>SUM(I107+J107)</f>
        <v>0</v>
      </c>
      <c r="L107" s="12"/>
      <c r="M107" s="206">
        <f t="shared" si="15"/>
        <v>0</v>
      </c>
    </row>
    <row r="108" spans="1:13" x14ac:dyDescent="0.4">
      <c r="A108" s="258"/>
      <c r="B108" s="259"/>
      <c r="C108" s="259"/>
      <c r="D108" s="262"/>
      <c r="E108" s="262"/>
      <c r="F108" s="263"/>
      <c r="G108" s="263"/>
      <c r="H108" s="268"/>
      <c r="I108" s="264"/>
      <c r="J108" s="287">
        <f>IF(F108="TLX",ROUND(M108/32*H108,2),ROUND(M108*H108,2))</f>
        <v>0</v>
      </c>
      <c r="K108" s="288">
        <f t="shared" ref="K108:K117" si="19">SUM(I108+J108)</f>
        <v>0</v>
      </c>
      <c r="L108" s="12"/>
      <c r="M108" s="206">
        <f t="shared" si="15"/>
        <v>0</v>
      </c>
    </row>
    <row r="109" spans="1:13" x14ac:dyDescent="0.4">
      <c r="A109" s="258"/>
      <c r="B109" s="259"/>
      <c r="C109" s="259"/>
      <c r="D109" s="262"/>
      <c r="E109" s="262"/>
      <c r="F109" s="263"/>
      <c r="G109" s="263"/>
      <c r="H109" s="268"/>
      <c r="I109" s="264"/>
      <c r="J109" s="287">
        <f t="shared" ref="J109:J117" si="20">IF(F109="TLX",ROUND(M109/32*H109,2),ROUND(M109*H109,2))</f>
        <v>0</v>
      </c>
      <c r="K109" s="288">
        <f t="shared" si="19"/>
        <v>0</v>
      </c>
      <c r="L109" s="12"/>
      <c r="M109" s="206">
        <f t="shared" si="15"/>
        <v>0</v>
      </c>
    </row>
    <row r="110" spans="1:13" x14ac:dyDescent="0.4">
      <c r="A110" s="258"/>
      <c r="B110" s="259"/>
      <c r="C110" s="259"/>
      <c r="D110" s="262"/>
      <c r="E110" s="262"/>
      <c r="F110" s="263"/>
      <c r="G110" s="263"/>
      <c r="H110" s="268"/>
      <c r="I110" s="264"/>
      <c r="J110" s="287">
        <f t="shared" si="20"/>
        <v>0</v>
      </c>
      <c r="K110" s="288">
        <f t="shared" si="19"/>
        <v>0</v>
      </c>
      <c r="L110" s="12"/>
      <c r="M110" s="206">
        <f t="shared" si="15"/>
        <v>0</v>
      </c>
    </row>
    <row r="111" spans="1:13" x14ac:dyDescent="0.4">
      <c r="A111" s="258"/>
      <c r="B111" s="273"/>
      <c r="C111" s="273"/>
      <c r="D111" s="274"/>
      <c r="E111" s="274"/>
      <c r="F111" s="275"/>
      <c r="G111" s="275"/>
      <c r="H111" s="276"/>
      <c r="I111" s="277"/>
      <c r="J111" s="287">
        <f t="shared" si="20"/>
        <v>0</v>
      </c>
      <c r="K111" s="288">
        <f t="shared" si="19"/>
        <v>0</v>
      </c>
      <c r="L111" s="12"/>
      <c r="M111" s="206">
        <f t="shared" si="15"/>
        <v>0</v>
      </c>
    </row>
    <row r="112" spans="1:13" x14ac:dyDescent="0.4">
      <c r="A112" s="258"/>
      <c r="B112" s="278"/>
      <c r="C112" s="278"/>
      <c r="D112" s="279"/>
      <c r="E112" s="279"/>
      <c r="F112" s="280"/>
      <c r="G112" s="280"/>
      <c r="H112" s="281"/>
      <c r="I112" s="282"/>
      <c r="J112" s="287">
        <f t="shared" si="20"/>
        <v>0</v>
      </c>
      <c r="K112" s="288">
        <f t="shared" si="19"/>
        <v>0</v>
      </c>
      <c r="L112" s="12"/>
      <c r="M112" s="206">
        <f t="shared" si="15"/>
        <v>0</v>
      </c>
    </row>
    <row r="113" spans="1:15" x14ac:dyDescent="0.4">
      <c r="A113" s="258"/>
      <c r="B113" s="259"/>
      <c r="C113" s="259"/>
      <c r="D113" s="262"/>
      <c r="E113" s="262"/>
      <c r="F113" s="263"/>
      <c r="G113" s="263"/>
      <c r="H113" s="268"/>
      <c r="I113" s="264"/>
      <c r="J113" s="287">
        <f t="shared" si="20"/>
        <v>0</v>
      </c>
      <c r="K113" s="288">
        <f t="shared" si="19"/>
        <v>0</v>
      </c>
      <c r="L113" s="12"/>
      <c r="M113" s="206">
        <f t="shared" si="15"/>
        <v>0</v>
      </c>
    </row>
    <row r="114" spans="1:15" x14ac:dyDescent="0.4">
      <c r="A114" s="258"/>
      <c r="B114" s="259"/>
      <c r="C114" s="259"/>
      <c r="D114" s="262"/>
      <c r="E114" s="262"/>
      <c r="F114" s="263"/>
      <c r="G114" s="263"/>
      <c r="H114" s="268"/>
      <c r="I114" s="264"/>
      <c r="J114" s="287">
        <f t="shared" si="20"/>
        <v>0</v>
      </c>
      <c r="K114" s="288">
        <f t="shared" si="19"/>
        <v>0</v>
      </c>
      <c r="L114" s="12"/>
      <c r="M114" s="206">
        <f t="shared" si="15"/>
        <v>0</v>
      </c>
    </row>
    <row r="115" spans="1:15" x14ac:dyDescent="0.4">
      <c r="A115" s="258"/>
      <c r="B115" s="259"/>
      <c r="C115" s="259"/>
      <c r="D115" s="262"/>
      <c r="E115" s="262"/>
      <c r="F115" s="263"/>
      <c r="G115" s="263"/>
      <c r="H115" s="268"/>
      <c r="I115" s="264"/>
      <c r="J115" s="287">
        <f t="shared" si="20"/>
        <v>0</v>
      </c>
      <c r="K115" s="288">
        <f t="shared" si="19"/>
        <v>0</v>
      </c>
      <c r="L115" s="12"/>
      <c r="M115" s="206">
        <f t="shared" si="15"/>
        <v>0</v>
      </c>
    </row>
    <row r="116" spans="1:15" x14ac:dyDescent="0.4">
      <c r="A116" s="258"/>
      <c r="B116" s="259"/>
      <c r="C116" s="259"/>
      <c r="D116" s="262"/>
      <c r="E116" s="262"/>
      <c r="F116" s="263"/>
      <c r="G116" s="263"/>
      <c r="H116" s="268"/>
      <c r="I116" s="264"/>
      <c r="J116" s="287">
        <f t="shared" si="20"/>
        <v>0</v>
      </c>
      <c r="K116" s="288">
        <f t="shared" si="19"/>
        <v>0</v>
      </c>
      <c r="L116" s="12"/>
      <c r="M116" s="206">
        <f t="shared" si="15"/>
        <v>0</v>
      </c>
    </row>
    <row r="117" spans="1:15" x14ac:dyDescent="0.4">
      <c r="A117" s="258"/>
      <c r="B117" s="259"/>
      <c r="C117" s="259"/>
      <c r="D117" s="262"/>
      <c r="E117" s="262"/>
      <c r="F117" s="263"/>
      <c r="G117" s="263"/>
      <c r="H117" s="268"/>
      <c r="I117" s="264"/>
      <c r="J117" s="287">
        <f t="shared" si="20"/>
        <v>0</v>
      </c>
      <c r="K117" s="288">
        <f t="shared" si="19"/>
        <v>0</v>
      </c>
      <c r="L117" s="12"/>
      <c r="M117" s="206">
        <f t="shared" si="15"/>
        <v>0</v>
      </c>
    </row>
    <row r="118" spans="1:15" x14ac:dyDescent="0.4">
      <c r="A118" s="258"/>
      <c r="B118" s="291"/>
      <c r="C118" s="292"/>
      <c r="D118" s="293"/>
      <c r="E118" s="279"/>
      <c r="F118" s="280"/>
      <c r="G118" s="280"/>
      <c r="H118" s="281"/>
      <c r="I118" s="282"/>
      <c r="J118" s="298">
        <f t="shared" ref="J118:J154" si="21">IF(F118="TLX",ROUND(M118/32*H118,2),ROUND(M118*H118,2))</f>
        <v>0</v>
      </c>
      <c r="K118" s="299">
        <f t="shared" ref="K118:K154" si="22">SUM(I118+J118)</f>
        <v>0</v>
      </c>
      <c r="L118" s="12"/>
      <c r="M118" s="206">
        <f>ROUND(D118+E118/60,2)</f>
        <v>0</v>
      </c>
    </row>
    <row r="119" spans="1:15" x14ac:dyDescent="0.4">
      <c r="A119" s="258"/>
      <c r="B119" s="259"/>
      <c r="C119" s="260"/>
      <c r="D119" s="261"/>
      <c r="E119" s="262"/>
      <c r="F119" s="263"/>
      <c r="G119" s="263"/>
      <c r="H119" s="268"/>
      <c r="I119" s="264"/>
      <c r="J119" s="287">
        <f t="shared" si="21"/>
        <v>0</v>
      </c>
      <c r="K119" s="288">
        <f t="shared" si="22"/>
        <v>0</v>
      </c>
      <c r="L119" s="12"/>
      <c r="M119" s="206">
        <f>ROUND(D119+E119/60,2)</f>
        <v>0</v>
      </c>
    </row>
    <row r="120" spans="1:15" x14ac:dyDescent="0.4">
      <c r="A120" s="258"/>
      <c r="B120" s="259"/>
      <c r="C120" s="260"/>
      <c r="D120" s="261"/>
      <c r="E120" s="262"/>
      <c r="F120" s="263"/>
      <c r="G120" s="263"/>
      <c r="H120" s="268"/>
      <c r="I120" s="264"/>
      <c r="J120" s="287">
        <f t="shared" si="21"/>
        <v>0</v>
      </c>
      <c r="K120" s="288">
        <f t="shared" si="22"/>
        <v>0</v>
      </c>
      <c r="L120" s="12"/>
      <c r="M120" s="206">
        <f t="shared" ref="M120:M148" si="23">ROUND(D120+E120/60,2)</f>
        <v>0</v>
      </c>
      <c r="O120" s="163"/>
    </row>
    <row r="121" spans="1:15" x14ac:dyDescent="0.4">
      <c r="A121" s="258"/>
      <c r="B121" s="259"/>
      <c r="C121" s="260"/>
      <c r="D121" s="261"/>
      <c r="E121" s="262"/>
      <c r="F121" s="263"/>
      <c r="G121" s="263"/>
      <c r="H121" s="268"/>
      <c r="I121" s="264"/>
      <c r="J121" s="287">
        <f t="shared" si="21"/>
        <v>0</v>
      </c>
      <c r="K121" s="288">
        <f t="shared" si="22"/>
        <v>0</v>
      </c>
      <c r="L121" s="12"/>
      <c r="M121" s="206">
        <f t="shared" si="23"/>
        <v>0</v>
      </c>
    </row>
    <row r="122" spans="1:15" x14ac:dyDescent="0.4">
      <c r="A122" s="258"/>
      <c r="B122" s="259"/>
      <c r="C122" s="260"/>
      <c r="D122" s="261"/>
      <c r="E122" s="262"/>
      <c r="F122" s="263"/>
      <c r="G122" s="263"/>
      <c r="H122" s="268"/>
      <c r="I122" s="264"/>
      <c r="J122" s="287">
        <f t="shared" si="21"/>
        <v>0</v>
      </c>
      <c r="K122" s="288">
        <f t="shared" si="22"/>
        <v>0</v>
      </c>
      <c r="L122" s="12"/>
      <c r="M122" s="206">
        <f t="shared" si="23"/>
        <v>0</v>
      </c>
    </row>
    <row r="123" spans="1:15" x14ac:dyDescent="0.4">
      <c r="A123" s="258"/>
      <c r="B123" s="259"/>
      <c r="C123" s="260"/>
      <c r="D123" s="261"/>
      <c r="E123" s="262"/>
      <c r="F123" s="263"/>
      <c r="G123" s="263"/>
      <c r="H123" s="268"/>
      <c r="I123" s="264"/>
      <c r="J123" s="287">
        <f t="shared" si="21"/>
        <v>0</v>
      </c>
      <c r="K123" s="288">
        <f t="shared" si="22"/>
        <v>0</v>
      </c>
      <c r="L123" s="12"/>
      <c r="M123" s="206">
        <f t="shared" si="23"/>
        <v>0</v>
      </c>
    </row>
    <row r="124" spans="1:15" x14ac:dyDescent="0.4">
      <c r="A124" s="258"/>
      <c r="B124" s="259"/>
      <c r="C124" s="260"/>
      <c r="D124" s="261"/>
      <c r="E124" s="262"/>
      <c r="F124" s="263"/>
      <c r="G124" s="263"/>
      <c r="H124" s="268"/>
      <c r="I124" s="264"/>
      <c r="J124" s="287">
        <f t="shared" si="21"/>
        <v>0</v>
      </c>
      <c r="K124" s="288">
        <f t="shared" si="22"/>
        <v>0</v>
      </c>
      <c r="L124" s="12"/>
      <c r="M124" s="206">
        <f t="shared" si="23"/>
        <v>0</v>
      </c>
      <c r="O124" s="162"/>
    </row>
    <row r="125" spans="1:15" x14ac:dyDescent="0.4">
      <c r="A125" s="258"/>
      <c r="B125" s="259"/>
      <c r="C125" s="260"/>
      <c r="D125" s="262"/>
      <c r="E125" s="262"/>
      <c r="F125" s="263"/>
      <c r="G125" s="263"/>
      <c r="H125" s="268"/>
      <c r="I125" s="264"/>
      <c r="J125" s="287">
        <f t="shared" si="21"/>
        <v>0</v>
      </c>
      <c r="K125" s="288">
        <f t="shared" si="22"/>
        <v>0</v>
      </c>
      <c r="L125" s="12"/>
      <c r="M125" s="206">
        <f t="shared" si="23"/>
        <v>0</v>
      </c>
    </row>
    <row r="126" spans="1:15" x14ac:dyDescent="0.4">
      <c r="A126" s="258"/>
      <c r="B126" s="259"/>
      <c r="C126" s="260"/>
      <c r="D126" s="261"/>
      <c r="E126" s="262"/>
      <c r="F126" s="263"/>
      <c r="G126" s="263"/>
      <c r="H126" s="268"/>
      <c r="I126" s="264"/>
      <c r="J126" s="287">
        <f t="shared" si="21"/>
        <v>0</v>
      </c>
      <c r="K126" s="288">
        <f t="shared" si="22"/>
        <v>0</v>
      </c>
      <c r="L126" s="12"/>
      <c r="M126" s="206">
        <f t="shared" si="23"/>
        <v>0</v>
      </c>
    </row>
    <row r="127" spans="1:15" x14ac:dyDescent="0.4">
      <c r="A127" s="258"/>
      <c r="B127" s="259"/>
      <c r="C127" s="260"/>
      <c r="D127" s="261"/>
      <c r="E127" s="262"/>
      <c r="F127" s="263"/>
      <c r="G127" s="263"/>
      <c r="H127" s="268"/>
      <c r="I127" s="264"/>
      <c r="J127" s="287">
        <f t="shared" si="21"/>
        <v>0</v>
      </c>
      <c r="K127" s="288">
        <f t="shared" si="22"/>
        <v>0</v>
      </c>
      <c r="L127" s="12"/>
      <c r="M127" s="206">
        <f t="shared" si="23"/>
        <v>0</v>
      </c>
    </row>
    <row r="128" spans="1:15" x14ac:dyDescent="0.4">
      <c r="A128" s="258"/>
      <c r="B128" s="259"/>
      <c r="C128" s="260"/>
      <c r="D128" s="261"/>
      <c r="E128" s="262"/>
      <c r="F128" s="263"/>
      <c r="G128" s="263"/>
      <c r="H128" s="268"/>
      <c r="I128" s="264"/>
      <c r="J128" s="287">
        <f t="shared" si="21"/>
        <v>0</v>
      </c>
      <c r="K128" s="288">
        <f t="shared" si="22"/>
        <v>0</v>
      </c>
      <c r="L128" s="12"/>
      <c r="M128" s="206">
        <f t="shared" si="23"/>
        <v>0</v>
      </c>
    </row>
    <row r="129" spans="1:14" x14ac:dyDescent="0.4">
      <c r="A129" s="258"/>
      <c r="B129" s="259"/>
      <c r="C129" s="259"/>
      <c r="D129" s="262"/>
      <c r="E129" s="262"/>
      <c r="F129" s="263"/>
      <c r="G129" s="263"/>
      <c r="H129" s="268"/>
      <c r="I129" s="264"/>
      <c r="J129" s="287">
        <f t="shared" si="21"/>
        <v>0</v>
      </c>
      <c r="K129" s="288">
        <f t="shared" si="22"/>
        <v>0</v>
      </c>
      <c r="L129" s="12"/>
      <c r="M129" s="206">
        <f t="shared" si="23"/>
        <v>0</v>
      </c>
      <c r="N129" s="161"/>
    </row>
    <row r="130" spans="1:14" x14ac:dyDescent="0.4">
      <c r="A130" s="258"/>
      <c r="B130" s="259"/>
      <c r="C130" s="260"/>
      <c r="D130" s="262"/>
      <c r="E130" s="262"/>
      <c r="F130" s="263"/>
      <c r="G130" s="263"/>
      <c r="H130" s="268"/>
      <c r="I130" s="264"/>
      <c r="J130" s="287">
        <f t="shared" si="21"/>
        <v>0</v>
      </c>
      <c r="K130" s="288">
        <f t="shared" si="22"/>
        <v>0</v>
      </c>
      <c r="L130" s="12"/>
      <c r="M130" s="206">
        <f t="shared" si="23"/>
        <v>0</v>
      </c>
      <c r="N130" s="161"/>
    </row>
    <row r="131" spans="1:14" x14ac:dyDescent="0.4">
      <c r="A131" s="258"/>
      <c r="B131" s="259"/>
      <c r="C131" s="260"/>
      <c r="D131" s="261"/>
      <c r="E131" s="262"/>
      <c r="F131" s="263"/>
      <c r="G131" s="263"/>
      <c r="H131" s="268"/>
      <c r="I131" s="264"/>
      <c r="J131" s="287">
        <f t="shared" si="21"/>
        <v>0</v>
      </c>
      <c r="K131" s="288">
        <f t="shared" si="22"/>
        <v>0</v>
      </c>
      <c r="L131" s="12"/>
      <c r="M131" s="206">
        <f t="shared" si="23"/>
        <v>0</v>
      </c>
      <c r="N131" s="161"/>
    </row>
    <row r="132" spans="1:14" x14ac:dyDescent="0.4">
      <c r="A132" s="258"/>
      <c r="B132" s="259"/>
      <c r="C132" s="260"/>
      <c r="D132" s="261"/>
      <c r="E132" s="262"/>
      <c r="F132" s="263"/>
      <c r="G132" s="263"/>
      <c r="H132" s="268"/>
      <c r="I132" s="264"/>
      <c r="J132" s="287">
        <f t="shared" si="21"/>
        <v>0</v>
      </c>
      <c r="K132" s="288">
        <f t="shared" si="22"/>
        <v>0</v>
      </c>
      <c r="L132" s="12"/>
      <c r="M132" s="206">
        <f t="shared" si="23"/>
        <v>0</v>
      </c>
      <c r="N132" s="161"/>
    </row>
    <row r="133" spans="1:14" x14ac:dyDescent="0.4">
      <c r="A133" s="258"/>
      <c r="B133" s="259"/>
      <c r="C133" s="260"/>
      <c r="D133" s="261"/>
      <c r="E133" s="262"/>
      <c r="F133" s="263"/>
      <c r="G133" s="263"/>
      <c r="H133" s="268"/>
      <c r="I133" s="264"/>
      <c r="J133" s="287">
        <f t="shared" si="21"/>
        <v>0</v>
      </c>
      <c r="K133" s="288">
        <f t="shared" si="22"/>
        <v>0</v>
      </c>
      <c r="L133" s="12"/>
      <c r="M133" s="206">
        <f t="shared" si="23"/>
        <v>0</v>
      </c>
      <c r="N133" s="161"/>
    </row>
    <row r="134" spans="1:14" x14ac:dyDescent="0.4">
      <c r="A134" s="258"/>
      <c r="B134" s="259"/>
      <c r="C134" s="260"/>
      <c r="D134" s="262"/>
      <c r="E134" s="262"/>
      <c r="F134" s="263"/>
      <c r="G134" s="263"/>
      <c r="H134" s="268"/>
      <c r="I134" s="264"/>
      <c r="J134" s="287">
        <f t="shared" si="21"/>
        <v>0</v>
      </c>
      <c r="K134" s="288">
        <f t="shared" si="22"/>
        <v>0</v>
      </c>
      <c r="L134" s="12"/>
      <c r="M134" s="206">
        <f t="shared" si="23"/>
        <v>0</v>
      </c>
      <c r="N134" s="161"/>
    </row>
    <row r="135" spans="1:14" x14ac:dyDescent="0.4">
      <c r="A135" s="258"/>
      <c r="B135" s="259"/>
      <c r="C135" s="260"/>
      <c r="D135" s="262"/>
      <c r="E135" s="262"/>
      <c r="F135" s="263"/>
      <c r="G135" s="263"/>
      <c r="H135" s="268"/>
      <c r="I135" s="264"/>
      <c r="J135" s="287">
        <f t="shared" si="21"/>
        <v>0</v>
      </c>
      <c r="K135" s="288">
        <f t="shared" si="22"/>
        <v>0</v>
      </c>
      <c r="L135" s="12"/>
      <c r="M135" s="206">
        <f t="shared" si="23"/>
        <v>0</v>
      </c>
    </row>
    <row r="136" spans="1:14" x14ac:dyDescent="0.4">
      <c r="A136" s="258"/>
      <c r="B136" s="259"/>
      <c r="C136" s="260"/>
      <c r="D136" s="262"/>
      <c r="E136" s="262"/>
      <c r="F136" s="263"/>
      <c r="G136" s="263"/>
      <c r="H136" s="268"/>
      <c r="I136" s="264"/>
      <c r="J136" s="287">
        <f t="shared" si="21"/>
        <v>0</v>
      </c>
      <c r="K136" s="288">
        <f t="shared" si="22"/>
        <v>0</v>
      </c>
      <c r="L136" s="12"/>
      <c r="M136" s="206">
        <f t="shared" si="23"/>
        <v>0</v>
      </c>
    </row>
    <row r="137" spans="1:14" x14ac:dyDescent="0.4">
      <c r="A137" s="258"/>
      <c r="B137" s="259"/>
      <c r="C137" s="260"/>
      <c r="D137" s="262"/>
      <c r="E137" s="262"/>
      <c r="F137" s="263"/>
      <c r="G137" s="263"/>
      <c r="H137" s="268"/>
      <c r="I137" s="264"/>
      <c r="J137" s="287">
        <f t="shared" si="21"/>
        <v>0</v>
      </c>
      <c r="K137" s="288">
        <f t="shared" si="22"/>
        <v>0</v>
      </c>
      <c r="L137" s="12"/>
      <c r="M137" s="206">
        <f t="shared" si="23"/>
        <v>0</v>
      </c>
    </row>
    <row r="138" spans="1:14" x14ac:dyDescent="0.4">
      <c r="A138" s="258"/>
      <c r="B138" s="259"/>
      <c r="C138" s="260"/>
      <c r="D138" s="262"/>
      <c r="E138" s="262"/>
      <c r="F138" s="263"/>
      <c r="G138" s="263"/>
      <c r="H138" s="268"/>
      <c r="I138" s="264"/>
      <c r="J138" s="287">
        <f t="shared" si="21"/>
        <v>0</v>
      </c>
      <c r="K138" s="288">
        <f t="shared" si="22"/>
        <v>0</v>
      </c>
      <c r="L138" s="12"/>
      <c r="M138" s="206">
        <f t="shared" si="23"/>
        <v>0</v>
      </c>
    </row>
    <row r="139" spans="1:14" x14ac:dyDescent="0.4">
      <c r="A139" s="258"/>
      <c r="B139" s="259"/>
      <c r="C139" s="260"/>
      <c r="D139" s="262"/>
      <c r="E139" s="262"/>
      <c r="F139" s="263"/>
      <c r="G139" s="263"/>
      <c r="H139" s="268"/>
      <c r="I139" s="264"/>
      <c r="J139" s="287">
        <f t="shared" si="21"/>
        <v>0</v>
      </c>
      <c r="K139" s="288">
        <f t="shared" si="22"/>
        <v>0</v>
      </c>
      <c r="L139" s="12"/>
      <c r="M139" s="206">
        <f t="shared" si="23"/>
        <v>0</v>
      </c>
    </row>
    <row r="140" spans="1:14" x14ac:dyDescent="0.4">
      <c r="A140" s="258"/>
      <c r="B140" s="259"/>
      <c r="C140" s="260"/>
      <c r="D140" s="262"/>
      <c r="E140" s="262"/>
      <c r="F140" s="263"/>
      <c r="G140" s="263"/>
      <c r="H140" s="268"/>
      <c r="I140" s="264"/>
      <c r="J140" s="287">
        <f t="shared" si="21"/>
        <v>0</v>
      </c>
      <c r="K140" s="288">
        <f t="shared" si="22"/>
        <v>0</v>
      </c>
      <c r="L140" s="12"/>
      <c r="M140" s="206">
        <f t="shared" si="23"/>
        <v>0</v>
      </c>
    </row>
    <row r="141" spans="1:14" x14ac:dyDescent="0.4">
      <c r="A141" s="258"/>
      <c r="B141" s="259"/>
      <c r="C141" s="271"/>
      <c r="D141" s="262"/>
      <c r="E141" s="262"/>
      <c r="F141" s="263"/>
      <c r="G141" s="263"/>
      <c r="H141" s="268"/>
      <c r="I141" s="272"/>
      <c r="J141" s="287">
        <f t="shared" si="21"/>
        <v>0</v>
      </c>
      <c r="K141" s="288">
        <f t="shared" si="22"/>
        <v>0</v>
      </c>
      <c r="L141" s="12"/>
      <c r="M141" s="206">
        <f t="shared" si="23"/>
        <v>0</v>
      </c>
    </row>
    <row r="142" spans="1:14" x14ac:dyDescent="0.4">
      <c r="A142" s="258"/>
      <c r="B142" s="259"/>
      <c r="C142" s="271"/>
      <c r="D142" s="262"/>
      <c r="E142" s="262"/>
      <c r="F142" s="263"/>
      <c r="G142" s="263"/>
      <c r="H142" s="268"/>
      <c r="I142" s="272"/>
      <c r="J142" s="287">
        <f t="shared" si="21"/>
        <v>0</v>
      </c>
      <c r="K142" s="288">
        <f t="shared" si="22"/>
        <v>0</v>
      </c>
      <c r="L142" s="12"/>
      <c r="M142" s="206">
        <f t="shared" si="23"/>
        <v>0</v>
      </c>
    </row>
    <row r="143" spans="1:14" x14ac:dyDescent="0.4">
      <c r="A143" s="258"/>
      <c r="B143" s="259"/>
      <c r="C143" s="271"/>
      <c r="D143" s="262"/>
      <c r="E143" s="262"/>
      <c r="F143" s="263"/>
      <c r="G143" s="263"/>
      <c r="H143" s="268"/>
      <c r="I143" s="264"/>
      <c r="J143" s="287">
        <f t="shared" si="21"/>
        <v>0</v>
      </c>
      <c r="K143" s="288">
        <f t="shared" si="22"/>
        <v>0</v>
      </c>
      <c r="L143" s="12"/>
      <c r="M143" s="206">
        <f t="shared" si="23"/>
        <v>0</v>
      </c>
    </row>
    <row r="144" spans="1:14" x14ac:dyDescent="0.4">
      <c r="A144" s="258"/>
      <c r="B144" s="259"/>
      <c r="C144" s="271"/>
      <c r="D144" s="262"/>
      <c r="E144" s="262"/>
      <c r="F144" s="263"/>
      <c r="G144" s="263"/>
      <c r="H144" s="268"/>
      <c r="I144" s="264"/>
      <c r="J144" s="287">
        <f t="shared" si="21"/>
        <v>0</v>
      </c>
      <c r="K144" s="288">
        <f t="shared" si="22"/>
        <v>0</v>
      </c>
      <c r="L144" s="12"/>
      <c r="M144" s="206">
        <f t="shared" si="23"/>
        <v>0</v>
      </c>
    </row>
    <row r="145" spans="1:13" x14ac:dyDescent="0.4">
      <c r="A145" s="258"/>
      <c r="B145" s="259"/>
      <c r="C145" s="271"/>
      <c r="D145" s="262"/>
      <c r="E145" s="262"/>
      <c r="F145" s="263"/>
      <c r="G145" s="263"/>
      <c r="H145" s="268"/>
      <c r="I145" s="264"/>
      <c r="J145" s="287">
        <f t="shared" si="21"/>
        <v>0</v>
      </c>
      <c r="K145" s="288">
        <f t="shared" si="22"/>
        <v>0</v>
      </c>
      <c r="L145" s="12"/>
      <c r="M145" s="206">
        <f t="shared" si="23"/>
        <v>0</v>
      </c>
    </row>
    <row r="146" spans="1:13" x14ac:dyDescent="0.4">
      <c r="A146" s="258"/>
      <c r="B146" s="259"/>
      <c r="C146" s="271"/>
      <c r="D146" s="262"/>
      <c r="E146" s="262"/>
      <c r="F146" s="263"/>
      <c r="G146" s="263"/>
      <c r="H146" s="268"/>
      <c r="I146" s="264"/>
      <c r="J146" s="287">
        <f t="shared" si="21"/>
        <v>0</v>
      </c>
      <c r="K146" s="288">
        <f t="shared" si="22"/>
        <v>0</v>
      </c>
      <c r="L146" s="12"/>
      <c r="M146" s="206">
        <f t="shared" si="23"/>
        <v>0</v>
      </c>
    </row>
    <row r="147" spans="1:13" x14ac:dyDescent="0.4">
      <c r="A147" s="258"/>
      <c r="B147" s="259"/>
      <c r="C147" s="271"/>
      <c r="D147" s="262"/>
      <c r="E147" s="262"/>
      <c r="F147" s="263"/>
      <c r="G147" s="263"/>
      <c r="H147" s="268"/>
      <c r="I147" s="264"/>
      <c r="J147" s="287">
        <f t="shared" si="21"/>
        <v>0</v>
      </c>
      <c r="K147" s="288">
        <f t="shared" si="22"/>
        <v>0</v>
      </c>
      <c r="L147" s="12"/>
      <c r="M147" s="206">
        <f t="shared" si="23"/>
        <v>0</v>
      </c>
    </row>
    <row r="148" spans="1:13" x14ac:dyDescent="0.4">
      <c r="A148" s="258"/>
      <c r="B148" s="259"/>
      <c r="C148" s="271"/>
      <c r="D148" s="262"/>
      <c r="E148" s="262"/>
      <c r="F148" s="263"/>
      <c r="G148" s="263"/>
      <c r="H148" s="268"/>
      <c r="I148" s="264"/>
      <c r="J148" s="287">
        <f t="shared" si="21"/>
        <v>0</v>
      </c>
      <c r="K148" s="288">
        <f t="shared" si="22"/>
        <v>0</v>
      </c>
      <c r="L148" s="12"/>
      <c r="M148" s="206">
        <f t="shared" si="23"/>
        <v>0</v>
      </c>
    </row>
    <row r="149" spans="1:13" x14ac:dyDescent="0.4">
      <c r="A149" s="258"/>
      <c r="B149" s="259"/>
      <c r="C149" s="259"/>
      <c r="D149" s="262"/>
      <c r="E149" s="262"/>
      <c r="F149" s="263"/>
      <c r="G149" s="263"/>
      <c r="H149" s="268"/>
      <c r="I149" s="264"/>
      <c r="J149" s="287">
        <f t="shared" si="21"/>
        <v>0</v>
      </c>
      <c r="K149" s="288">
        <f t="shared" si="22"/>
        <v>0</v>
      </c>
      <c r="L149" s="12"/>
      <c r="M149" s="206">
        <f t="shared" ref="M149:M175" si="24">ROUND(D149+E149/60,2)</f>
        <v>0</v>
      </c>
    </row>
    <row r="150" spans="1:13" x14ac:dyDescent="0.4">
      <c r="A150" s="258"/>
      <c r="B150" s="259"/>
      <c r="C150" s="271"/>
      <c r="D150" s="262"/>
      <c r="E150" s="262"/>
      <c r="F150" s="263"/>
      <c r="G150" s="263"/>
      <c r="H150" s="268"/>
      <c r="I150" s="264"/>
      <c r="J150" s="287">
        <f t="shared" si="21"/>
        <v>0</v>
      </c>
      <c r="K150" s="288">
        <f t="shared" si="22"/>
        <v>0</v>
      </c>
      <c r="L150" s="12"/>
      <c r="M150" s="206">
        <f t="shared" si="24"/>
        <v>0</v>
      </c>
    </row>
    <row r="151" spans="1:13" x14ac:dyDescent="0.4">
      <c r="A151" s="258"/>
      <c r="B151" s="259"/>
      <c r="C151" s="271"/>
      <c r="D151" s="262"/>
      <c r="E151" s="262"/>
      <c r="F151" s="263"/>
      <c r="G151" s="263"/>
      <c r="H151" s="268"/>
      <c r="I151" s="264"/>
      <c r="J151" s="287">
        <f t="shared" si="21"/>
        <v>0</v>
      </c>
      <c r="K151" s="288">
        <f t="shared" si="22"/>
        <v>0</v>
      </c>
      <c r="L151" s="12"/>
      <c r="M151" s="206">
        <f t="shared" si="24"/>
        <v>0</v>
      </c>
    </row>
    <row r="152" spans="1:13" x14ac:dyDescent="0.4">
      <c r="A152" s="258"/>
      <c r="B152" s="259"/>
      <c r="C152" s="259"/>
      <c r="D152" s="262"/>
      <c r="E152" s="262"/>
      <c r="F152" s="263"/>
      <c r="G152" s="263"/>
      <c r="H152" s="268"/>
      <c r="I152" s="264"/>
      <c r="J152" s="287">
        <f t="shared" si="21"/>
        <v>0</v>
      </c>
      <c r="K152" s="288">
        <f t="shared" si="22"/>
        <v>0</v>
      </c>
      <c r="L152" s="12"/>
      <c r="M152" s="206">
        <f t="shared" si="24"/>
        <v>0</v>
      </c>
    </row>
    <row r="153" spans="1:13" x14ac:dyDescent="0.4">
      <c r="A153" s="258"/>
      <c r="B153" s="259"/>
      <c r="C153" s="259"/>
      <c r="D153" s="262"/>
      <c r="E153" s="262"/>
      <c r="F153" s="263"/>
      <c r="G153" s="263"/>
      <c r="H153" s="268"/>
      <c r="I153" s="264"/>
      <c r="J153" s="287">
        <f t="shared" si="21"/>
        <v>0</v>
      </c>
      <c r="K153" s="288">
        <f t="shared" si="22"/>
        <v>0</v>
      </c>
      <c r="L153" s="12"/>
      <c r="M153" s="206">
        <f t="shared" si="24"/>
        <v>0</v>
      </c>
    </row>
    <row r="154" spans="1:13" x14ac:dyDescent="0.4">
      <c r="A154" s="258"/>
      <c r="B154" s="259"/>
      <c r="C154" s="271"/>
      <c r="D154" s="262"/>
      <c r="E154" s="262"/>
      <c r="F154" s="263"/>
      <c r="G154" s="263"/>
      <c r="H154" s="268"/>
      <c r="I154" s="264"/>
      <c r="J154" s="287">
        <f t="shared" si="21"/>
        <v>0</v>
      </c>
      <c r="K154" s="288">
        <f t="shared" si="22"/>
        <v>0</v>
      </c>
      <c r="L154" s="12"/>
      <c r="M154" s="206">
        <f t="shared" si="24"/>
        <v>0</v>
      </c>
    </row>
    <row r="155" spans="1:13" x14ac:dyDescent="0.4">
      <c r="A155" s="258"/>
      <c r="B155" s="259"/>
      <c r="C155" s="278"/>
      <c r="D155" s="262"/>
      <c r="E155" s="262"/>
      <c r="F155" s="263"/>
      <c r="G155" s="263"/>
      <c r="H155" s="268"/>
      <c r="I155" s="264"/>
      <c r="J155" s="287">
        <f>IF(F155="TLX",ROUND(M155/32*H155,2),ROUND(M155*H155,2))</f>
        <v>0</v>
      </c>
      <c r="K155" s="288">
        <f>SUM(I155+J155)</f>
        <v>0</v>
      </c>
      <c r="L155" s="12"/>
      <c r="M155" s="206">
        <f t="shared" si="24"/>
        <v>0</v>
      </c>
    </row>
    <row r="156" spans="1:13" x14ac:dyDescent="0.4">
      <c r="A156" s="258"/>
      <c r="B156" s="259"/>
      <c r="C156" s="278"/>
      <c r="D156" s="262"/>
      <c r="E156" s="262"/>
      <c r="F156" s="263"/>
      <c r="G156" s="263"/>
      <c r="H156" s="268"/>
      <c r="I156" s="264"/>
      <c r="J156" s="287">
        <f>IF(F156="TLX",ROUND(M156/32*H156,2),ROUND(M156*H156,2))</f>
        <v>0</v>
      </c>
      <c r="K156" s="288">
        <f t="shared" ref="K156:K175" si="25">SUM(I156+J156)</f>
        <v>0</v>
      </c>
      <c r="L156" s="12"/>
      <c r="M156" s="206">
        <f t="shared" si="24"/>
        <v>0</v>
      </c>
    </row>
    <row r="157" spans="1:13" x14ac:dyDescent="0.4">
      <c r="A157" s="258"/>
      <c r="B157" s="259"/>
      <c r="C157" s="259"/>
      <c r="D157" s="262"/>
      <c r="E157" s="262"/>
      <c r="F157" s="263"/>
      <c r="G157" s="263"/>
      <c r="H157" s="268"/>
      <c r="I157" s="264"/>
      <c r="J157" s="287">
        <f t="shared" ref="J157:J175" si="26">IF(F157="TLX",ROUND(M157/32*H157,2),ROUND(M157*H157,2))</f>
        <v>0</v>
      </c>
      <c r="K157" s="288">
        <f t="shared" si="25"/>
        <v>0</v>
      </c>
      <c r="L157" s="12"/>
      <c r="M157" s="206">
        <f t="shared" si="24"/>
        <v>0</v>
      </c>
    </row>
    <row r="158" spans="1:13" x14ac:dyDescent="0.4">
      <c r="A158" s="258"/>
      <c r="B158" s="259"/>
      <c r="C158" s="259"/>
      <c r="D158" s="262"/>
      <c r="E158" s="262"/>
      <c r="F158" s="263"/>
      <c r="G158" s="263"/>
      <c r="H158" s="268"/>
      <c r="I158" s="264"/>
      <c r="J158" s="287">
        <f t="shared" si="26"/>
        <v>0</v>
      </c>
      <c r="K158" s="288">
        <f t="shared" si="25"/>
        <v>0</v>
      </c>
      <c r="L158" s="12"/>
      <c r="M158" s="206">
        <f t="shared" ref="M158:M165" si="27">ROUND(D158+E158/60,2)</f>
        <v>0</v>
      </c>
    </row>
    <row r="159" spans="1:13" x14ac:dyDescent="0.4">
      <c r="A159" s="258"/>
      <c r="B159" s="259"/>
      <c r="C159" s="295"/>
      <c r="D159" s="262"/>
      <c r="E159" s="262"/>
      <c r="F159" s="263"/>
      <c r="G159" s="263"/>
      <c r="H159" s="268"/>
      <c r="I159" s="264"/>
      <c r="J159" s="287">
        <f t="shared" si="26"/>
        <v>0</v>
      </c>
      <c r="K159" s="288">
        <f t="shared" si="25"/>
        <v>0</v>
      </c>
      <c r="L159" s="12"/>
      <c r="M159" s="206">
        <f t="shared" si="27"/>
        <v>0</v>
      </c>
    </row>
    <row r="160" spans="1:13" x14ac:dyDescent="0.4">
      <c r="A160" s="258"/>
      <c r="B160" s="259"/>
      <c r="C160" s="278"/>
      <c r="D160" s="262"/>
      <c r="E160" s="262"/>
      <c r="F160" s="263"/>
      <c r="G160" s="263"/>
      <c r="H160" s="268"/>
      <c r="I160" s="264"/>
      <c r="J160" s="287">
        <f t="shared" si="26"/>
        <v>0</v>
      </c>
      <c r="K160" s="288">
        <f t="shared" si="25"/>
        <v>0</v>
      </c>
      <c r="L160" s="12"/>
      <c r="M160" s="206">
        <f t="shared" si="27"/>
        <v>0</v>
      </c>
    </row>
    <row r="161" spans="1:13" x14ac:dyDescent="0.4">
      <c r="A161" s="258"/>
      <c r="B161" s="259"/>
      <c r="C161" s="259"/>
      <c r="D161" s="262"/>
      <c r="E161" s="262"/>
      <c r="F161" s="263"/>
      <c r="G161" s="263"/>
      <c r="H161" s="268"/>
      <c r="I161" s="264"/>
      <c r="J161" s="287">
        <f t="shared" si="26"/>
        <v>0</v>
      </c>
      <c r="K161" s="288">
        <f t="shared" si="25"/>
        <v>0</v>
      </c>
      <c r="L161" s="12"/>
      <c r="M161" s="206">
        <f t="shared" si="27"/>
        <v>0</v>
      </c>
    </row>
    <row r="162" spans="1:13" x14ac:dyDescent="0.4">
      <c r="A162" s="258"/>
      <c r="B162" s="259"/>
      <c r="C162" s="259"/>
      <c r="D162" s="262"/>
      <c r="E162" s="262"/>
      <c r="F162" s="263"/>
      <c r="G162" s="263"/>
      <c r="H162" s="268"/>
      <c r="I162" s="264"/>
      <c r="J162" s="287">
        <f t="shared" si="26"/>
        <v>0</v>
      </c>
      <c r="K162" s="288">
        <f t="shared" si="25"/>
        <v>0</v>
      </c>
      <c r="L162" s="12"/>
      <c r="M162" s="206">
        <f t="shared" si="27"/>
        <v>0</v>
      </c>
    </row>
    <row r="163" spans="1:13" x14ac:dyDescent="0.4">
      <c r="A163" s="258"/>
      <c r="B163" s="259"/>
      <c r="C163" s="271"/>
      <c r="D163" s="262"/>
      <c r="E163" s="262"/>
      <c r="F163" s="263"/>
      <c r="G163" s="263"/>
      <c r="H163" s="268"/>
      <c r="I163" s="264"/>
      <c r="J163" s="287">
        <f t="shared" si="26"/>
        <v>0</v>
      </c>
      <c r="K163" s="288">
        <f t="shared" si="25"/>
        <v>0</v>
      </c>
      <c r="L163" s="12"/>
      <c r="M163" s="206">
        <f t="shared" si="27"/>
        <v>0</v>
      </c>
    </row>
    <row r="164" spans="1:13" x14ac:dyDescent="0.4">
      <c r="A164" s="258"/>
      <c r="B164" s="259"/>
      <c r="C164" s="271"/>
      <c r="D164" s="262"/>
      <c r="E164" s="262"/>
      <c r="F164" s="263"/>
      <c r="G164" s="263"/>
      <c r="H164" s="268"/>
      <c r="I164" s="264"/>
      <c r="J164" s="287">
        <f>IF(F164="TLX",ROUND(M164/32*H164,2),ROUND(M164*H164,2))</f>
        <v>0</v>
      </c>
      <c r="K164" s="288">
        <f>SUM(I164+J164)</f>
        <v>0</v>
      </c>
      <c r="L164" s="12"/>
      <c r="M164" s="206">
        <f t="shared" si="27"/>
        <v>0</v>
      </c>
    </row>
    <row r="165" spans="1:13" x14ac:dyDescent="0.4">
      <c r="A165" s="258"/>
      <c r="B165" s="259"/>
      <c r="C165" s="259"/>
      <c r="D165" s="262"/>
      <c r="E165" s="262"/>
      <c r="F165" s="263"/>
      <c r="G165" s="263"/>
      <c r="H165" s="268"/>
      <c r="I165" s="264"/>
      <c r="J165" s="287">
        <f>IF(F165="TLX",ROUND(M165/32*H165,2),ROUND(M165*H165,2))</f>
        <v>0</v>
      </c>
      <c r="K165" s="288">
        <f>SUM(I165+J165)</f>
        <v>0</v>
      </c>
      <c r="L165" s="12"/>
      <c r="M165" s="206">
        <f t="shared" si="27"/>
        <v>0</v>
      </c>
    </row>
    <row r="166" spans="1:13" x14ac:dyDescent="0.4">
      <c r="A166" s="258"/>
      <c r="B166" s="259"/>
      <c r="C166" s="259"/>
      <c r="D166" s="262"/>
      <c r="E166" s="262"/>
      <c r="F166" s="263"/>
      <c r="G166" s="263"/>
      <c r="H166" s="268"/>
      <c r="I166" s="264"/>
      <c r="J166" s="287">
        <f t="shared" si="26"/>
        <v>0</v>
      </c>
      <c r="K166" s="288">
        <f t="shared" si="25"/>
        <v>0</v>
      </c>
      <c r="L166" s="12"/>
      <c r="M166" s="206">
        <f t="shared" si="24"/>
        <v>0</v>
      </c>
    </row>
    <row r="167" spans="1:13" x14ac:dyDescent="0.4">
      <c r="A167" s="258"/>
      <c r="B167" s="273"/>
      <c r="C167" s="273"/>
      <c r="D167" s="274"/>
      <c r="E167" s="274"/>
      <c r="F167" s="275"/>
      <c r="G167" s="275"/>
      <c r="H167" s="276"/>
      <c r="I167" s="277"/>
      <c r="J167" s="287">
        <f t="shared" si="26"/>
        <v>0</v>
      </c>
      <c r="K167" s="288">
        <f t="shared" si="25"/>
        <v>0</v>
      </c>
      <c r="L167" s="12"/>
      <c r="M167" s="206">
        <f t="shared" si="24"/>
        <v>0</v>
      </c>
    </row>
    <row r="168" spans="1:13" x14ac:dyDescent="0.4">
      <c r="A168" s="258"/>
      <c r="B168" s="278"/>
      <c r="C168" s="259"/>
      <c r="D168" s="279"/>
      <c r="E168" s="279"/>
      <c r="F168" s="280"/>
      <c r="G168" s="280"/>
      <c r="H168" s="281"/>
      <c r="I168" s="282"/>
      <c r="J168" s="287">
        <f t="shared" si="26"/>
        <v>0</v>
      </c>
      <c r="K168" s="288">
        <f t="shared" si="25"/>
        <v>0</v>
      </c>
      <c r="L168" s="12"/>
      <c r="M168" s="206">
        <f t="shared" si="24"/>
        <v>0</v>
      </c>
    </row>
    <row r="169" spans="1:13" x14ac:dyDescent="0.4">
      <c r="A169" s="258"/>
      <c r="B169" s="259"/>
      <c r="C169" s="259"/>
      <c r="D169" s="262"/>
      <c r="E169" s="262"/>
      <c r="F169" s="263"/>
      <c r="G169" s="263"/>
      <c r="H169" s="268"/>
      <c r="I169" s="264"/>
      <c r="J169" s="287">
        <f t="shared" si="26"/>
        <v>0</v>
      </c>
      <c r="K169" s="288">
        <f t="shared" si="25"/>
        <v>0</v>
      </c>
      <c r="L169" s="12"/>
      <c r="M169" s="206">
        <f t="shared" si="24"/>
        <v>0</v>
      </c>
    </row>
    <row r="170" spans="1:13" x14ac:dyDescent="0.4">
      <c r="A170" s="258"/>
      <c r="B170" s="259"/>
      <c r="C170" s="271"/>
      <c r="D170" s="262"/>
      <c r="E170" s="262"/>
      <c r="F170" s="263"/>
      <c r="G170" s="263"/>
      <c r="H170" s="268"/>
      <c r="I170" s="264"/>
      <c r="J170" s="287">
        <f t="shared" si="26"/>
        <v>0</v>
      </c>
      <c r="K170" s="288">
        <f t="shared" si="25"/>
        <v>0</v>
      </c>
      <c r="L170" s="12"/>
      <c r="M170" s="206">
        <f t="shared" si="24"/>
        <v>0</v>
      </c>
    </row>
    <row r="171" spans="1:13" x14ac:dyDescent="0.4">
      <c r="A171" s="258"/>
      <c r="B171" s="259"/>
      <c r="C171" s="271"/>
      <c r="D171" s="262"/>
      <c r="E171" s="262"/>
      <c r="F171" s="263"/>
      <c r="G171" s="263"/>
      <c r="H171" s="268"/>
      <c r="I171" s="264"/>
      <c r="J171" s="287">
        <f t="shared" si="26"/>
        <v>0</v>
      </c>
      <c r="K171" s="288">
        <f t="shared" si="25"/>
        <v>0</v>
      </c>
      <c r="L171" s="12"/>
      <c r="M171" s="206">
        <f t="shared" si="24"/>
        <v>0</v>
      </c>
    </row>
    <row r="172" spans="1:13" x14ac:dyDescent="0.4">
      <c r="A172" s="258"/>
      <c r="B172" s="259"/>
      <c r="C172" s="271"/>
      <c r="D172" s="262"/>
      <c r="E172" s="262"/>
      <c r="F172" s="263"/>
      <c r="G172" s="263"/>
      <c r="H172" s="268"/>
      <c r="I172" s="264"/>
      <c r="J172" s="287">
        <f t="shared" si="26"/>
        <v>0</v>
      </c>
      <c r="K172" s="288">
        <f t="shared" si="25"/>
        <v>0</v>
      </c>
      <c r="L172" s="12"/>
      <c r="M172" s="206">
        <f t="shared" si="24"/>
        <v>0</v>
      </c>
    </row>
    <row r="173" spans="1:13" x14ac:dyDescent="0.4">
      <c r="A173" s="258"/>
      <c r="B173" s="259"/>
      <c r="C173" s="259"/>
      <c r="D173" s="262"/>
      <c r="E173" s="262"/>
      <c r="F173" s="263"/>
      <c r="G173" s="263"/>
      <c r="H173" s="268"/>
      <c r="I173" s="264"/>
      <c r="J173" s="287">
        <f t="shared" si="26"/>
        <v>0</v>
      </c>
      <c r="K173" s="288">
        <f t="shared" si="25"/>
        <v>0</v>
      </c>
      <c r="L173" s="12"/>
      <c r="M173" s="206">
        <f t="shared" si="24"/>
        <v>0</v>
      </c>
    </row>
    <row r="174" spans="1:13" x14ac:dyDescent="0.4">
      <c r="A174" s="258"/>
      <c r="B174" s="260"/>
      <c r="C174" s="260"/>
      <c r="D174" s="283"/>
      <c r="E174" s="283"/>
      <c r="F174" s="284"/>
      <c r="G174" s="284"/>
      <c r="H174" s="285"/>
      <c r="I174" s="286"/>
      <c r="J174" s="289">
        <f t="shared" si="26"/>
        <v>0</v>
      </c>
      <c r="K174" s="288">
        <f t="shared" si="25"/>
        <v>0</v>
      </c>
      <c r="L174" s="12"/>
      <c r="M174" s="206">
        <f t="shared" si="24"/>
        <v>0</v>
      </c>
    </row>
    <row r="175" spans="1:13" x14ac:dyDescent="0.4">
      <c r="A175" s="258"/>
      <c r="B175" s="260"/>
      <c r="C175" s="260"/>
      <c r="D175" s="283"/>
      <c r="E175" s="283"/>
      <c r="F175" s="284"/>
      <c r="G175" s="284"/>
      <c r="H175" s="285"/>
      <c r="I175" s="286"/>
      <c r="J175" s="300">
        <f t="shared" si="26"/>
        <v>0</v>
      </c>
      <c r="K175" s="297">
        <f t="shared" si="25"/>
        <v>0</v>
      </c>
      <c r="L175" s="12"/>
      <c r="M175" s="206">
        <f t="shared" si="24"/>
        <v>0</v>
      </c>
    </row>
    <row r="176" spans="1:13" x14ac:dyDescent="0.4">
      <c r="A176" s="258"/>
      <c r="B176" s="291"/>
      <c r="C176" s="260"/>
      <c r="D176" s="293"/>
      <c r="E176" s="279"/>
      <c r="F176" s="280"/>
      <c r="G176" s="280"/>
      <c r="H176" s="281"/>
      <c r="I176" s="282"/>
      <c r="J176" s="298">
        <f t="shared" ref="J176:J212" si="28">IF(F176="TLX",ROUND(M176/32*H176,2),ROUND(M176*H176,2))</f>
        <v>0</v>
      </c>
      <c r="K176" s="299">
        <f t="shared" ref="K176:K212" si="29">SUM(I176+J176)</f>
        <v>0</v>
      </c>
      <c r="L176" s="12"/>
      <c r="M176" s="206">
        <f>ROUND(D176+E176/60,2)</f>
        <v>0</v>
      </c>
    </row>
    <row r="177" spans="1:15" x14ac:dyDescent="0.4">
      <c r="A177" s="258"/>
      <c r="B177" s="259"/>
      <c r="C177" s="260"/>
      <c r="D177" s="261"/>
      <c r="E177" s="262"/>
      <c r="F177" s="263"/>
      <c r="G177" s="263"/>
      <c r="H177" s="268"/>
      <c r="I177" s="264"/>
      <c r="J177" s="287">
        <f t="shared" si="28"/>
        <v>0</v>
      </c>
      <c r="K177" s="288">
        <f t="shared" si="29"/>
        <v>0</v>
      </c>
      <c r="L177" s="12"/>
      <c r="M177" s="206">
        <f>ROUND(D177+E177/60,2)</f>
        <v>0</v>
      </c>
    </row>
    <row r="178" spans="1:15" x14ac:dyDescent="0.4">
      <c r="A178" s="258"/>
      <c r="B178" s="259"/>
      <c r="C178" s="271"/>
      <c r="D178" s="261"/>
      <c r="E178" s="262"/>
      <c r="F178" s="263"/>
      <c r="G178" s="263"/>
      <c r="H178" s="268"/>
      <c r="I178" s="264"/>
      <c r="J178" s="287">
        <f t="shared" si="28"/>
        <v>0</v>
      </c>
      <c r="K178" s="288">
        <f t="shared" si="29"/>
        <v>0</v>
      </c>
      <c r="L178" s="12"/>
      <c r="M178" s="206">
        <f t="shared" ref="M178:M221" si="30">ROUND(D178+E178/60,2)</f>
        <v>0</v>
      </c>
      <c r="O178" s="163"/>
    </row>
    <row r="179" spans="1:15" x14ac:dyDescent="0.4">
      <c r="A179" s="258"/>
      <c r="B179" s="259"/>
      <c r="C179" s="271"/>
      <c r="D179" s="261"/>
      <c r="E179" s="262"/>
      <c r="F179" s="263"/>
      <c r="G179" s="263"/>
      <c r="H179" s="268"/>
      <c r="I179" s="264"/>
      <c r="J179" s="287">
        <f t="shared" si="28"/>
        <v>0</v>
      </c>
      <c r="K179" s="288">
        <f t="shared" si="29"/>
        <v>0</v>
      </c>
      <c r="L179" s="12"/>
      <c r="M179" s="206">
        <f t="shared" si="30"/>
        <v>0</v>
      </c>
    </row>
    <row r="180" spans="1:15" x14ac:dyDescent="0.4">
      <c r="A180" s="258"/>
      <c r="B180" s="259"/>
      <c r="C180" s="271"/>
      <c r="D180" s="261"/>
      <c r="E180" s="262"/>
      <c r="F180" s="263"/>
      <c r="G180" s="263"/>
      <c r="H180" s="268"/>
      <c r="I180" s="264"/>
      <c r="J180" s="287">
        <f t="shared" si="28"/>
        <v>0</v>
      </c>
      <c r="K180" s="288">
        <f t="shared" si="29"/>
        <v>0</v>
      </c>
      <c r="L180" s="12"/>
      <c r="M180" s="206">
        <f t="shared" si="30"/>
        <v>0</v>
      </c>
    </row>
    <row r="181" spans="1:15" x14ac:dyDescent="0.4">
      <c r="A181" s="258"/>
      <c r="B181" s="259"/>
      <c r="C181" s="260"/>
      <c r="D181" s="261"/>
      <c r="E181" s="262"/>
      <c r="F181" s="263"/>
      <c r="G181" s="263"/>
      <c r="H181" s="268"/>
      <c r="I181" s="264"/>
      <c r="J181" s="287">
        <f t="shared" si="28"/>
        <v>0</v>
      </c>
      <c r="K181" s="288">
        <f t="shared" si="29"/>
        <v>0</v>
      </c>
      <c r="L181" s="12"/>
      <c r="M181" s="206">
        <f t="shared" si="30"/>
        <v>0</v>
      </c>
    </row>
    <row r="182" spans="1:15" x14ac:dyDescent="0.4">
      <c r="A182" s="258"/>
      <c r="B182" s="259"/>
      <c r="C182" s="260"/>
      <c r="D182" s="261"/>
      <c r="E182" s="262"/>
      <c r="F182" s="263"/>
      <c r="G182" s="263"/>
      <c r="H182" s="268"/>
      <c r="I182" s="264"/>
      <c r="J182" s="287">
        <f t="shared" si="28"/>
        <v>0</v>
      </c>
      <c r="K182" s="288">
        <f t="shared" si="29"/>
        <v>0</v>
      </c>
      <c r="L182" s="12"/>
      <c r="M182" s="206">
        <f t="shared" si="30"/>
        <v>0</v>
      </c>
      <c r="O182" s="162"/>
    </row>
    <row r="183" spans="1:15" x14ac:dyDescent="0.4">
      <c r="A183" s="258"/>
      <c r="B183" s="259"/>
      <c r="C183" s="260"/>
      <c r="D183" s="262"/>
      <c r="E183" s="262"/>
      <c r="F183" s="263"/>
      <c r="G183" s="263"/>
      <c r="H183" s="268"/>
      <c r="I183" s="264"/>
      <c r="J183" s="287">
        <f t="shared" si="28"/>
        <v>0</v>
      </c>
      <c r="K183" s="288">
        <f t="shared" si="29"/>
        <v>0</v>
      </c>
      <c r="L183" s="12"/>
      <c r="M183" s="206">
        <f t="shared" si="30"/>
        <v>0</v>
      </c>
    </row>
    <row r="184" spans="1:15" x14ac:dyDescent="0.4">
      <c r="A184" s="258"/>
      <c r="B184" s="259"/>
      <c r="C184" s="260"/>
      <c r="D184" s="261"/>
      <c r="E184" s="262"/>
      <c r="F184" s="263"/>
      <c r="G184" s="263"/>
      <c r="H184" s="268"/>
      <c r="I184" s="264"/>
      <c r="J184" s="287">
        <f t="shared" si="28"/>
        <v>0</v>
      </c>
      <c r="K184" s="288">
        <f t="shared" si="29"/>
        <v>0</v>
      </c>
      <c r="L184" s="12"/>
      <c r="M184" s="206">
        <f t="shared" si="30"/>
        <v>0</v>
      </c>
    </row>
    <row r="185" spans="1:15" x14ac:dyDescent="0.4">
      <c r="A185" s="258"/>
      <c r="B185" s="259"/>
      <c r="C185" s="260"/>
      <c r="D185" s="261"/>
      <c r="E185" s="262"/>
      <c r="F185" s="263"/>
      <c r="G185" s="263"/>
      <c r="H185" s="268"/>
      <c r="I185" s="264"/>
      <c r="J185" s="287">
        <f t="shared" si="28"/>
        <v>0</v>
      </c>
      <c r="K185" s="288">
        <f t="shared" si="29"/>
        <v>0</v>
      </c>
      <c r="L185" s="12"/>
      <c r="M185" s="206">
        <f t="shared" si="30"/>
        <v>0</v>
      </c>
    </row>
    <row r="186" spans="1:15" x14ac:dyDescent="0.4">
      <c r="A186" s="258"/>
      <c r="B186" s="259"/>
      <c r="C186" s="260"/>
      <c r="D186" s="261"/>
      <c r="E186" s="262"/>
      <c r="F186" s="263"/>
      <c r="G186" s="263"/>
      <c r="H186" s="268"/>
      <c r="I186" s="264"/>
      <c r="J186" s="287">
        <f t="shared" si="28"/>
        <v>0</v>
      </c>
      <c r="K186" s="288">
        <f t="shared" si="29"/>
        <v>0</v>
      </c>
      <c r="L186" s="12"/>
      <c r="M186" s="206">
        <f t="shared" si="30"/>
        <v>0</v>
      </c>
    </row>
    <row r="187" spans="1:15" x14ac:dyDescent="0.4">
      <c r="A187" s="258"/>
      <c r="B187" s="259"/>
      <c r="C187" s="259"/>
      <c r="D187" s="262"/>
      <c r="E187" s="262"/>
      <c r="F187" s="263"/>
      <c r="G187" s="263"/>
      <c r="H187" s="268"/>
      <c r="I187" s="264"/>
      <c r="J187" s="287">
        <f t="shared" si="28"/>
        <v>0</v>
      </c>
      <c r="K187" s="288">
        <f t="shared" si="29"/>
        <v>0</v>
      </c>
      <c r="L187" s="12"/>
      <c r="M187" s="206">
        <f t="shared" si="30"/>
        <v>0</v>
      </c>
      <c r="N187" s="161"/>
    </row>
    <row r="188" spans="1:15" x14ac:dyDescent="0.4">
      <c r="A188" s="258"/>
      <c r="B188" s="259"/>
      <c r="C188" s="260"/>
      <c r="D188" s="262"/>
      <c r="E188" s="262"/>
      <c r="F188" s="263"/>
      <c r="G188" s="263"/>
      <c r="H188" s="268"/>
      <c r="I188" s="264"/>
      <c r="J188" s="287">
        <f t="shared" si="28"/>
        <v>0</v>
      </c>
      <c r="K188" s="288">
        <f t="shared" si="29"/>
        <v>0</v>
      </c>
      <c r="L188" s="12"/>
      <c r="M188" s="206">
        <f t="shared" si="30"/>
        <v>0</v>
      </c>
      <c r="N188" s="161"/>
    </row>
    <row r="189" spans="1:15" x14ac:dyDescent="0.4">
      <c r="A189" s="258"/>
      <c r="B189" s="259"/>
      <c r="C189" s="260"/>
      <c r="D189" s="261"/>
      <c r="E189" s="262"/>
      <c r="F189" s="263"/>
      <c r="G189" s="263"/>
      <c r="H189" s="268"/>
      <c r="I189" s="264"/>
      <c r="J189" s="287">
        <f t="shared" si="28"/>
        <v>0</v>
      </c>
      <c r="K189" s="288">
        <f t="shared" si="29"/>
        <v>0</v>
      </c>
      <c r="L189" s="12"/>
      <c r="M189" s="206">
        <f t="shared" si="30"/>
        <v>0</v>
      </c>
      <c r="N189" s="161"/>
    </row>
    <row r="190" spans="1:15" x14ac:dyDescent="0.4">
      <c r="A190" s="258"/>
      <c r="B190" s="259"/>
      <c r="C190" s="260"/>
      <c r="D190" s="261"/>
      <c r="E190" s="262"/>
      <c r="F190" s="263"/>
      <c r="G190" s="263"/>
      <c r="H190" s="268"/>
      <c r="I190" s="264"/>
      <c r="J190" s="287">
        <f t="shared" si="28"/>
        <v>0</v>
      </c>
      <c r="K190" s="288">
        <f t="shared" si="29"/>
        <v>0</v>
      </c>
      <c r="L190" s="12"/>
      <c r="M190" s="206">
        <f t="shared" si="30"/>
        <v>0</v>
      </c>
      <c r="N190" s="161"/>
    </row>
    <row r="191" spans="1:15" x14ac:dyDescent="0.4">
      <c r="A191" s="258"/>
      <c r="B191" s="259"/>
      <c r="C191" s="260"/>
      <c r="D191" s="261"/>
      <c r="E191" s="262"/>
      <c r="F191" s="263"/>
      <c r="G191" s="263"/>
      <c r="H191" s="268"/>
      <c r="I191" s="264"/>
      <c r="J191" s="287">
        <f t="shared" si="28"/>
        <v>0</v>
      </c>
      <c r="K191" s="288">
        <f t="shared" si="29"/>
        <v>0</v>
      </c>
      <c r="L191" s="12"/>
      <c r="M191" s="206">
        <f t="shared" si="30"/>
        <v>0</v>
      </c>
      <c r="N191" s="161"/>
    </row>
    <row r="192" spans="1:15" x14ac:dyDescent="0.4">
      <c r="A192" s="258"/>
      <c r="B192" s="259"/>
      <c r="C192" s="260"/>
      <c r="D192" s="262"/>
      <c r="E192" s="262"/>
      <c r="F192" s="263"/>
      <c r="G192" s="263"/>
      <c r="H192" s="268"/>
      <c r="I192" s="264"/>
      <c r="J192" s="287">
        <f t="shared" si="28"/>
        <v>0</v>
      </c>
      <c r="K192" s="288">
        <f t="shared" si="29"/>
        <v>0</v>
      </c>
      <c r="L192" s="12"/>
      <c r="M192" s="206">
        <f t="shared" si="30"/>
        <v>0</v>
      </c>
      <c r="N192" s="161"/>
    </row>
    <row r="193" spans="1:13" x14ac:dyDescent="0.4">
      <c r="A193" s="258"/>
      <c r="B193" s="259"/>
      <c r="C193" s="260"/>
      <c r="D193" s="262"/>
      <c r="E193" s="262"/>
      <c r="F193" s="263"/>
      <c r="G193" s="263"/>
      <c r="H193" s="268"/>
      <c r="I193" s="264"/>
      <c r="J193" s="287">
        <f t="shared" si="28"/>
        <v>0</v>
      </c>
      <c r="K193" s="288">
        <f t="shared" si="29"/>
        <v>0</v>
      </c>
      <c r="L193" s="12"/>
      <c r="M193" s="206">
        <f t="shared" si="30"/>
        <v>0</v>
      </c>
    </row>
    <row r="194" spans="1:13" x14ac:dyDescent="0.4">
      <c r="A194" s="258"/>
      <c r="B194" s="259"/>
      <c r="C194" s="260"/>
      <c r="D194" s="262"/>
      <c r="E194" s="262"/>
      <c r="F194" s="263"/>
      <c r="G194" s="263"/>
      <c r="H194" s="268"/>
      <c r="I194" s="264"/>
      <c r="J194" s="287">
        <f t="shared" si="28"/>
        <v>0</v>
      </c>
      <c r="K194" s="288">
        <f t="shared" si="29"/>
        <v>0</v>
      </c>
      <c r="L194" s="12"/>
      <c r="M194" s="206">
        <f t="shared" si="30"/>
        <v>0</v>
      </c>
    </row>
    <row r="195" spans="1:13" x14ac:dyDescent="0.4">
      <c r="A195" s="258"/>
      <c r="B195" s="259"/>
      <c r="C195" s="260"/>
      <c r="D195" s="262"/>
      <c r="E195" s="262"/>
      <c r="F195" s="263"/>
      <c r="G195" s="263"/>
      <c r="H195" s="268"/>
      <c r="I195" s="264"/>
      <c r="J195" s="287">
        <f t="shared" si="28"/>
        <v>0</v>
      </c>
      <c r="K195" s="288">
        <f t="shared" si="29"/>
        <v>0</v>
      </c>
      <c r="L195" s="12"/>
      <c r="M195" s="206">
        <f t="shared" si="30"/>
        <v>0</v>
      </c>
    </row>
    <row r="196" spans="1:13" x14ac:dyDescent="0.4">
      <c r="A196" s="258"/>
      <c r="B196" s="259"/>
      <c r="C196" s="260"/>
      <c r="D196" s="262"/>
      <c r="E196" s="262"/>
      <c r="F196" s="263"/>
      <c r="G196" s="263"/>
      <c r="H196" s="268"/>
      <c r="I196" s="264"/>
      <c r="J196" s="287">
        <f t="shared" si="28"/>
        <v>0</v>
      </c>
      <c r="K196" s="288">
        <f t="shared" si="29"/>
        <v>0</v>
      </c>
      <c r="L196" s="12"/>
      <c r="M196" s="206">
        <f t="shared" si="30"/>
        <v>0</v>
      </c>
    </row>
    <row r="197" spans="1:13" x14ac:dyDescent="0.4">
      <c r="A197" s="258"/>
      <c r="B197" s="259"/>
      <c r="C197" s="260"/>
      <c r="D197" s="262"/>
      <c r="E197" s="262"/>
      <c r="F197" s="263"/>
      <c r="G197" s="263"/>
      <c r="H197" s="268"/>
      <c r="I197" s="264"/>
      <c r="J197" s="287">
        <f t="shared" si="28"/>
        <v>0</v>
      </c>
      <c r="K197" s="288">
        <f t="shared" si="29"/>
        <v>0</v>
      </c>
      <c r="L197" s="12"/>
      <c r="M197" s="206">
        <f t="shared" si="30"/>
        <v>0</v>
      </c>
    </row>
    <row r="198" spans="1:13" x14ac:dyDescent="0.4">
      <c r="A198" s="258"/>
      <c r="B198" s="259"/>
      <c r="C198" s="260"/>
      <c r="D198" s="262"/>
      <c r="E198" s="262"/>
      <c r="F198" s="263"/>
      <c r="G198" s="263"/>
      <c r="H198" s="268"/>
      <c r="I198" s="264"/>
      <c r="J198" s="287">
        <f t="shared" si="28"/>
        <v>0</v>
      </c>
      <c r="K198" s="288">
        <f t="shared" si="29"/>
        <v>0</v>
      </c>
      <c r="L198" s="12"/>
      <c r="M198" s="206">
        <f t="shared" si="30"/>
        <v>0</v>
      </c>
    </row>
    <row r="199" spans="1:13" x14ac:dyDescent="0.4">
      <c r="A199" s="258"/>
      <c r="B199" s="259"/>
      <c r="C199" s="271"/>
      <c r="D199" s="262"/>
      <c r="E199" s="262"/>
      <c r="F199" s="263"/>
      <c r="G199" s="263"/>
      <c r="H199" s="268"/>
      <c r="I199" s="272"/>
      <c r="J199" s="287">
        <f t="shared" si="28"/>
        <v>0</v>
      </c>
      <c r="K199" s="288">
        <f t="shared" si="29"/>
        <v>0</v>
      </c>
      <c r="L199" s="12"/>
      <c r="M199" s="206">
        <f t="shared" si="30"/>
        <v>0</v>
      </c>
    </row>
    <row r="200" spans="1:13" x14ac:dyDescent="0.4">
      <c r="A200" s="258"/>
      <c r="B200" s="259"/>
      <c r="C200" s="271"/>
      <c r="D200" s="262"/>
      <c r="E200" s="262"/>
      <c r="F200" s="263"/>
      <c r="G200" s="263"/>
      <c r="H200" s="268"/>
      <c r="I200" s="272"/>
      <c r="J200" s="287">
        <f t="shared" si="28"/>
        <v>0</v>
      </c>
      <c r="K200" s="288">
        <f t="shared" si="29"/>
        <v>0</v>
      </c>
      <c r="L200" s="12"/>
      <c r="M200" s="206">
        <f t="shared" si="30"/>
        <v>0</v>
      </c>
    </row>
    <row r="201" spans="1:13" x14ac:dyDescent="0.4">
      <c r="A201" s="258"/>
      <c r="B201" s="259"/>
      <c r="C201" s="271"/>
      <c r="D201" s="262"/>
      <c r="E201" s="262"/>
      <c r="F201" s="263"/>
      <c r="G201" s="263"/>
      <c r="H201" s="268"/>
      <c r="I201" s="264"/>
      <c r="J201" s="287">
        <f t="shared" si="28"/>
        <v>0</v>
      </c>
      <c r="K201" s="288">
        <f t="shared" si="29"/>
        <v>0</v>
      </c>
      <c r="L201" s="12"/>
      <c r="M201" s="206">
        <f t="shared" si="30"/>
        <v>0</v>
      </c>
    </row>
    <row r="202" spans="1:13" x14ac:dyDescent="0.4">
      <c r="A202" s="258"/>
      <c r="B202" s="259"/>
      <c r="C202" s="271"/>
      <c r="D202" s="262"/>
      <c r="E202" s="262"/>
      <c r="F202" s="263"/>
      <c r="G202" s="263"/>
      <c r="H202" s="268"/>
      <c r="I202" s="264"/>
      <c r="J202" s="287">
        <f t="shared" si="28"/>
        <v>0</v>
      </c>
      <c r="K202" s="288">
        <f t="shared" si="29"/>
        <v>0</v>
      </c>
      <c r="L202" s="12"/>
      <c r="M202" s="206">
        <f t="shared" si="30"/>
        <v>0</v>
      </c>
    </row>
    <row r="203" spans="1:13" x14ac:dyDescent="0.4">
      <c r="A203" s="258"/>
      <c r="B203" s="259"/>
      <c r="C203" s="271"/>
      <c r="D203" s="262"/>
      <c r="E203" s="262"/>
      <c r="F203" s="263"/>
      <c r="G203" s="263"/>
      <c r="H203" s="268"/>
      <c r="I203" s="264"/>
      <c r="J203" s="287">
        <f t="shared" si="28"/>
        <v>0</v>
      </c>
      <c r="K203" s="288">
        <f t="shared" si="29"/>
        <v>0</v>
      </c>
      <c r="L203" s="12"/>
      <c r="M203" s="206">
        <f t="shared" si="30"/>
        <v>0</v>
      </c>
    </row>
    <row r="204" spans="1:13" x14ac:dyDescent="0.4">
      <c r="A204" s="258"/>
      <c r="B204" s="259"/>
      <c r="C204" s="271"/>
      <c r="D204" s="262"/>
      <c r="E204" s="262"/>
      <c r="F204" s="263"/>
      <c r="G204" s="263"/>
      <c r="H204" s="268"/>
      <c r="I204" s="264"/>
      <c r="J204" s="287">
        <f t="shared" si="28"/>
        <v>0</v>
      </c>
      <c r="K204" s="288">
        <f t="shared" si="29"/>
        <v>0</v>
      </c>
      <c r="L204" s="12"/>
      <c r="M204" s="206">
        <f t="shared" si="30"/>
        <v>0</v>
      </c>
    </row>
    <row r="205" spans="1:13" x14ac:dyDescent="0.4">
      <c r="A205" s="258"/>
      <c r="B205" s="259"/>
      <c r="C205" s="271"/>
      <c r="D205" s="262"/>
      <c r="E205" s="262"/>
      <c r="F205" s="263"/>
      <c r="G205" s="263"/>
      <c r="H205" s="268"/>
      <c r="I205" s="264"/>
      <c r="J205" s="287">
        <f t="shared" si="28"/>
        <v>0</v>
      </c>
      <c r="K205" s="288">
        <f t="shared" si="29"/>
        <v>0</v>
      </c>
      <c r="L205" s="12"/>
      <c r="M205" s="206">
        <f t="shared" si="30"/>
        <v>0</v>
      </c>
    </row>
    <row r="206" spans="1:13" x14ac:dyDescent="0.4">
      <c r="A206" s="258"/>
      <c r="B206" s="259"/>
      <c r="C206" s="259"/>
      <c r="D206" s="262"/>
      <c r="E206" s="262"/>
      <c r="F206" s="263"/>
      <c r="G206" s="263"/>
      <c r="H206" s="268"/>
      <c r="I206" s="264"/>
      <c r="J206" s="287">
        <f t="shared" si="28"/>
        <v>0</v>
      </c>
      <c r="K206" s="288">
        <f t="shared" si="29"/>
        <v>0</v>
      </c>
      <c r="L206" s="12"/>
      <c r="M206" s="206">
        <f t="shared" si="30"/>
        <v>0</v>
      </c>
    </row>
    <row r="207" spans="1:13" x14ac:dyDescent="0.4">
      <c r="A207" s="258"/>
      <c r="B207" s="259"/>
      <c r="C207" s="259"/>
      <c r="D207" s="262"/>
      <c r="E207" s="262"/>
      <c r="F207" s="263"/>
      <c r="G207" s="263"/>
      <c r="H207" s="268"/>
      <c r="I207" s="264"/>
      <c r="J207" s="287">
        <f t="shared" si="28"/>
        <v>0</v>
      </c>
      <c r="K207" s="288">
        <f t="shared" si="29"/>
        <v>0</v>
      </c>
      <c r="L207" s="12"/>
      <c r="M207" s="206">
        <f t="shared" si="30"/>
        <v>0</v>
      </c>
    </row>
    <row r="208" spans="1:13" x14ac:dyDescent="0.4">
      <c r="A208" s="258"/>
      <c r="B208" s="259"/>
      <c r="C208" s="259"/>
      <c r="D208" s="262"/>
      <c r="E208" s="262"/>
      <c r="F208" s="263"/>
      <c r="G208" s="263"/>
      <c r="H208" s="268"/>
      <c r="I208" s="264"/>
      <c r="J208" s="287">
        <f t="shared" si="28"/>
        <v>0</v>
      </c>
      <c r="K208" s="288">
        <f t="shared" si="29"/>
        <v>0</v>
      </c>
      <c r="L208" s="12"/>
      <c r="M208" s="206">
        <f t="shared" si="30"/>
        <v>0</v>
      </c>
    </row>
    <row r="209" spans="1:13" x14ac:dyDescent="0.4">
      <c r="A209" s="258"/>
      <c r="B209" s="259"/>
      <c r="C209" s="259"/>
      <c r="D209" s="262"/>
      <c r="E209" s="262"/>
      <c r="F209" s="263"/>
      <c r="G209" s="263"/>
      <c r="H209" s="268"/>
      <c r="I209" s="264"/>
      <c r="J209" s="287">
        <f t="shared" si="28"/>
        <v>0</v>
      </c>
      <c r="K209" s="288">
        <f t="shared" si="29"/>
        <v>0</v>
      </c>
      <c r="L209" s="12"/>
      <c r="M209" s="206">
        <f t="shared" si="30"/>
        <v>0</v>
      </c>
    </row>
    <row r="210" spans="1:13" x14ac:dyDescent="0.4">
      <c r="A210" s="258"/>
      <c r="B210" s="259"/>
      <c r="C210" s="259"/>
      <c r="D210" s="262"/>
      <c r="E210" s="262"/>
      <c r="F210" s="263"/>
      <c r="G210" s="263"/>
      <c r="H210" s="268"/>
      <c r="I210" s="264"/>
      <c r="J210" s="287">
        <f t="shared" si="28"/>
        <v>0</v>
      </c>
      <c r="K210" s="288">
        <f t="shared" si="29"/>
        <v>0</v>
      </c>
      <c r="L210" s="12"/>
      <c r="M210" s="206">
        <f t="shared" si="30"/>
        <v>0</v>
      </c>
    </row>
    <row r="211" spans="1:13" x14ac:dyDescent="0.4">
      <c r="A211" s="258"/>
      <c r="B211" s="259"/>
      <c r="C211" s="259"/>
      <c r="D211" s="262"/>
      <c r="E211" s="262"/>
      <c r="F211" s="263"/>
      <c r="G211" s="263"/>
      <c r="H211" s="268"/>
      <c r="I211" s="264"/>
      <c r="J211" s="287">
        <f t="shared" si="28"/>
        <v>0</v>
      </c>
      <c r="K211" s="288">
        <f t="shared" si="29"/>
        <v>0</v>
      </c>
      <c r="L211" s="12"/>
      <c r="M211" s="206">
        <f t="shared" si="30"/>
        <v>0</v>
      </c>
    </row>
    <row r="212" spans="1:13" x14ac:dyDescent="0.4">
      <c r="A212" s="258"/>
      <c r="B212" s="259"/>
      <c r="C212" s="271"/>
      <c r="D212" s="262"/>
      <c r="E212" s="262"/>
      <c r="F212" s="263"/>
      <c r="G212" s="263"/>
      <c r="H212" s="268"/>
      <c r="I212" s="264"/>
      <c r="J212" s="287">
        <f t="shared" si="28"/>
        <v>0</v>
      </c>
      <c r="K212" s="288">
        <f t="shared" si="29"/>
        <v>0</v>
      </c>
      <c r="L212" s="12"/>
      <c r="M212" s="206">
        <f t="shared" si="30"/>
        <v>0</v>
      </c>
    </row>
    <row r="213" spans="1:13" x14ac:dyDescent="0.4">
      <c r="A213" s="258"/>
      <c r="B213" s="259"/>
      <c r="C213" s="271"/>
      <c r="D213" s="262"/>
      <c r="E213" s="262"/>
      <c r="F213" s="263"/>
      <c r="G213" s="263"/>
      <c r="H213" s="268"/>
      <c r="I213" s="264"/>
      <c r="J213" s="287">
        <f>IF(F213="TLX",ROUND(M213/32*H213,2),ROUND(M213*H213,2))</f>
        <v>0</v>
      </c>
      <c r="K213" s="288">
        <f>SUM(I213+J213)</f>
        <v>0</v>
      </c>
      <c r="L213" s="12"/>
      <c r="M213" s="206">
        <f t="shared" si="30"/>
        <v>0</v>
      </c>
    </row>
    <row r="214" spans="1:13" x14ac:dyDescent="0.4">
      <c r="A214" s="258"/>
      <c r="B214" s="259"/>
      <c r="C214" s="291"/>
      <c r="D214" s="262"/>
      <c r="E214" s="262"/>
      <c r="F214" s="263"/>
      <c r="G214" s="263"/>
      <c r="H214" s="268"/>
      <c r="I214" s="264"/>
      <c r="J214" s="287">
        <f>IF(F214="TLX",ROUND(M214/32*H214,2),ROUND(M214*H214,2))</f>
        <v>0</v>
      </c>
      <c r="K214" s="288">
        <f>SUM(I214+J214)</f>
        <v>0</v>
      </c>
      <c r="L214" s="12"/>
      <c r="M214" s="206">
        <f t="shared" si="30"/>
        <v>0</v>
      </c>
    </row>
    <row r="215" spans="1:13" x14ac:dyDescent="0.4">
      <c r="A215" s="258"/>
      <c r="B215" s="259"/>
      <c r="C215" s="260"/>
      <c r="D215" s="262"/>
      <c r="E215" s="262"/>
      <c r="F215" s="263"/>
      <c r="G215" s="263"/>
      <c r="H215" s="268"/>
      <c r="I215" s="264"/>
      <c r="J215" s="287">
        <f>IF(F215="TLX",ROUND(M215/32*H215,2),ROUND(M215*H215,2))</f>
        <v>0</v>
      </c>
      <c r="K215" s="288">
        <f t="shared" ref="K215:K223" si="31">SUM(I215+J215)</f>
        <v>0</v>
      </c>
      <c r="L215" s="12"/>
      <c r="M215" s="206">
        <f t="shared" si="30"/>
        <v>0</v>
      </c>
    </row>
    <row r="216" spans="1:13" x14ac:dyDescent="0.4">
      <c r="A216" s="258"/>
      <c r="B216" s="259"/>
      <c r="C216" s="260"/>
      <c r="D216" s="262"/>
      <c r="E216" s="262"/>
      <c r="F216" s="263"/>
      <c r="G216" s="263"/>
      <c r="H216" s="268"/>
      <c r="I216" s="264"/>
      <c r="J216" s="287">
        <f t="shared" ref="J216:J223" si="32">IF(F216="TLX",ROUND(M216/32*H216,2),ROUND(M216*H216,2))</f>
        <v>0</v>
      </c>
      <c r="K216" s="288">
        <f t="shared" si="31"/>
        <v>0</v>
      </c>
      <c r="L216" s="12"/>
      <c r="M216" s="206">
        <f t="shared" si="30"/>
        <v>0</v>
      </c>
    </row>
    <row r="217" spans="1:13" x14ac:dyDescent="0.4">
      <c r="A217" s="258"/>
      <c r="B217" s="259"/>
      <c r="C217" s="259"/>
      <c r="D217" s="262"/>
      <c r="E217" s="262"/>
      <c r="F217" s="263"/>
      <c r="G217" s="263"/>
      <c r="H217" s="268"/>
      <c r="I217" s="264"/>
      <c r="J217" s="287">
        <f t="shared" si="32"/>
        <v>0</v>
      </c>
      <c r="K217" s="288">
        <f t="shared" si="31"/>
        <v>0</v>
      </c>
      <c r="L217" s="12"/>
      <c r="M217" s="206">
        <f t="shared" si="30"/>
        <v>0</v>
      </c>
    </row>
    <row r="218" spans="1:13" x14ac:dyDescent="0.4">
      <c r="A218" s="258"/>
      <c r="B218" s="273"/>
      <c r="C218" s="260"/>
      <c r="D218" s="274"/>
      <c r="E218" s="274"/>
      <c r="F218" s="275"/>
      <c r="G218" s="275"/>
      <c r="H218" s="276"/>
      <c r="I218" s="277"/>
      <c r="J218" s="287">
        <f t="shared" si="32"/>
        <v>0</v>
      </c>
      <c r="K218" s="288">
        <f t="shared" si="31"/>
        <v>0</v>
      </c>
      <c r="L218" s="12"/>
      <c r="M218" s="206">
        <f t="shared" si="30"/>
        <v>0</v>
      </c>
    </row>
    <row r="219" spans="1:13" x14ac:dyDescent="0.4">
      <c r="A219" s="258"/>
      <c r="B219" s="278"/>
      <c r="C219" s="278"/>
      <c r="D219" s="279"/>
      <c r="E219" s="279"/>
      <c r="F219" s="280"/>
      <c r="G219" s="280"/>
      <c r="H219" s="281"/>
      <c r="I219" s="282"/>
      <c r="J219" s="287">
        <f t="shared" si="32"/>
        <v>0</v>
      </c>
      <c r="K219" s="288">
        <f t="shared" si="31"/>
        <v>0</v>
      </c>
      <c r="L219" s="12"/>
      <c r="M219" s="206">
        <f t="shared" si="30"/>
        <v>0</v>
      </c>
    </row>
    <row r="220" spans="1:13" x14ac:dyDescent="0.4">
      <c r="A220" s="258"/>
      <c r="B220" s="259"/>
      <c r="C220" s="259"/>
      <c r="D220" s="262"/>
      <c r="E220" s="262"/>
      <c r="F220" s="263"/>
      <c r="G220" s="263"/>
      <c r="H220" s="268"/>
      <c r="I220" s="264"/>
      <c r="J220" s="287">
        <f t="shared" si="32"/>
        <v>0</v>
      </c>
      <c r="K220" s="288">
        <f t="shared" si="31"/>
        <v>0</v>
      </c>
      <c r="L220" s="12"/>
      <c r="M220" s="206">
        <f t="shared" si="30"/>
        <v>0</v>
      </c>
    </row>
    <row r="221" spans="1:13" x14ac:dyDescent="0.4">
      <c r="A221" s="258"/>
      <c r="B221" s="259"/>
      <c r="C221" s="260"/>
      <c r="D221" s="262"/>
      <c r="E221" s="262"/>
      <c r="F221" s="263"/>
      <c r="G221" s="263"/>
      <c r="H221" s="268"/>
      <c r="I221" s="264"/>
      <c r="J221" s="287">
        <f t="shared" si="32"/>
        <v>0</v>
      </c>
      <c r="K221" s="288">
        <f t="shared" si="31"/>
        <v>0</v>
      </c>
      <c r="L221" s="12"/>
      <c r="M221" s="206">
        <f t="shared" si="30"/>
        <v>0</v>
      </c>
    </row>
    <row r="222" spans="1:13" x14ac:dyDescent="0.4">
      <c r="A222" s="258"/>
      <c r="B222" s="259"/>
      <c r="C222" s="260"/>
      <c r="D222" s="262"/>
      <c r="E222" s="262"/>
      <c r="F222" s="263"/>
      <c r="G222" s="263"/>
      <c r="H222" s="268"/>
      <c r="I222" s="264"/>
      <c r="J222" s="287">
        <f t="shared" si="32"/>
        <v>0</v>
      </c>
      <c r="K222" s="288">
        <f t="shared" si="31"/>
        <v>0</v>
      </c>
      <c r="L222" s="12"/>
      <c r="M222" s="206">
        <f>ROUND(D222+E222/60,2)</f>
        <v>0</v>
      </c>
    </row>
    <row r="223" spans="1:13" ht="15.4" thickBot="1" x14ac:dyDescent="0.45">
      <c r="A223" s="310"/>
      <c r="B223" s="311"/>
      <c r="C223" s="311"/>
      <c r="D223" s="312"/>
      <c r="E223" s="312"/>
      <c r="F223" s="313"/>
      <c r="G223" s="313"/>
      <c r="H223" s="314"/>
      <c r="I223" s="315"/>
      <c r="J223" s="316">
        <f t="shared" si="32"/>
        <v>0</v>
      </c>
      <c r="K223" s="290">
        <f t="shared" si="31"/>
        <v>0</v>
      </c>
      <c r="L223" s="12"/>
      <c r="M223" s="206">
        <f>ROUND(D223+E223/60,2)</f>
        <v>0</v>
      </c>
    </row>
    <row r="224" spans="1:13" x14ac:dyDescent="0.4">
      <c r="A224" s="302"/>
      <c r="B224" s="303"/>
      <c r="C224" s="304"/>
      <c r="D224" s="305"/>
      <c r="E224" s="305"/>
      <c r="F224" s="306"/>
      <c r="G224" s="306"/>
      <c r="H224" s="307"/>
      <c r="I224" s="294"/>
      <c r="J224" s="308" t="s">
        <v>36</v>
      </c>
      <c r="K224" s="309">
        <f>SUM(K9:K223)</f>
        <v>12.12</v>
      </c>
      <c r="L224" s="12"/>
      <c r="M224" s="206">
        <f>ROUND(D224+E224/60,2)</f>
        <v>0</v>
      </c>
    </row>
    <row r="225" spans="1:13" ht="15.4" thickBot="1" x14ac:dyDescent="0.45">
      <c r="A225" s="45"/>
      <c r="B225" s="46"/>
      <c r="C225" s="18"/>
      <c r="D225" s="47"/>
      <c r="E225" s="47"/>
      <c r="F225" s="48"/>
      <c r="G225" s="48"/>
      <c r="H225" s="269"/>
      <c r="I225" s="37"/>
      <c r="J225" s="37"/>
      <c r="K225" s="38"/>
      <c r="L225" s="12"/>
      <c r="M225" s="206">
        <f>ROUND(D225+E225/60,2)</f>
        <v>0</v>
      </c>
    </row>
    <row r="226" spans="1:13" x14ac:dyDescent="0.4">
      <c r="A226" s="6"/>
      <c r="B226" s="7"/>
      <c r="C226" s="10"/>
      <c r="D226" s="8"/>
      <c r="E226" s="8"/>
      <c r="F226" s="9"/>
      <c r="G226" s="9"/>
      <c r="H226" s="270"/>
      <c r="I226" s="4"/>
      <c r="J226" s="4"/>
      <c r="K226" s="4"/>
      <c r="L226" s="4" t="s">
        <v>4</v>
      </c>
      <c r="M226" s="206" t="s">
        <v>4</v>
      </c>
    </row>
    <row r="227" spans="1:13" x14ac:dyDescent="0.4">
      <c r="A227" s="6"/>
      <c r="B227" s="7"/>
      <c r="C227" s="10"/>
      <c r="D227" s="8"/>
      <c r="E227" s="8"/>
      <c r="F227" s="9"/>
      <c r="G227" s="9"/>
      <c r="H227" s="270"/>
      <c r="I227" s="4"/>
      <c r="J227" s="4"/>
      <c r="K227" s="4"/>
      <c r="L227" s="4" t="s">
        <v>4</v>
      </c>
      <c r="M227" s="206" t="s">
        <v>4</v>
      </c>
    </row>
    <row r="228" spans="1:13" x14ac:dyDescent="0.4">
      <c r="A228" s="6"/>
      <c r="B228" s="7"/>
      <c r="C228" s="10"/>
      <c r="D228" s="8"/>
      <c r="E228" s="8"/>
      <c r="F228" s="9"/>
      <c r="G228" s="9"/>
      <c r="H228" s="270"/>
      <c r="I228" s="4"/>
      <c r="J228" s="4"/>
      <c r="K228" s="4"/>
      <c r="L228" s="4" t="s">
        <v>4</v>
      </c>
      <c r="M228" s="206" t="s">
        <v>4</v>
      </c>
    </row>
    <row r="229" spans="1:13" x14ac:dyDescent="0.4">
      <c r="A229" s="6"/>
      <c r="B229" s="7"/>
      <c r="C229" s="10"/>
      <c r="D229" s="8"/>
      <c r="E229" s="8"/>
      <c r="F229" s="9"/>
      <c r="G229" s="9"/>
      <c r="H229" s="270"/>
      <c r="I229" s="4"/>
      <c r="J229" s="4"/>
      <c r="K229" s="4"/>
      <c r="L229" s="4" t="s">
        <v>4</v>
      </c>
      <c r="M229" s="206" t="s">
        <v>4</v>
      </c>
    </row>
    <row r="230" spans="1:13" x14ac:dyDescent="0.4">
      <c r="A230" s="6"/>
      <c r="B230" s="7"/>
      <c r="C230" s="10"/>
      <c r="D230" s="8"/>
      <c r="E230" s="8"/>
      <c r="F230" s="9"/>
      <c r="G230" s="9"/>
      <c r="H230" s="270"/>
      <c r="I230" s="4"/>
      <c r="J230" s="4"/>
      <c r="K230" s="4"/>
      <c r="L230" s="4" t="s">
        <v>4</v>
      </c>
      <c r="M230" s="206" t="s">
        <v>4</v>
      </c>
    </row>
    <row r="231" spans="1:13" x14ac:dyDescent="0.4">
      <c r="A231" s="6"/>
      <c r="B231" s="7"/>
      <c r="C231" s="10"/>
      <c r="D231" s="8"/>
      <c r="E231" s="8"/>
      <c r="F231" s="9"/>
      <c r="G231" s="9"/>
      <c r="H231" s="270"/>
      <c r="I231" s="4"/>
      <c r="J231" s="4"/>
      <c r="K231" s="4"/>
      <c r="L231" s="4" t="s">
        <v>4</v>
      </c>
      <c r="M231" s="206" t="s">
        <v>4</v>
      </c>
    </row>
    <row r="232" spans="1:13" x14ac:dyDescent="0.4">
      <c r="A232" s="6"/>
      <c r="B232" s="7"/>
      <c r="C232" s="10"/>
      <c r="D232" s="8"/>
      <c r="E232" s="8"/>
      <c r="F232" s="9"/>
      <c r="G232" s="9"/>
      <c r="H232" s="270"/>
      <c r="I232" s="4"/>
      <c r="J232" s="4"/>
      <c r="K232" s="4"/>
      <c r="L232" s="4" t="s">
        <v>4</v>
      </c>
      <c r="M232" s="206" t="s">
        <v>4</v>
      </c>
    </row>
    <row r="233" spans="1:13" x14ac:dyDescent="0.4">
      <c r="A233" s="6"/>
      <c r="B233" s="7"/>
      <c r="C233" s="10"/>
      <c r="D233" s="8"/>
      <c r="E233" s="8"/>
      <c r="F233" s="9"/>
      <c r="G233" s="9"/>
      <c r="H233" s="270"/>
      <c r="I233" s="4"/>
      <c r="J233" s="4"/>
      <c r="K233" s="4"/>
      <c r="L233" s="4" t="s">
        <v>4</v>
      </c>
      <c r="M233" s="206" t="s">
        <v>4</v>
      </c>
    </row>
    <row r="234" spans="1:13" x14ac:dyDescent="0.4">
      <c r="A234" s="6"/>
      <c r="B234" s="7"/>
      <c r="C234" s="10"/>
      <c r="D234" s="8"/>
      <c r="E234" s="8"/>
      <c r="F234" s="9"/>
      <c r="G234" s="9"/>
      <c r="H234" s="270"/>
      <c r="I234" s="4"/>
      <c r="J234" s="4"/>
      <c r="K234" s="4"/>
      <c r="L234" s="4" t="s">
        <v>4</v>
      </c>
      <c r="M234" s="206" t="s">
        <v>4</v>
      </c>
    </row>
    <row r="235" spans="1:13" x14ac:dyDescent="0.4">
      <c r="A235" s="6"/>
      <c r="B235" s="7"/>
      <c r="C235" s="10"/>
      <c r="D235" s="8"/>
      <c r="E235" s="8"/>
      <c r="F235" s="9"/>
      <c r="G235" s="9"/>
      <c r="H235" s="270"/>
      <c r="I235" s="4"/>
      <c r="J235" s="4" t="s">
        <v>4</v>
      </c>
      <c r="K235" s="4" t="s">
        <v>4</v>
      </c>
      <c r="L235" s="4" t="s">
        <v>4</v>
      </c>
      <c r="M235" s="206" t="s">
        <v>4</v>
      </c>
    </row>
    <row r="236" spans="1:13" x14ac:dyDescent="0.4">
      <c r="A236" s="6"/>
      <c r="B236" s="7"/>
      <c r="C236" s="10"/>
      <c r="D236" s="8"/>
      <c r="E236" s="8"/>
      <c r="F236" s="9"/>
      <c r="G236" s="9"/>
      <c r="H236" s="270"/>
      <c r="I236" s="4"/>
      <c r="J236" s="4" t="s">
        <v>4</v>
      </c>
      <c r="K236" s="4" t="s">
        <v>4</v>
      </c>
      <c r="L236" s="4" t="s">
        <v>4</v>
      </c>
      <c r="M236" s="206" t="s">
        <v>4</v>
      </c>
    </row>
    <row r="237" spans="1:13" x14ac:dyDescent="0.4">
      <c r="A237" s="6"/>
      <c r="B237" s="7"/>
      <c r="C237" s="10"/>
      <c r="D237" s="8"/>
      <c r="E237" s="8"/>
      <c r="F237" s="9"/>
      <c r="G237" s="9"/>
      <c r="H237" s="270"/>
      <c r="I237" s="4"/>
      <c r="J237" s="4" t="s">
        <v>4</v>
      </c>
      <c r="K237" s="4" t="s">
        <v>4</v>
      </c>
      <c r="L237" s="4" t="s">
        <v>4</v>
      </c>
      <c r="M237" s="206" t="s">
        <v>4</v>
      </c>
    </row>
    <row r="238" spans="1:13" x14ac:dyDescent="0.4">
      <c r="A238" s="6"/>
      <c r="B238" s="7"/>
      <c r="C238" s="10"/>
      <c r="D238" s="8"/>
      <c r="E238" s="8"/>
      <c r="F238" s="9"/>
      <c r="G238" s="9"/>
      <c r="H238" s="270"/>
      <c r="I238" s="4"/>
      <c r="J238" s="4" t="s">
        <v>4</v>
      </c>
      <c r="K238" s="4" t="s">
        <v>4</v>
      </c>
      <c r="L238" s="4" t="s">
        <v>4</v>
      </c>
      <c r="M238" s="206" t="s">
        <v>4</v>
      </c>
    </row>
    <row r="239" spans="1:13" x14ac:dyDescent="0.4">
      <c r="A239" s="6"/>
      <c r="B239" s="7"/>
      <c r="C239" s="2"/>
      <c r="D239" s="8"/>
      <c r="E239" s="8"/>
      <c r="F239" s="9"/>
      <c r="G239" s="9"/>
      <c r="H239" s="270"/>
      <c r="I239" s="4"/>
      <c r="J239" s="4" t="s">
        <v>4</v>
      </c>
      <c r="K239" s="4" t="s">
        <v>4</v>
      </c>
      <c r="L239" s="4" t="s">
        <v>4</v>
      </c>
      <c r="M239" s="206" t="s">
        <v>4</v>
      </c>
    </row>
    <row r="240" spans="1:13" x14ac:dyDescent="0.4">
      <c r="A240" s="6"/>
      <c r="B240" s="7"/>
      <c r="C240" s="2"/>
      <c r="D240" s="8"/>
      <c r="E240" s="8"/>
      <c r="F240" s="9"/>
      <c r="G240" s="9"/>
      <c r="H240" s="270"/>
      <c r="I240" s="4"/>
      <c r="J240" s="4" t="s">
        <v>4</v>
      </c>
      <c r="K240" s="4" t="s">
        <v>4</v>
      </c>
      <c r="L240" s="4" t="s">
        <v>4</v>
      </c>
      <c r="M240" s="206" t="s">
        <v>4</v>
      </c>
    </row>
    <row r="241" spans="1:13" x14ac:dyDescent="0.4">
      <c r="A241" s="6"/>
      <c r="B241" s="7"/>
      <c r="C241" s="2"/>
      <c r="D241" s="8"/>
      <c r="E241" s="8"/>
      <c r="F241" s="9"/>
      <c r="G241" s="9"/>
      <c r="H241" s="270"/>
      <c r="I241" s="4"/>
      <c r="J241" s="4" t="s">
        <v>4</v>
      </c>
      <c r="K241" s="4" t="s">
        <v>4</v>
      </c>
      <c r="L241" s="4" t="s">
        <v>4</v>
      </c>
      <c r="M241" s="206" t="s">
        <v>4</v>
      </c>
    </row>
    <row r="242" spans="1:13" x14ac:dyDescent="0.4">
      <c r="A242" s="6"/>
      <c r="B242" s="7"/>
      <c r="C242" s="2"/>
      <c r="D242" s="8"/>
      <c r="E242" s="8"/>
      <c r="F242" s="9"/>
      <c r="G242" s="9"/>
      <c r="H242" s="270"/>
      <c r="I242" s="4"/>
      <c r="J242" s="4" t="s">
        <v>4</v>
      </c>
      <c r="K242" s="4" t="s">
        <v>4</v>
      </c>
      <c r="L242" s="4" t="s">
        <v>4</v>
      </c>
      <c r="M242" s="206" t="s">
        <v>4</v>
      </c>
    </row>
    <row r="243" spans="1:13" x14ac:dyDescent="0.4">
      <c r="A243" s="6"/>
      <c r="B243" s="7"/>
      <c r="C243" s="2"/>
      <c r="D243" s="8"/>
      <c r="E243" s="8"/>
      <c r="F243" s="9"/>
      <c r="G243" s="9"/>
      <c r="H243" s="270"/>
      <c r="I243" s="4"/>
      <c r="J243" s="4" t="s">
        <v>4</v>
      </c>
      <c r="K243" s="4" t="s">
        <v>4</v>
      </c>
      <c r="L243" s="4" t="s">
        <v>4</v>
      </c>
      <c r="M243" s="206" t="s">
        <v>4</v>
      </c>
    </row>
    <row r="244" spans="1:13" x14ac:dyDescent="0.4">
      <c r="A244" s="6"/>
      <c r="B244" s="7"/>
      <c r="C244" s="2"/>
      <c r="D244" s="8"/>
      <c r="E244" s="8"/>
      <c r="F244" s="9"/>
      <c r="G244" s="9"/>
      <c r="H244" s="270"/>
      <c r="I244" s="4"/>
      <c r="J244" s="4" t="s">
        <v>4</v>
      </c>
      <c r="K244" s="4" t="s">
        <v>4</v>
      </c>
      <c r="L244" s="4" t="s">
        <v>4</v>
      </c>
      <c r="M244" s="206" t="s">
        <v>4</v>
      </c>
    </row>
    <row r="245" spans="1:13" x14ac:dyDescent="0.4">
      <c r="A245" s="6"/>
      <c r="B245" s="7"/>
      <c r="C245" s="2"/>
      <c r="D245" s="8"/>
      <c r="E245" s="8"/>
      <c r="F245" s="9"/>
      <c r="G245" s="9"/>
      <c r="H245" s="270"/>
      <c r="I245" s="4"/>
      <c r="J245" s="4" t="s">
        <v>4</v>
      </c>
      <c r="K245" s="4" t="s">
        <v>4</v>
      </c>
      <c r="L245" s="4" t="s">
        <v>4</v>
      </c>
      <c r="M245" s="206" t="s">
        <v>4</v>
      </c>
    </row>
    <row r="246" spans="1:13" x14ac:dyDescent="0.4">
      <c r="A246" s="6"/>
      <c r="B246" s="7"/>
      <c r="C246" s="2"/>
      <c r="D246" s="8"/>
      <c r="E246" s="8"/>
      <c r="F246" s="9"/>
      <c r="G246" s="9"/>
      <c r="H246" s="270"/>
      <c r="I246" s="4"/>
      <c r="J246" s="4" t="s">
        <v>4</v>
      </c>
      <c r="K246" s="4" t="s">
        <v>4</v>
      </c>
      <c r="L246" s="4" t="s">
        <v>4</v>
      </c>
      <c r="M246" s="206" t="s">
        <v>4</v>
      </c>
    </row>
    <row r="247" spans="1:13" x14ac:dyDescent="0.4">
      <c r="A247" s="6"/>
      <c r="B247" s="7"/>
      <c r="C247" s="2"/>
      <c r="D247" s="8"/>
      <c r="E247" s="8"/>
      <c r="F247" s="9"/>
      <c r="G247" s="9"/>
      <c r="H247" s="270"/>
      <c r="I247" s="4"/>
      <c r="J247" s="4" t="s">
        <v>4</v>
      </c>
      <c r="K247" s="4" t="s">
        <v>4</v>
      </c>
      <c r="L247" s="4" t="s">
        <v>4</v>
      </c>
      <c r="M247" s="206" t="s">
        <v>4</v>
      </c>
    </row>
    <row r="248" spans="1:13" x14ac:dyDescent="0.4">
      <c r="A248" s="6"/>
      <c r="B248" s="7"/>
      <c r="C248" s="2"/>
      <c r="D248" s="8"/>
      <c r="E248" s="8"/>
      <c r="F248" s="9"/>
      <c r="G248" s="9"/>
      <c r="H248" s="270"/>
      <c r="I248" s="4"/>
      <c r="J248" s="4" t="s">
        <v>4</v>
      </c>
      <c r="K248" s="4" t="s">
        <v>4</v>
      </c>
      <c r="L248" s="4" t="s">
        <v>4</v>
      </c>
      <c r="M248" s="206" t="s">
        <v>4</v>
      </c>
    </row>
    <row r="249" spans="1:13" x14ac:dyDescent="0.4">
      <c r="A249" s="6"/>
      <c r="B249" s="7"/>
      <c r="C249" s="2"/>
      <c r="D249" s="8"/>
      <c r="E249" s="8"/>
      <c r="F249" s="9"/>
      <c r="G249" s="9"/>
      <c r="H249" s="270"/>
      <c r="I249" s="4"/>
      <c r="J249" s="4" t="s">
        <v>4</v>
      </c>
      <c r="K249" s="4" t="s">
        <v>4</v>
      </c>
      <c r="L249" s="4" t="s">
        <v>4</v>
      </c>
      <c r="M249" s="206" t="s">
        <v>4</v>
      </c>
    </row>
    <row r="250" spans="1:13" x14ac:dyDescent="0.4">
      <c r="A250" s="6"/>
      <c r="B250" s="7"/>
      <c r="C250" s="2"/>
      <c r="D250" s="8"/>
      <c r="E250" s="8"/>
      <c r="F250" s="9"/>
      <c r="G250" s="9"/>
      <c r="H250" s="270"/>
      <c r="I250" s="4"/>
      <c r="J250" s="4" t="s">
        <v>4</v>
      </c>
      <c r="K250" s="4" t="s">
        <v>4</v>
      </c>
      <c r="L250" s="4" t="s">
        <v>4</v>
      </c>
      <c r="M250" s="206" t="s">
        <v>4</v>
      </c>
    </row>
    <row r="251" spans="1:13" x14ac:dyDescent="0.4">
      <c r="A251" s="6"/>
      <c r="B251" s="7"/>
      <c r="C251" s="2"/>
      <c r="D251" s="8"/>
      <c r="E251" s="8"/>
      <c r="F251" s="9"/>
      <c r="G251" s="9"/>
      <c r="H251" s="270"/>
      <c r="I251" s="4"/>
      <c r="J251" s="4" t="s">
        <v>4</v>
      </c>
      <c r="K251" s="4" t="s">
        <v>4</v>
      </c>
      <c r="L251" s="4" t="s">
        <v>4</v>
      </c>
      <c r="M251" s="206" t="s">
        <v>4</v>
      </c>
    </row>
    <row r="252" spans="1:13" x14ac:dyDescent="0.4">
      <c r="A252" s="6"/>
      <c r="B252" s="7"/>
      <c r="C252" s="2"/>
      <c r="D252" s="8"/>
      <c r="E252" s="8"/>
      <c r="F252" s="9"/>
      <c r="G252" s="9"/>
      <c r="H252" s="270"/>
      <c r="I252" s="4"/>
      <c r="J252" s="4" t="s">
        <v>4</v>
      </c>
      <c r="K252" s="4" t="s">
        <v>4</v>
      </c>
      <c r="L252" s="4" t="s">
        <v>4</v>
      </c>
      <c r="M252" s="206" t="s">
        <v>4</v>
      </c>
    </row>
    <row r="253" spans="1:13" x14ac:dyDescent="0.4">
      <c r="A253" s="6"/>
      <c r="B253" s="7"/>
      <c r="C253" s="2"/>
      <c r="D253" s="8"/>
      <c r="E253" s="8"/>
      <c r="F253" s="9"/>
      <c r="G253" s="9"/>
      <c r="H253" s="270"/>
      <c r="I253" s="4"/>
      <c r="J253" s="4" t="s">
        <v>4</v>
      </c>
      <c r="K253" s="4" t="s">
        <v>4</v>
      </c>
      <c r="L253" s="4" t="s">
        <v>4</v>
      </c>
      <c r="M253" s="206" t="s">
        <v>4</v>
      </c>
    </row>
    <row r="254" spans="1:13" x14ac:dyDescent="0.4">
      <c r="A254" s="6"/>
      <c r="B254" s="7"/>
      <c r="C254" s="2"/>
      <c r="D254" s="8"/>
      <c r="E254" s="8"/>
      <c r="F254" s="9"/>
      <c r="G254" s="9"/>
      <c r="H254" s="270"/>
      <c r="I254" s="4"/>
      <c r="J254" s="4" t="s">
        <v>4</v>
      </c>
      <c r="K254" s="4" t="s">
        <v>4</v>
      </c>
      <c r="L254" s="4" t="s">
        <v>4</v>
      </c>
      <c r="M254" s="206" t="s">
        <v>4</v>
      </c>
    </row>
    <row r="255" spans="1:13" x14ac:dyDescent="0.4">
      <c r="A255" s="6"/>
      <c r="B255" s="7"/>
      <c r="C255" s="2"/>
      <c r="D255" s="8"/>
      <c r="E255" s="8"/>
      <c r="F255" s="9"/>
      <c r="G255" s="9"/>
      <c r="H255" s="270"/>
      <c r="I255" s="4"/>
      <c r="J255" s="4" t="s">
        <v>4</v>
      </c>
      <c r="K255" s="4" t="s">
        <v>4</v>
      </c>
      <c r="L255" s="4" t="s">
        <v>4</v>
      </c>
      <c r="M255" s="206" t="s">
        <v>4</v>
      </c>
    </row>
    <row r="256" spans="1:13" x14ac:dyDescent="0.4">
      <c r="A256" s="6"/>
      <c r="B256" s="7"/>
      <c r="C256" s="2"/>
      <c r="D256" s="8"/>
      <c r="E256" s="8"/>
      <c r="F256" s="9"/>
      <c r="G256" s="9"/>
      <c r="H256" s="270"/>
      <c r="I256" s="4"/>
      <c r="J256" s="4" t="s">
        <v>4</v>
      </c>
      <c r="K256" s="4" t="s">
        <v>4</v>
      </c>
      <c r="L256" s="4" t="s">
        <v>4</v>
      </c>
      <c r="M256" s="206" t="s">
        <v>4</v>
      </c>
    </row>
    <row r="257" spans="1:13" x14ac:dyDescent="0.4">
      <c r="A257" s="6"/>
      <c r="B257" s="7"/>
      <c r="C257" s="2"/>
      <c r="D257" s="8"/>
      <c r="E257" s="8"/>
      <c r="F257" s="9"/>
      <c r="G257" s="9"/>
      <c r="H257" s="270"/>
      <c r="I257" s="4"/>
      <c r="J257" s="4" t="s">
        <v>4</v>
      </c>
      <c r="K257" s="4" t="s">
        <v>4</v>
      </c>
      <c r="L257" s="4" t="s">
        <v>4</v>
      </c>
      <c r="M257" s="206" t="s">
        <v>4</v>
      </c>
    </row>
    <row r="258" spans="1:13" x14ac:dyDescent="0.4">
      <c r="A258" s="6"/>
      <c r="B258" s="7"/>
      <c r="C258" s="2"/>
      <c r="D258" s="8"/>
      <c r="E258" s="8"/>
      <c r="F258" s="9"/>
      <c r="G258" s="9"/>
      <c r="H258" s="270"/>
      <c r="I258" s="4"/>
      <c r="J258" s="4" t="s">
        <v>4</v>
      </c>
      <c r="K258" s="4" t="s">
        <v>4</v>
      </c>
      <c r="L258" s="4" t="s">
        <v>4</v>
      </c>
      <c r="M258" s="206" t="s">
        <v>4</v>
      </c>
    </row>
    <row r="259" spans="1:13" x14ac:dyDescent="0.4">
      <c r="A259" s="6"/>
      <c r="B259" s="7"/>
      <c r="C259" s="2"/>
      <c r="D259" s="8"/>
      <c r="E259" s="8"/>
      <c r="F259" s="9"/>
      <c r="G259" s="9"/>
      <c r="H259" s="270"/>
      <c r="I259" s="4"/>
      <c r="J259" s="4" t="s">
        <v>4</v>
      </c>
      <c r="K259" s="4" t="s">
        <v>4</v>
      </c>
      <c r="L259" s="4" t="s">
        <v>4</v>
      </c>
      <c r="M259" s="206" t="s">
        <v>4</v>
      </c>
    </row>
    <row r="260" spans="1:13" x14ac:dyDescent="0.4">
      <c r="A260" s="6"/>
      <c r="B260" s="7"/>
      <c r="C260" s="2"/>
      <c r="D260" s="8"/>
      <c r="E260" s="8"/>
      <c r="F260" s="9"/>
      <c r="G260" s="9"/>
      <c r="H260" s="270"/>
      <c r="I260" s="4"/>
      <c r="J260" s="4" t="s">
        <v>4</v>
      </c>
      <c r="K260" s="4" t="s">
        <v>4</v>
      </c>
      <c r="L260" s="4" t="s">
        <v>4</v>
      </c>
      <c r="M260" s="206" t="s">
        <v>4</v>
      </c>
    </row>
    <row r="261" spans="1:13" x14ac:dyDescent="0.4">
      <c r="A261" s="6"/>
      <c r="B261" s="7"/>
      <c r="C261" s="2"/>
      <c r="D261" s="8"/>
      <c r="E261" s="8"/>
      <c r="F261" s="9"/>
      <c r="G261" s="9"/>
      <c r="H261" s="270"/>
      <c r="I261" s="4"/>
      <c r="J261" s="4" t="s">
        <v>4</v>
      </c>
      <c r="K261" s="4" t="s">
        <v>4</v>
      </c>
      <c r="L261" s="4" t="s">
        <v>4</v>
      </c>
      <c r="M261" s="206" t="s">
        <v>4</v>
      </c>
    </row>
    <row r="262" spans="1:13" x14ac:dyDescent="0.4">
      <c r="A262" s="6"/>
      <c r="B262" s="7"/>
      <c r="C262" s="2"/>
      <c r="D262" s="8"/>
      <c r="E262" s="8"/>
      <c r="F262" s="9"/>
      <c r="G262" s="9"/>
      <c r="H262" s="270"/>
      <c r="I262" s="4"/>
      <c r="J262" s="4" t="s">
        <v>4</v>
      </c>
      <c r="K262" s="4" t="s">
        <v>4</v>
      </c>
      <c r="L262" s="4" t="s">
        <v>4</v>
      </c>
      <c r="M262" s="206" t="s">
        <v>4</v>
      </c>
    </row>
    <row r="263" spans="1:13" x14ac:dyDescent="0.4">
      <c r="A263" s="6"/>
      <c r="B263" s="7"/>
      <c r="C263" s="2"/>
      <c r="D263" s="8"/>
      <c r="E263" s="8"/>
      <c r="F263" s="9"/>
      <c r="G263" s="9"/>
      <c r="H263" s="270"/>
      <c r="I263" s="4"/>
      <c r="J263" s="4" t="s">
        <v>4</v>
      </c>
      <c r="K263" s="4" t="s">
        <v>4</v>
      </c>
      <c r="L263" s="4" t="s">
        <v>4</v>
      </c>
      <c r="M263" s="206" t="s">
        <v>4</v>
      </c>
    </row>
    <row r="264" spans="1:13" x14ac:dyDescent="0.4">
      <c r="A264" s="6"/>
      <c r="B264" s="7"/>
      <c r="C264" s="2"/>
      <c r="D264" s="8"/>
      <c r="E264" s="8"/>
      <c r="F264" s="9"/>
      <c r="G264" s="9"/>
      <c r="H264" s="270"/>
      <c r="I264" s="4"/>
      <c r="J264" s="4" t="s">
        <v>4</v>
      </c>
      <c r="K264" s="4" t="s">
        <v>4</v>
      </c>
      <c r="L264" s="4" t="s">
        <v>4</v>
      </c>
      <c r="M264" s="206" t="s">
        <v>4</v>
      </c>
    </row>
    <row r="265" spans="1:13" x14ac:dyDescent="0.4">
      <c r="A265" s="6"/>
      <c r="B265" s="7"/>
      <c r="C265" s="2"/>
      <c r="D265" s="8"/>
      <c r="E265" s="8"/>
      <c r="F265" s="9"/>
      <c r="G265" s="9"/>
      <c r="H265" s="270"/>
      <c r="I265" s="4"/>
      <c r="J265" s="4" t="s">
        <v>4</v>
      </c>
      <c r="K265" s="4" t="s">
        <v>4</v>
      </c>
      <c r="L265" s="4" t="s">
        <v>4</v>
      </c>
      <c r="M265" s="206" t="s">
        <v>4</v>
      </c>
    </row>
    <row r="266" spans="1:13" x14ac:dyDescent="0.4">
      <c r="A266" s="6"/>
      <c r="B266" s="7"/>
      <c r="C266" s="2"/>
      <c r="D266" s="8"/>
      <c r="E266" s="8"/>
      <c r="F266" s="9"/>
      <c r="G266" s="9"/>
      <c r="H266" s="270"/>
      <c r="I266" s="4"/>
      <c r="J266" s="4" t="s">
        <v>4</v>
      </c>
      <c r="K266" s="4" t="s">
        <v>4</v>
      </c>
      <c r="L266" s="4" t="s">
        <v>4</v>
      </c>
      <c r="M266" s="206" t="s">
        <v>4</v>
      </c>
    </row>
    <row r="267" spans="1:13" x14ac:dyDescent="0.4">
      <c r="A267" s="6"/>
      <c r="B267" s="7"/>
      <c r="C267" s="2"/>
      <c r="D267" s="8"/>
      <c r="E267" s="8"/>
      <c r="F267" s="9"/>
      <c r="G267" s="9"/>
      <c r="H267" s="270"/>
      <c r="I267" s="4"/>
      <c r="J267" s="4" t="s">
        <v>4</v>
      </c>
      <c r="K267" s="4" t="s">
        <v>4</v>
      </c>
      <c r="L267" s="4" t="s">
        <v>4</v>
      </c>
      <c r="M267" s="206" t="s">
        <v>4</v>
      </c>
    </row>
    <row r="268" spans="1:13" x14ac:dyDescent="0.4">
      <c r="A268" s="6"/>
      <c r="B268" s="7"/>
      <c r="C268" s="2"/>
      <c r="D268" s="8"/>
      <c r="E268" s="8"/>
      <c r="F268" s="9"/>
      <c r="G268" s="9"/>
      <c r="H268" s="270"/>
      <c r="I268" s="4"/>
      <c r="J268" s="4" t="s">
        <v>4</v>
      </c>
      <c r="K268" s="4" t="s">
        <v>4</v>
      </c>
      <c r="L268" s="4" t="s">
        <v>4</v>
      </c>
      <c r="M268" s="206" t="s">
        <v>4</v>
      </c>
    </row>
    <row r="269" spans="1:13" x14ac:dyDescent="0.4">
      <c r="A269" s="6"/>
      <c r="B269" s="7"/>
      <c r="C269" s="2"/>
      <c r="D269" s="8"/>
      <c r="E269" s="8"/>
      <c r="F269" s="9"/>
      <c r="G269" s="9"/>
      <c r="H269" s="270"/>
      <c r="I269" s="4"/>
      <c r="J269" s="4" t="s">
        <v>4</v>
      </c>
      <c r="K269" s="4" t="s">
        <v>4</v>
      </c>
      <c r="L269" s="4" t="s">
        <v>4</v>
      </c>
      <c r="M269" s="206" t="s">
        <v>4</v>
      </c>
    </row>
    <row r="270" spans="1:13" x14ac:dyDescent="0.4">
      <c r="A270" s="6"/>
      <c r="B270" s="7"/>
      <c r="C270" s="2"/>
      <c r="D270" s="8"/>
      <c r="E270" s="8"/>
      <c r="F270" s="9"/>
      <c r="G270" s="9"/>
      <c r="H270" s="270"/>
      <c r="I270" s="4"/>
      <c r="J270" s="4" t="s">
        <v>4</v>
      </c>
      <c r="K270" s="4" t="s">
        <v>4</v>
      </c>
      <c r="L270" s="4" t="s">
        <v>4</v>
      </c>
      <c r="M270" s="206" t="s">
        <v>4</v>
      </c>
    </row>
    <row r="271" spans="1:13" x14ac:dyDescent="0.4">
      <c r="A271" s="6"/>
      <c r="B271" s="7"/>
      <c r="C271" s="2"/>
      <c r="D271" s="8"/>
      <c r="E271" s="8"/>
      <c r="F271" s="9"/>
      <c r="G271" s="9"/>
      <c r="H271" s="270"/>
      <c r="I271" s="4"/>
      <c r="J271" s="4" t="s">
        <v>4</v>
      </c>
      <c r="K271" s="4" t="s">
        <v>4</v>
      </c>
      <c r="L271" s="4" t="s">
        <v>4</v>
      </c>
      <c r="M271" s="206" t="s">
        <v>4</v>
      </c>
    </row>
    <row r="272" spans="1:13" x14ac:dyDescent="0.4">
      <c r="A272" s="6"/>
      <c r="B272" s="7"/>
      <c r="C272" s="2"/>
      <c r="D272" s="8"/>
      <c r="E272" s="8"/>
      <c r="F272" s="9"/>
      <c r="G272" s="9"/>
      <c r="H272" s="270"/>
      <c r="I272" s="4"/>
      <c r="J272" s="4" t="s">
        <v>4</v>
      </c>
      <c r="K272" s="4" t="s">
        <v>4</v>
      </c>
      <c r="L272" s="4" t="s">
        <v>4</v>
      </c>
      <c r="M272" s="206" t="s">
        <v>4</v>
      </c>
    </row>
    <row r="273" spans="1:13" x14ac:dyDescent="0.4">
      <c r="A273" s="6"/>
      <c r="B273" s="7"/>
      <c r="C273" s="2"/>
      <c r="D273" s="8"/>
      <c r="E273" s="8"/>
      <c r="F273" s="9"/>
      <c r="G273" s="9"/>
      <c r="H273" s="270"/>
      <c r="I273" s="4"/>
      <c r="J273" s="4" t="s">
        <v>4</v>
      </c>
      <c r="K273" s="4" t="s">
        <v>4</v>
      </c>
      <c r="L273" s="4" t="s">
        <v>4</v>
      </c>
      <c r="M273" s="206" t="s">
        <v>4</v>
      </c>
    </row>
    <row r="274" spans="1:13" x14ac:dyDescent="0.4">
      <c r="A274" s="6"/>
      <c r="B274" s="7"/>
      <c r="C274" s="2"/>
      <c r="D274" s="8"/>
      <c r="E274" s="8"/>
      <c r="F274" s="9"/>
      <c r="G274" s="9"/>
      <c r="H274" s="270"/>
      <c r="I274" s="4"/>
      <c r="J274" s="4" t="s">
        <v>4</v>
      </c>
      <c r="K274" s="4" t="s">
        <v>4</v>
      </c>
      <c r="L274" s="4" t="s">
        <v>4</v>
      </c>
      <c r="M274" s="206" t="s">
        <v>4</v>
      </c>
    </row>
    <row r="275" spans="1:13" x14ac:dyDescent="0.4">
      <c r="A275" s="6"/>
      <c r="B275" s="7"/>
      <c r="C275" s="2"/>
      <c r="D275" s="8"/>
      <c r="E275" s="8"/>
      <c r="F275" s="9"/>
      <c r="G275" s="9"/>
      <c r="H275" s="270"/>
      <c r="I275" s="4"/>
      <c r="J275" s="4" t="s">
        <v>4</v>
      </c>
      <c r="K275" s="4" t="s">
        <v>4</v>
      </c>
      <c r="L275" s="4" t="s">
        <v>4</v>
      </c>
      <c r="M275" s="206" t="s">
        <v>4</v>
      </c>
    </row>
    <row r="276" spans="1:13" x14ac:dyDescent="0.4">
      <c r="A276" s="6"/>
      <c r="B276" s="7"/>
      <c r="C276" s="2"/>
      <c r="D276" s="8"/>
      <c r="E276" s="8"/>
      <c r="F276" s="9"/>
      <c r="G276" s="9"/>
      <c r="H276" s="270"/>
      <c r="I276" s="4"/>
      <c r="J276" s="4" t="s">
        <v>4</v>
      </c>
      <c r="K276" s="4" t="s">
        <v>4</v>
      </c>
      <c r="L276" s="4" t="s">
        <v>4</v>
      </c>
      <c r="M276" s="206" t="s">
        <v>4</v>
      </c>
    </row>
    <row r="277" spans="1:13" x14ac:dyDescent="0.4">
      <c r="A277" s="6"/>
      <c r="B277" s="7"/>
      <c r="C277" s="2"/>
      <c r="D277" s="8"/>
      <c r="E277" s="8"/>
      <c r="F277" s="9"/>
      <c r="G277" s="9"/>
      <c r="H277" s="270"/>
      <c r="I277" s="4"/>
      <c r="J277" s="4" t="s">
        <v>4</v>
      </c>
      <c r="K277" s="4" t="s">
        <v>4</v>
      </c>
      <c r="L277" s="4" t="s">
        <v>4</v>
      </c>
      <c r="M277" s="206" t="s">
        <v>4</v>
      </c>
    </row>
    <row r="278" spans="1:13" x14ac:dyDescent="0.4">
      <c r="A278" s="6"/>
      <c r="B278" s="7"/>
      <c r="C278" s="2"/>
      <c r="D278" s="8"/>
      <c r="E278" s="8"/>
      <c r="F278" s="9"/>
      <c r="G278" s="9"/>
      <c r="H278" s="270"/>
      <c r="I278" s="4"/>
      <c r="J278" s="4" t="s">
        <v>4</v>
      </c>
      <c r="K278" s="4" t="s">
        <v>4</v>
      </c>
      <c r="L278" s="4" t="s">
        <v>4</v>
      </c>
      <c r="M278" s="206" t="s">
        <v>4</v>
      </c>
    </row>
    <row r="279" spans="1:13" x14ac:dyDescent="0.4">
      <c r="A279" s="6"/>
      <c r="B279" s="7"/>
      <c r="C279" s="2"/>
      <c r="D279" s="8"/>
      <c r="E279" s="8"/>
      <c r="F279" s="9"/>
      <c r="G279" s="9"/>
      <c r="H279" s="270"/>
      <c r="I279" s="4"/>
      <c r="J279" s="4" t="s">
        <v>4</v>
      </c>
      <c r="K279" s="4" t="s">
        <v>4</v>
      </c>
      <c r="L279" s="4" t="s">
        <v>4</v>
      </c>
      <c r="M279" s="206" t="s">
        <v>4</v>
      </c>
    </row>
    <row r="280" spans="1:13" x14ac:dyDescent="0.4">
      <c r="A280" s="6"/>
      <c r="B280" s="7"/>
      <c r="C280" s="2"/>
      <c r="D280" s="8"/>
      <c r="E280" s="8"/>
      <c r="F280" s="9"/>
      <c r="G280" s="9"/>
      <c r="H280" s="270"/>
      <c r="I280" s="4"/>
      <c r="J280" s="4" t="s">
        <v>4</v>
      </c>
      <c r="K280" s="4" t="s">
        <v>4</v>
      </c>
      <c r="L280" s="4" t="s">
        <v>4</v>
      </c>
      <c r="M280" s="206" t="s">
        <v>4</v>
      </c>
    </row>
    <row r="281" spans="1:13" x14ac:dyDescent="0.4">
      <c r="A281" s="6"/>
      <c r="B281" s="7"/>
      <c r="C281" s="2"/>
      <c r="D281" s="8"/>
      <c r="E281" s="8"/>
      <c r="F281" s="9"/>
      <c r="G281" s="9"/>
      <c r="H281" s="270"/>
      <c r="I281" s="4"/>
      <c r="J281" s="4" t="s">
        <v>4</v>
      </c>
      <c r="K281" s="4" t="s">
        <v>4</v>
      </c>
      <c r="L281" s="4" t="s">
        <v>4</v>
      </c>
      <c r="M281" s="206" t="s">
        <v>4</v>
      </c>
    </row>
    <row r="282" spans="1:13" x14ac:dyDescent="0.4">
      <c r="A282" s="6"/>
      <c r="B282" s="7"/>
      <c r="C282" s="2"/>
      <c r="D282" s="8"/>
      <c r="E282" s="8"/>
      <c r="F282" s="9"/>
      <c r="G282" s="9"/>
      <c r="H282" s="270"/>
      <c r="I282" s="4"/>
      <c r="J282" s="4" t="s">
        <v>4</v>
      </c>
      <c r="K282" s="4" t="s">
        <v>4</v>
      </c>
      <c r="L282" s="4" t="s">
        <v>4</v>
      </c>
      <c r="M282" s="206" t="s">
        <v>4</v>
      </c>
    </row>
    <row r="283" spans="1:13" x14ac:dyDescent="0.4">
      <c r="A283" s="6"/>
      <c r="B283" s="7"/>
      <c r="C283" s="2"/>
      <c r="D283" s="8"/>
      <c r="E283" s="8"/>
      <c r="F283" s="9"/>
      <c r="G283" s="9"/>
      <c r="H283" s="270"/>
      <c r="I283" s="4"/>
      <c r="J283" s="4" t="s">
        <v>4</v>
      </c>
      <c r="K283" s="4" t="s">
        <v>4</v>
      </c>
      <c r="L283" s="4" t="s">
        <v>4</v>
      </c>
      <c r="M283" s="206" t="s">
        <v>4</v>
      </c>
    </row>
    <row r="284" spans="1:13" x14ac:dyDescent="0.4">
      <c r="A284" s="6"/>
      <c r="B284" s="7"/>
      <c r="C284" s="2"/>
      <c r="D284" s="8"/>
      <c r="E284" s="8"/>
      <c r="F284" s="9"/>
      <c r="G284" s="9"/>
      <c r="H284" s="270"/>
      <c r="I284" s="4"/>
      <c r="J284" s="4" t="s">
        <v>4</v>
      </c>
      <c r="K284" s="4" t="s">
        <v>4</v>
      </c>
      <c r="L284" s="4" t="s">
        <v>4</v>
      </c>
      <c r="M284" s="206" t="s">
        <v>4</v>
      </c>
    </row>
    <row r="285" spans="1:13" x14ac:dyDescent="0.4">
      <c r="A285" s="6"/>
      <c r="B285" s="7"/>
      <c r="C285" s="2"/>
      <c r="D285" s="8"/>
      <c r="E285" s="8"/>
      <c r="F285" s="9"/>
      <c r="G285" s="9"/>
      <c r="H285" s="270"/>
      <c r="I285" s="4"/>
      <c r="J285" s="4" t="s">
        <v>4</v>
      </c>
      <c r="K285" s="4" t="s">
        <v>4</v>
      </c>
      <c r="L285" s="4" t="s">
        <v>4</v>
      </c>
      <c r="M285" s="206" t="s">
        <v>4</v>
      </c>
    </row>
    <row r="286" spans="1:13" x14ac:dyDescent="0.4">
      <c r="A286" s="6"/>
      <c r="B286" s="7"/>
      <c r="C286" s="2"/>
      <c r="D286" s="8"/>
      <c r="E286" s="8"/>
      <c r="F286" s="9"/>
      <c r="G286" s="9"/>
      <c r="H286" s="270"/>
      <c r="I286" s="4"/>
      <c r="J286" s="4" t="s">
        <v>4</v>
      </c>
      <c r="K286" s="4" t="s">
        <v>4</v>
      </c>
      <c r="L286" s="4" t="s">
        <v>4</v>
      </c>
      <c r="M286" s="206" t="s">
        <v>4</v>
      </c>
    </row>
    <row r="287" spans="1:13" x14ac:dyDescent="0.4">
      <c r="A287" s="6"/>
      <c r="B287" s="7"/>
      <c r="C287" s="2"/>
      <c r="D287" s="8"/>
      <c r="E287" s="8"/>
      <c r="F287" s="9"/>
      <c r="G287" s="9"/>
      <c r="H287" s="270"/>
      <c r="I287" s="4"/>
      <c r="J287" s="4" t="s">
        <v>4</v>
      </c>
      <c r="K287" s="4" t="s">
        <v>4</v>
      </c>
      <c r="L287" s="4" t="s">
        <v>4</v>
      </c>
      <c r="M287" s="206" t="s">
        <v>4</v>
      </c>
    </row>
    <row r="288" spans="1:13" x14ac:dyDescent="0.4">
      <c r="A288" s="6"/>
      <c r="B288" s="7"/>
      <c r="C288" s="2"/>
      <c r="D288" s="8"/>
      <c r="E288" s="8"/>
      <c r="F288" s="9"/>
      <c r="G288" s="9"/>
      <c r="H288" s="270"/>
      <c r="I288" s="4"/>
      <c r="J288" s="4"/>
      <c r="K288" s="4"/>
      <c r="L288" s="4"/>
      <c r="M288" s="206"/>
    </row>
    <row r="289" spans="1:13" x14ac:dyDescent="0.4">
      <c r="A289" s="6"/>
      <c r="B289" s="7"/>
      <c r="C289" s="2"/>
      <c r="D289" s="8"/>
      <c r="E289" s="8"/>
      <c r="F289" s="9"/>
      <c r="G289" s="9"/>
      <c r="H289" s="270"/>
      <c r="I289" s="4"/>
      <c r="J289" s="4"/>
      <c r="K289" s="4"/>
      <c r="L289" s="4"/>
      <c r="M289" s="206"/>
    </row>
    <row r="290" spans="1:13" x14ac:dyDescent="0.4">
      <c r="A290" s="6"/>
      <c r="B290" s="7"/>
      <c r="C290" s="2"/>
      <c r="D290" s="8"/>
      <c r="E290" s="8"/>
      <c r="F290" s="9"/>
      <c r="G290" s="9"/>
      <c r="H290" s="270"/>
      <c r="I290" s="4"/>
      <c r="J290" s="4"/>
      <c r="K290" s="4"/>
      <c r="L290" s="4"/>
      <c r="M290" s="206"/>
    </row>
    <row r="291" spans="1:13" x14ac:dyDescent="0.4">
      <c r="A291" s="6"/>
      <c r="B291" s="7"/>
      <c r="C291" s="2"/>
      <c r="D291" s="8"/>
      <c r="E291" s="8"/>
      <c r="F291" s="9"/>
      <c r="G291" s="9"/>
      <c r="H291" s="270"/>
      <c r="I291" s="4"/>
      <c r="J291" s="4"/>
      <c r="K291" s="4"/>
      <c r="L291" s="4"/>
      <c r="M291" s="206"/>
    </row>
    <row r="292" spans="1:13" x14ac:dyDescent="0.4">
      <c r="A292" s="6"/>
      <c r="B292" s="7"/>
      <c r="C292" s="2"/>
      <c r="D292" s="8"/>
      <c r="E292" s="8"/>
      <c r="F292" s="9"/>
      <c r="G292" s="9"/>
      <c r="H292" s="270"/>
      <c r="I292" s="4"/>
      <c r="J292" s="4"/>
      <c r="K292" s="4"/>
      <c r="L292" s="4"/>
      <c r="M292" s="206"/>
    </row>
    <row r="293" spans="1:13" x14ac:dyDescent="0.4">
      <c r="A293" s="6"/>
      <c r="B293" s="7"/>
      <c r="C293" s="2"/>
      <c r="D293" s="8"/>
      <c r="E293" s="8"/>
      <c r="F293" s="9"/>
      <c r="G293" s="9"/>
      <c r="H293" s="270"/>
      <c r="I293" s="4"/>
      <c r="J293" s="4"/>
      <c r="K293" s="4"/>
      <c r="L293" s="4"/>
      <c r="M293" s="206"/>
    </row>
    <row r="294" spans="1:13" x14ac:dyDescent="0.4">
      <c r="A294" s="6"/>
      <c r="B294" s="7"/>
      <c r="C294" s="2"/>
      <c r="D294" s="8"/>
      <c r="E294" s="8"/>
      <c r="F294" s="9"/>
      <c r="G294" s="9"/>
      <c r="H294" s="270"/>
      <c r="I294" s="4"/>
      <c r="J294" s="4"/>
      <c r="K294" s="4"/>
      <c r="L294" s="4"/>
      <c r="M294" s="206"/>
    </row>
    <row r="295" spans="1:13" x14ac:dyDescent="0.4">
      <c r="A295" s="6"/>
      <c r="B295" s="7"/>
      <c r="C295" s="2"/>
      <c r="D295" s="8"/>
      <c r="E295" s="8"/>
      <c r="F295" s="9"/>
      <c r="G295" s="9"/>
      <c r="H295" s="270"/>
      <c r="I295" s="4"/>
      <c r="J295" s="4"/>
      <c r="K295" s="4"/>
      <c r="L295" s="4"/>
      <c r="M295" s="206"/>
    </row>
    <row r="296" spans="1:13" x14ac:dyDescent="0.4">
      <c r="A296" s="6"/>
      <c r="B296" s="7"/>
      <c r="C296" s="2"/>
      <c r="D296" s="8"/>
      <c r="E296" s="8"/>
      <c r="F296" s="9"/>
      <c r="G296" s="9"/>
      <c r="H296" s="270"/>
      <c r="I296" s="4"/>
      <c r="J296" s="4"/>
      <c r="K296" s="4"/>
      <c r="L296" s="4"/>
      <c r="M296" s="206"/>
    </row>
    <row r="297" spans="1:13" x14ac:dyDescent="0.4">
      <c r="A297" s="6"/>
      <c r="B297" s="7"/>
      <c r="C297" s="2"/>
      <c r="D297" s="8"/>
      <c r="E297" s="8"/>
      <c r="F297" s="9"/>
      <c r="G297" s="9"/>
      <c r="H297" s="270"/>
      <c r="I297" s="4"/>
      <c r="J297" s="4"/>
      <c r="K297" s="4"/>
      <c r="L297" s="4"/>
      <c r="M297" s="206"/>
    </row>
    <row r="298" spans="1:13" x14ac:dyDescent="0.4">
      <c r="A298" s="6"/>
      <c r="B298" s="7"/>
      <c r="C298" s="2"/>
      <c r="D298" s="8"/>
      <c r="E298" s="8"/>
      <c r="F298" s="9"/>
      <c r="G298" s="9"/>
      <c r="H298" s="270"/>
      <c r="I298" s="4"/>
      <c r="J298" s="4"/>
      <c r="K298" s="4"/>
      <c r="L298" s="4"/>
      <c r="M298" s="206"/>
    </row>
    <row r="299" spans="1:13" x14ac:dyDescent="0.4">
      <c r="A299" s="6"/>
      <c r="B299" s="7"/>
      <c r="C299" s="2"/>
      <c r="D299" s="8"/>
      <c r="E299" s="8"/>
      <c r="F299" s="9"/>
      <c r="G299" s="9"/>
      <c r="H299" s="270"/>
      <c r="I299" s="4"/>
      <c r="J299" s="4"/>
      <c r="K299" s="4"/>
      <c r="L299" s="4"/>
      <c r="M299" s="206"/>
    </row>
    <row r="300" spans="1:13" x14ac:dyDescent="0.4">
      <c r="A300" s="6"/>
      <c r="B300" s="7"/>
      <c r="C300" s="2"/>
      <c r="D300" s="8"/>
      <c r="E300" s="8"/>
      <c r="F300" s="9"/>
      <c r="G300" s="9"/>
      <c r="H300" s="270"/>
      <c r="I300" s="4"/>
      <c r="J300" s="4"/>
      <c r="K300" s="4"/>
      <c r="L300" s="4"/>
      <c r="M300" s="206"/>
    </row>
    <row r="301" spans="1:13" x14ac:dyDescent="0.4">
      <c r="A301" s="6"/>
      <c r="B301" s="7"/>
      <c r="C301" s="2"/>
      <c r="D301" s="8"/>
      <c r="E301" s="8"/>
      <c r="F301" s="9"/>
      <c r="G301" s="9"/>
      <c r="H301" s="270"/>
      <c r="I301" s="4"/>
      <c r="J301" s="4"/>
      <c r="K301" s="4"/>
      <c r="L301" s="4"/>
      <c r="M301" s="206"/>
    </row>
    <row r="302" spans="1:13" x14ac:dyDescent="0.4">
      <c r="A302" s="6"/>
      <c r="B302" s="7"/>
      <c r="C302" s="2"/>
      <c r="D302" s="8"/>
      <c r="E302" s="8"/>
      <c r="F302" s="9"/>
      <c r="G302" s="9"/>
      <c r="H302" s="270"/>
      <c r="I302" s="4"/>
      <c r="J302" s="4"/>
      <c r="K302" s="4"/>
      <c r="L302" s="4"/>
      <c r="M302" s="206"/>
    </row>
    <row r="303" spans="1:13" x14ac:dyDescent="0.4">
      <c r="A303" s="6"/>
      <c r="B303" s="7"/>
      <c r="C303" s="2"/>
      <c r="D303" s="8"/>
      <c r="E303" s="8"/>
      <c r="F303" s="9"/>
      <c r="G303" s="9"/>
      <c r="H303" s="270"/>
      <c r="I303" s="4"/>
      <c r="J303" s="4"/>
      <c r="K303" s="4"/>
      <c r="L303" s="4"/>
      <c r="M303" s="206"/>
    </row>
    <row r="304" spans="1:13" x14ac:dyDescent="0.4">
      <c r="A304" s="6"/>
      <c r="B304" s="7"/>
      <c r="C304" s="2"/>
      <c r="D304" s="8"/>
      <c r="E304" s="8"/>
      <c r="F304" s="9"/>
      <c r="G304" s="9"/>
      <c r="H304" s="270"/>
      <c r="I304" s="4"/>
      <c r="J304" s="4"/>
      <c r="K304" s="4"/>
      <c r="L304" s="4"/>
      <c r="M304" s="206"/>
    </row>
    <row r="305" spans="1:13" x14ac:dyDescent="0.4">
      <c r="A305" s="6"/>
      <c r="B305" s="7"/>
      <c r="C305" s="2"/>
      <c r="D305" s="8"/>
      <c r="E305" s="8"/>
      <c r="F305" s="9"/>
      <c r="G305" s="9"/>
      <c r="H305" s="270"/>
      <c r="I305" s="4"/>
      <c r="J305" s="4"/>
      <c r="K305" s="4"/>
      <c r="L305" s="4"/>
      <c r="M305" s="206"/>
    </row>
    <row r="306" spans="1:13" x14ac:dyDescent="0.4">
      <c r="A306" s="6"/>
      <c r="B306" s="7"/>
      <c r="C306" s="2"/>
      <c r="D306" s="8"/>
      <c r="E306" s="8"/>
      <c r="F306" s="9"/>
      <c r="G306" s="9"/>
      <c r="H306" s="270"/>
      <c r="I306" s="4"/>
      <c r="J306" s="4"/>
      <c r="K306" s="4"/>
      <c r="L306" s="4"/>
      <c r="M306" s="206"/>
    </row>
    <row r="307" spans="1:13" x14ac:dyDescent="0.4">
      <c r="A307" s="6"/>
      <c r="B307" s="7"/>
      <c r="C307" s="2"/>
      <c r="D307" s="8"/>
      <c r="E307" s="8"/>
      <c r="F307" s="9"/>
      <c r="G307" s="9"/>
      <c r="H307" s="270"/>
      <c r="I307" s="4"/>
      <c r="J307" s="4"/>
      <c r="K307" s="4"/>
      <c r="L307" s="4"/>
      <c r="M307" s="206"/>
    </row>
    <row r="308" spans="1:13" x14ac:dyDescent="0.4">
      <c r="A308" s="6"/>
      <c r="B308" s="7"/>
      <c r="C308" s="2"/>
      <c r="D308" s="8"/>
      <c r="E308" s="8"/>
      <c r="F308" s="9"/>
      <c r="G308" s="9"/>
      <c r="H308" s="270"/>
      <c r="I308" s="4"/>
      <c r="J308" s="4"/>
      <c r="K308" s="4"/>
      <c r="L308" s="4"/>
      <c r="M308" s="206"/>
    </row>
    <row r="309" spans="1:13" x14ac:dyDescent="0.4">
      <c r="A309" s="6"/>
      <c r="B309" s="7"/>
      <c r="C309" s="2"/>
      <c r="D309" s="8"/>
      <c r="E309" s="8"/>
      <c r="F309" s="9"/>
      <c r="G309" s="9"/>
      <c r="H309" s="270"/>
      <c r="I309" s="4"/>
      <c r="J309" s="4"/>
      <c r="K309" s="4"/>
      <c r="L309" s="4"/>
      <c r="M309" s="206"/>
    </row>
    <row r="310" spans="1:13" x14ac:dyDescent="0.4">
      <c r="A310" s="6"/>
      <c r="B310" s="7"/>
      <c r="C310" s="2"/>
      <c r="D310" s="8"/>
      <c r="E310" s="8"/>
      <c r="F310" s="9"/>
      <c r="G310" s="9"/>
      <c r="H310" s="270"/>
      <c r="I310" s="4"/>
      <c r="J310" s="4"/>
      <c r="K310" s="4"/>
      <c r="L310" s="4"/>
      <c r="M310" s="206"/>
    </row>
    <row r="311" spans="1:13" x14ac:dyDescent="0.4">
      <c r="A311" s="6"/>
      <c r="B311" s="7"/>
      <c r="C311" s="2"/>
      <c r="D311" s="8"/>
      <c r="E311" s="8"/>
      <c r="F311" s="9"/>
      <c r="G311" s="9"/>
      <c r="H311" s="270"/>
      <c r="I311" s="4"/>
      <c r="J311" s="4"/>
      <c r="K311" s="4"/>
      <c r="L311" s="4"/>
      <c r="M311" s="206"/>
    </row>
    <row r="312" spans="1:13" x14ac:dyDescent="0.4">
      <c r="A312" s="6"/>
      <c r="B312" s="7"/>
      <c r="C312" s="2"/>
      <c r="D312" s="8"/>
      <c r="E312" s="8"/>
      <c r="F312" s="9"/>
      <c r="G312" s="9"/>
      <c r="H312" s="270"/>
      <c r="I312" s="4"/>
      <c r="J312" s="4"/>
      <c r="K312" s="4"/>
      <c r="L312" s="4"/>
      <c r="M312" s="206"/>
    </row>
    <row r="313" spans="1:13" x14ac:dyDescent="0.4">
      <c r="A313" s="6"/>
      <c r="B313" s="7"/>
      <c r="C313" s="2"/>
      <c r="D313" s="8"/>
      <c r="E313" s="8"/>
      <c r="F313" s="9"/>
      <c r="G313" s="9"/>
      <c r="H313" s="270"/>
      <c r="I313" s="4"/>
      <c r="J313" s="4"/>
      <c r="K313" s="4"/>
      <c r="L313" s="4"/>
      <c r="M313" s="206"/>
    </row>
    <row r="314" spans="1:13" x14ac:dyDescent="0.4">
      <c r="A314" s="6"/>
      <c r="B314" s="7"/>
      <c r="C314" s="2"/>
      <c r="D314" s="8"/>
      <c r="E314" s="8"/>
      <c r="F314" s="9"/>
      <c r="G314" s="9"/>
      <c r="H314" s="270"/>
      <c r="I314" s="4"/>
      <c r="J314" s="4"/>
      <c r="K314" s="4"/>
      <c r="L314" s="4"/>
      <c r="M314" s="206"/>
    </row>
    <row r="315" spans="1:13" x14ac:dyDescent="0.4">
      <c r="A315" s="6"/>
      <c r="B315" s="7"/>
      <c r="C315" s="2"/>
      <c r="D315" s="8"/>
      <c r="E315" s="8"/>
      <c r="F315" s="9"/>
      <c r="G315" s="9"/>
      <c r="H315" s="270"/>
      <c r="I315" s="4"/>
      <c r="J315" s="4"/>
      <c r="K315" s="4"/>
      <c r="L315" s="4"/>
      <c r="M315" s="206"/>
    </row>
    <row r="316" spans="1:13" x14ac:dyDescent="0.4">
      <c r="A316" s="6"/>
      <c r="B316" s="7"/>
      <c r="C316" s="2"/>
      <c r="D316" s="8"/>
      <c r="E316" s="8"/>
      <c r="F316" s="9"/>
      <c r="G316" s="9"/>
      <c r="H316" s="270"/>
      <c r="I316" s="4"/>
      <c r="J316" s="4"/>
      <c r="K316" s="4"/>
      <c r="L316" s="4"/>
      <c r="M316" s="206"/>
    </row>
    <row r="317" spans="1:13" x14ac:dyDescent="0.4">
      <c r="A317" s="6"/>
      <c r="B317" s="7"/>
      <c r="C317" s="2"/>
      <c r="D317" s="8"/>
      <c r="E317" s="8"/>
      <c r="F317" s="9"/>
      <c r="G317" s="9"/>
      <c r="H317" s="270"/>
      <c r="I317" s="4"/>
      <c r="J317" s="4"/>
      <c r="K317" s="4"/>
      <c r="L317" s="4"/>
      <c r="M317" s="206"/>
    </row>
    <row r="318" spans="1:13" x14ac:dyDescent="0.4">
      <c r="A318" s="6"/>
      <c r="B318" s="7"/>
      <c r="C318" s="2"/>
      <c r="D318" s="8"/>
      <c r="E318" s="8"/>
      <c r="F318" s="9"/>
      <c r="G318" s="9"/>
      <c r="H318" s="270"/>
      <c r="I318" s="4"/>
      <c r="J318" s="4"/>
      <c r="K318" s="4"/>
      <c r="L318" s="4"/>
      <c r="M318" s="206"/>
    </row>
    <row r="319" spans="1:13" x14ac:dyDescent="0.4">
      <c r="A319" s="6"/>
      <c r="B319" s="7"/>
      <c r="C319" s="2"/>
      <c r="D319" s="8"/>
      <c r="E319" s="8"/>
      <c r="F319" s="9"/>
      <c r="G319" s="9"/>
      <c r="H319" s="270"/>
      <c r="I319" s="4"/>
      <c r="J319" s="4"/>
      <c r="K319" s="4"/>
      <c r="L319" s="4"/>
      <c r="M319" s="206"/>
    </row>
    <row r="320" spans="1:13" x14ac:dyDescent="0.4">
      <c r="A320" s="6"/>
      <c r="B320" s="7"/>
      <c r="C320" s="2"/>
      <c r="D320" s="8"/>
      <c r="E320" s="8"/>
      <c r="F320" s="9"/>
      <c r="G320" s="9"/>
      <c r="H320" s="270"/>
      <c r="I320" s="4"/>
      <c r="J320" s="4"/>
      <c r="K320" s="4"/>
      <c r="L320" s="4"/>
      <c r="M320" s="206"/>
    </row>
    <row r="321" spans="1:13" x14ac:dyDescent="0.4">
      <c r="A321" s="6"/>
      <c r="B321" s="7"/>
      <c r="C321" s="2"/>
      <c r="D321" s="8"/>
      <c r="E321" s="8"/>
      <c r="F321" s="9"/>
      <c r="G321" s="9"/>
      <c r="H321" s="270"/>
      <c r="I321" s="4"/>
      <c r="J321" s="4"/>
      <c r="K321" s="4"/>
      <c r="L321" s="4"/>
      <c r="M321" s="206"/>
    </row>
    <row r="322" spans="1:13" x14ac:dyDescent="0.4">
      <c r="A322" s="6"/>
      <c r="B322" s="7"/>
      <c r="C322" s="2"/>
      <c r="D322" s="8"/>
      <c r="E322" s="8"/>
      <c r="F322" s="9"/>
      <c r="G322" s="9"/>
      <c r="H322" s="270"/>
      <c r="I322" s="4"/>
      <c r="J322" s="4"/>
      <c r="K322" s="4"/>
      <c r="L322" s="4"/>
      <c r="M322" s="206"/>
    </row>
    <row r="323" spans="1:13" x14ac:dyDescent="0.4">
      <c r="A323" s="6"/>
      <c r="B323" s="7"/>
      <c r="C323" s="2"/>
      <c r="D323" s="8"/>
      <c r="E323" s="8"/>
      <c r="F323" s="9"/>
      <c r="G323" s="9"/>
      <c r="H323" s="270"/>
      <c r="I323" s="4"/>
      <c r="J323" s="4"/>
      <c r="K323" s="4"/>
      <c r="L323" s="4"/>
      <c r="M323" s="206"/>
    </row>
    <row r="324" spans="1:13" x14ac:dyDescent="0.4">
      <c r="A324" s="6"/>
      <c r="B324" s="7"/>
      <c r="C324" s="2"/>
      <c r="D324" s="8"/>
      <c r="E324" s="8"/>
      <c r="F324" s="9"/>
      <c r="G324" s="9"/>
      <c r="H324" s="270"/>
      <c r="I324" s="4"/>
      <c r="J324" s="4"/>
      <c r="K324" s="4"/>
      <c r="L324" s="4"/>
      <c r="M324" s="206"/>
    </row>
    <row r="325" spans="1:13" x14ac:dyDescent="0.4">
      <c r="A325" s="6"/>
      <c r="B325" s="7"/>
      <c r="C325" s="2"/>
      <c r="D325" s="8"/>
      <c r="E325" s="8"/>
      <c r="F325" s="9"/>
      <c r="G325" s="9"/>
      <c r="H325" s="270"/>
      <c r="I325" s="4"/>
      <c r="J325" s="4"/>
      <c r="K325" s="4"/>
      <c r="L325" s="4"/>
      <c r="M325" s="206"/>
    </row>
    <row r="326" spans="1:13" x14ac:dyDescent="0.4">
      <c r="A326" s="6"/>
      <c r="B326" s="7"/>
      <c r="C326" s="2"/>
      <c r="D326" s="8"/>
      <c r="E326" s="8"/>
      <c r="F326" s="9"/>
      <c r="G326" s="9"/>
      <c r="H326" s="270"/>
      <c r="I326" s="4"/>
      <c r="J326" s="4"/>
      <c r="K326" s="4"/>
      <c r="L326" s="4"/>
      <c r="M326" s="206"/>
    </row>
    <row r="327" spans="1:13" x14ac:dyDescent="0.4">
      <c r="A327" s="6"/>
      <c r="B327" s="7"/>
      <c r="C327" s="2"/>
      <c r="D327" s="8"/>
      <c r="E327" s="8"/>
      <c r="F327" s="9"/>
      <c r="G327" s="9"/>
      <c r="H327" s="270"/>
      <c r="I327" s="4"/>
      <c r="J327" s="4"/>
      <c r="K327" s="4"/>
      <c r="L327" s="4"/>
      <c r="M327" s="206"/>
    </row>
    <row r="328" spans="1:13" x14ac:dyDescent="0.4">
      <c r="A328" s="6"/>
      <c r="B328" s="7"/>
      <c r="C328" s="2"/>
      <c r="D328" s="8"/>
      <c r="E328" s="8"/>
      <c r="F328" s="9"/>
      <c r="G328" s="9"/>
      <c r="H328" s="270"/>
      <c r="I328" s="4"/>
      <c r="J328" s="4"/>
      <c r="K328" s="4"/>
      <c r="L328" s="4"/>
      <c r="M328" s="206"/>
    </row>
    <row r="329" spans="1:13" x14ac:dyDescent="0.4">
      <c r="A329" s="6"/>
      <c r="B329" s="7"/>
      <c r="C329" s="2"/>
      <c r="D329" s="8"/>
      <c r="E329" s="8"/>
      <c r="F329" s="9"/>
      <c r="G329" s="9"/>
      <c r="H329" s="270"/>
      <c r="I329" s="4"/>
      <c r="J329" s="4"/>
      <c r="K329" s="4"/>
      <c r="L329" s="4"/>
      <c r="M329" s="206"/>
    </row>
    <row r="330" spans="1:13" x14ac:dyDescent="0.4">
      <c r="A330" s="6"/>
      <c r="B330" s="7"/>
      <c r="C330" s="2"/>
      <c r="D330" s="8"/>
      <c r="E330" s="8"/>
      <c r="F330" s="9"/>
      <c r="G330" s="9"/>
      <c r="H330" s="270"/>
      <c r="I330" s="4"/>
      <c r="J330" s="4"/>
      <c r="K330" s="4"/>
      <c r="L330" s="4"/>
      <c r="M330" s="206"/>
    </row>
    <row r="331" spans="1:13" x14ac:dyDescent="0.4">
      <c r="A331" s="6"/>
      <c r="B331" s="7"/>
      <c r="C331" s="2"/>
      <c r="D331" s="8"/>
      <c r="E331" s="8"/>
      <c r="F331" s="9"/>
      <c r="G331" s="9"/>
      <c r="H331" s="270"/>
      <c r="I331" s="4"/>
      <c r="J331" s="4"/>
      <c r="K331" s="4"/>
      <c r="L331" s="4"/>
      <c r="M331" s="206"/>
    </row>
    <row r="332" spans="1:13" x14ac:dyDescent="0.4">
      <c r="A332" s="6"/>
      <c r="B332" s="7"/>
      <c r="C332" s="2"/>
      <c r="D332" s="8"/>
      <c r="E332" s="8"/>
      <c r="F332" s="9"/>
      <c r="G332" s="9"/>
      <c r="H332" s="270"/>
      <c r="I332" s="4"/>
      <c r="J332" s="4"/>
      <c r="K332" s="4"/>
      <c r="L332" s="4"/>
      <c r="M332" s="206"/>
    </row>
    <row r="333" spans="1:13" x14ac:dyDescent="0.4">
      <c r="A333" s="6"/>
      <c r="B333" s="7"/>
      <c r="C333" s="2"/>
      <c r="D333" s="8"/>
      <c r="E333" s="8"/>
      <c r="F333" s="9"/>
      <c r="G333" s="9"/>
      <c r="H333" s="270"/>
      <c r="I333" s="4"/>
      <c r="J333" s="4"/>
      <c r="K333" s="4"/>
      <c r="L333" s="4"/>
      <c r="M333" s="206"/>
    </row>
    <row r="334" spans="1:13" x14ac:dyDescent="0.4">
      <c r="A334" s="6"/>
      <c r="B334" s="7"/>
      <c r="C334" s="2"/>
      <c r="D334" s="8"/>
      <c r="E334" s="8"/>
      <c r="F334" s="9"/>
      <c r="G334" s="9"/>
      <c r="H334" s="270"/>
      <c r="I334" s="4"/>
      <c r="J334" s="4"/>
      <c r="K334" s="4"/>
      <c r="L334" s="4"/>
      <c r="M334" s="206"/>
    </row>
    <row r="335" spans="1:13" x14ac:dyDescent="0.4">
      <c r="A335" s="6"/>
      <c r="B335" s="7"/>
      <c r="C335" s="2"/>
      <c r="D335" s="8"/>
      <c r="E335" s="8"/>
      <c r="F335" s="9"/>
      <c r="G335" s="9"/>
      <c r="H335" s="270"/>
      <c r="I335" s="4"/>
      <c r="J335" s="4"/>
      <c r="K335" s="4"/>
      <c r="L335" s="4"/>
      <c r="M335" s="206"/>
    </row>
  </sheetData>
  <mergeCells count="1">
    <mergeCell ref="C5:K5"/>
  </mergeCells>
  <phoneticPr fontId="0" type="noConversion"/>
  <pageMargins left="0.5" right="0.5" top="0.28000000000000003" bottom="0.53" header="0" footer="0"/>
  <pageSetup scale="75" orientation="portrait" r:id="rId1"/>
  <headerFooter alignWithMargins="0">
    <oddFooter>&amp;L&amp;"Arial,полужирный"Cr-18&amp;CP.&amp;P OF &amp;N
Вер.Ver 01/Изд Issued 01/15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7"/>
  <sheetViews>
    <sheetView showOutlineSymbols="0" zoomScale="87" zoomScaleNormal="87" workbookViewId="0">
      <selection activeCell="C2" sqref="C2"/>
    </sheetView>
  </sheetViews>
  <sheetFormatPr defaultColWidth="9.609375" defaultRowHeight="15" x14ac:dyDescent="0.4"/>
  <cols>
    <col min="1" max="1" width="9.44140625" style="1" customWidth="1"/>
    <col min="2" max="2" width="7" style="1" customWidth="1"/>
    <col min="3" max="3" width="12.88671875" style="1" customWidth="1"/>
    <col min="4" max="4" width="10.83203125" style="1" customWidth="1"/>
    <col min="5" max="5" width="8.609375" style="1" customWidth="1"/>
    <col min="6" max="6" width="11.109375" style="1" customWidth="1"/>
    <col min="7" max="7" width="5.609375" style="1" customWidth="1"/>
    <col min="8" max="8" width="6.38671875" style="250" customWidth="1"/>
    <col min="9" max="9" width="7.38671875" style="1" customWidth="1"/>
    <col min="10" max="10" width="8.609375" style="1" customWidth="1"/>
    <col min="11" max="12" width="9.609375" style="1" customWidth="1"/>
    <col min="13" max="13" width="0.109375" style="204" customWidth="1"/>
    <col min="14" max="16384" width="9.609375" style="1"/>
  </cols>
  <sheetData>
    <row r="1" spans="1:19" ht="21.75" customHeight="1" x14ac:dyDescent="0.5">
      <c r="A1" s="20"/>
      <c r="B1" s="21"/>
      <c r="C1" s="21"/>
      <c r="D1" s="210" t="s">
        <v>7</v>
      </c>
      <c r="E1" s="22"/>
      <c r="F1" s="22"/>
      <c r="G1" s="22"/>
      <c r="H1" s="236"/>
      <c r="I1" s="21"/>
      <c r="J1" s="21"/>
      <c r="K1" s="203" t="str">
        <f>Owner!K2</f>
        <v>Cr-19</v>
      </c>
      <c r="L1" s="19"/>
    </row>
    <row r="2" spans="1:19" x14ac:dyDescent="0.4">
      <c r="A2" s="23" t="s">
        <v>37</v>
      </c>
      <c r="B2" s="24"/>
      <c r="C2" s="257"/>
      <c r="D2" s="24"/>
      <c r="E2" s="24"/>
      <c r="F2" s="24"/>
      <c r="G2" s="19"/>
      <c r="H2" s="237"/>
      <c r="I2" s="24"/>
      <c r="J2" s="24"/>
      <c r="K2" s="25"/>
      <c r="L2" s="19"/>
    </row>
    <row r="3" spans="1:19" x14ac:dyDescent="0.4">
      <c r="A3" s="23" t="s">
        <v>0</v>
      </c>
      <c r="B3" s="24"/>
      <c r="C3" s="323" t="s">
        <v>64</v>
      </c>
      <c r="D3" s="324"/>
      <c r="E3" s="26"/>
      <c r="F3" s="24"/>
      <c r="G3" s="19"/>
      <c r="H3" s="237"/>
      <c r="I3" s="24"/>
      <c r="J3" s="24"/>
      <c r="K3" s="25"/>
      <c r="L3" s="19"/>
      <c r="N3" s="3" t="s">
        <v>4</v>
      </c>
      <c r="S3" s="3" t="s">
        <v>4</v>
      </c>
    </row>
    <row r="4" spans="1:19" ht="15.4" thickBot="1" x14ac:dyDescent="0.45">
      <c r="A4" s="27" t="s">
        <v>1</v>
      </c>
      <c r="B4" s="28"/>
      <c r="C4" s="28" t="s">
        <v>5</v>
      </c>
      <c r="D4" s="28"/>
      <c r="E4" s="28"/>
      <c r="F4" s="28"/>
      <c r="G4" s="29"/>
      <c r="H4" s="238"/>
      <c r="I4" s="28"/>
      <c r="J4" s="28"/>
      <c r="K4" s="30"/>
      <c r="L4" s="19"/>
    </row>
    <row r="5" spans="1:19" ht="47.25" customHeight="1" thickBot="1" x14ac:dyDescent="0.45">
      <c r="A5" s="140" t="s">
        <v>2</v>
      </c>
      <c r="B5" s="13" t="s">
        <v>3</v>
      </c>
      <c r="C5" s="13" t="s">
        <v>6</v>
      </c>
      <c r="D5" s="13" t="s">
        <v>8</v>
      </c>
      <c r="E5" s="13" t="s">
        <v>9</v>
      </c>
      <c r="F5" s="13" t="s">
        <v>27</v>
      </c>
      <c r="G5" s="13" t="s">
        <v>11</v>
      </c>
      <c r="H5" s="239" t="s">
        <v>12</v>
      </c>
      <c r="I5" s="13" t="s">
        <v>13</v>
      </c>
      <c r="J5" s="13" t="s">
        <v>14</v>
      </c>
      <c r="K5" s="14" t="s">
        <v>15</v>
      </c>
      <c r="L5" s="11" t="s">
        <v>4</v>
      </c>
      <c r="M5" s="205" t="s">
        <v>31</v>
      </c>
    </row>
    <row r="6" spans="1:19" x14ac:dyDescent="0.4">
      <c r="A6" s="190"/>
      <c r="B6" s="191"/>
      <c r="C6" s="192"/>
      <c r="D6" s="193"/>
      <c r="E6" s="194"/>
      <c r="F6" s="212"/>
      <c r="G6" s="212"/>
      <c r="H6" s="240"/>
      <c r="I6" s="145"/>
      <c r="J6" s="49">
        <f t="shared" ref="J6:J69" si="0">IF(F6="TLX",ROUND(M6/32*H6,2),ROUND(M6*H6,2))</f>
        <v>0</v>
      </c>
      <c r="K6" s="50">
        <f t="shared" ref="K6:K69" si="1">SUM(I6+J6)</f>
        <v>0</v>
      </c>
      <c r="L6" s="12"/>
      <c r="M6" s="206">
        <f t="shared" ref="M6:M69" si="2">ROUND(D6+E6/60,2)</f>
        <v>0</v>
      </c>
    </row>
    <row r="7" spans="1:19" x14ac:dyDescent="0.4">
      <c r="A7" s="82"/>
      <c r="B7" s="16"/>
      <c r="C7" s="97"/>
      <c r="D7" s="104"/>
      <c r="E7" s="33"/>
      <c r="F7" s="91"/>
      <c r="G7" s="91"/>
      <c r="H7" s="241"/>
      <c r="I7" s="34"/>
      <c r="J7" s="35">
        <f t="shared" si="0"/>
        <v>0</v>
      </c>
      <c r="K7" s="36">
        <f t="shared" si="1"/>
        <v>0</v>
      </c>
      <c r="L7" s="12"/>
      <c r="M7" s="206">
        <f t="shared" si="2"/>
        <v>0</v>
      </c>
    </row>
    <row r="8" spans="1:19" x14ac:dyDescent="0.4">
      <c r="A8" s="82"/>
      <c r="B8" s="16"/>
      <c r="C8" s="97"/>
      <c r="D8" s="104"/>
      <c r="E8" s="33"/>
      <c r="F8" s="91"/>
      <c r="G8" s="91"/>
      <c r="H8" s="241"/>
      <c r="I8" s="34"/>
      <c r="J8" s="35">
        <f t="shared" si="0"/>
        <v>0</v>
      </c>
      <c r="K8" s="36">
        <f t="shared" si="1"/>
        <v>0</v>
      </c>
      <c r="L8" s="12"/>
      <c r="M8" s="206">
        <f t="shared" si="2"/>
        <v>0</v>
      </c>
      <c r="O8" s="163"/>
    </row>
    <row r="9" spans="1:19" x14ac:dyDescent="0.4">
      <c r="A9" s="82"/>
      <c r="B9" s="16"/>
      <c r="C9" s="97"/>
      <c r="D9" s="104"/>
      <c r="E9" s="33"/>
      <c r="F9" s="91"/>
      <c r="G9" s="91"/>
      <c r="H9" s="241"/>
      <c r="I9" s="34"/>
      <c r="J9" s="35">
        <f t="shared" si="0"/>
        <v>0</v>
      </c>
      <c r="K9" s="36">
        <f t="shared" si="1"/>
        <v>0</v>
      </c>
      <c r="L9" s="12"/>
      <c r="M9" s="206">
        <f t="shared" si="2"/>
        <v>0</v>
      </c>
    </row>
    <row r="10" spans="1:19" x14ac:dyDescent="0.4">
      <c r="A10" s="82"/>
      <c r="B10" s="16"/>
      <c r="C10" s="97"/>
      <c r="D10" s="104"/>
      <c r="E10" s="33"/>
      <c r="F10" s="91"/>
      <c r="G10" s="91"/>
      <c r="H10" s="241"/>
      <c r="I10" s="34"/>
      <c r="J10" s="35">
        <f t="shared" si="0"/>
        <v>0</v>
      </c>
      <c r="K10" s="36">
        <f t="shared" si="1"/>
        <v>0</v>
      </c>
      <c r="L10" s="12"/>
      <c r="M10" s="206">
        <f t="shared" si="2"/>
        <v>0</v>
      </c>
    </row>
    <row r="11" spans="1:19" x14ac:dyDescent="0.4">
      <c r="A11" s="82"/>
      <c r="B11" s="16"/>
      <c r="C11" s="97"/>
      <c r="D11" s="104"/>
      <c r="E11" s="33"/>
      <c r="F11" s="91"/>
      <c r="G11" s="91"/>
      <c r="H11" s="241"/>
      <c r="I11" s="34"/>
      <c r="J11" s="35">
        <f t="shared" si="0"/>
        <v>0</v>
      </c>
      <c r="K11" s="36">
        <f t="shared" si="1"/>
        <v>0</v>
      </c>
      <c r="L11" s="12"/>
      <c r="M11" s="206">
        <f t="shared" si="2"/>
        <v>0</v>
      </c>
    </row>
    <row r="12" spans="1:19" x14ac:dyDescent="0.4">
      <c r="A12" s="80"/>
      <c r="B12" s="16"/>
      <c r="C12" s="97"/>
      <c r="D12" s="104"/>
      <c r="E12" s="33"/>
      <c r="F12" s="91"/>
      <c r="G12" s="91"/>
      <c r="H12" s="241"/>
      <c r="I12" s="34"/>
      <c r="J12" s="35">
        <f t="shared" si="0"/>
        <v>0</v>
      </c>
      <c r="K12" s="36">
        <f t="shared" si="1"/>
        <v>0</v>
      </c>
      <c r="L12" s="12"/>
      <c r="M12" s="206">
        <f t="shared" si="2"/>
        <v>0</v>
      </c>
      <c r="O12" s="162"/>
    </row>
    <row r="13" spans="1:19" x14ac:dyDescent="0.4">
      <c r="A13" s="80"/>
      <c r="B13" s="16"/>
      <c r="C13" s="97"/>
      <c r="D13" s="33"/>
      <c r="E13" s="33"/>
      <c r="F13" s="91"/>
      <c r="G13" s="91"/>
      <c r="H13" s="241"/>
      <c r="I13" s="34"/>
      <c r="J13" s="35">
        <f t="shared" si="0"/>
        <v>0</v>
      </c>
      <c r="K13" s="36">
        <f t="shared" si="1"/>
        <v>0</v>
      </c>
      <c r="L13" s="12"/>
      <c r="M13" s="206">
        <f t="shared" si="2"/>
        <v>0</v>
      </c>
    </row>
    <row r="14" spans="1:19" x14ac:dyDescent="0.4">
      <c r="A14" s="82"/>
      <c r="B14" s="16"/>
      <c r="C14" s="97"/>
      <c r="D14" s="104"/>
      <c r="E14" s="33"/>
      <c r="F14" s="91"/>
      <c r="G14" s="91"/>
      <c r="H14" s="241"/>
      <c r="I14" s="34"/>
      <c r="J14" s="35">
        <f t="shared" si="0"/>
        <v>0</v>
      </c>
      <c r="K14" s="36">
        <f t="shared" si="1"/>
        <v>0</v>
      </c>
      <c r="L14" s="12"/>
      <c r="M14" s="206">
        <f t="shared" si="2"/>
        <v>0</v>
      </c>
    </row>
    <row r="15" spans="1:19" x14ac:dyDescent="0.4">
      <c r="A15" s="82"/>
      <c r="B15" s="16"/>
      <c r="C15" s="97"/>
      <c r="D15" s="104"/>
      <c r="E15" s="33"/>
      <c r="F15" s="91"/>
      <c r="G15" s="91"/>
      <c r="H15" s="241"/>
      <c r="I15" s="34"/>
      <c r="J15" s="35">
        <f t="shared" si="0"/>
        <v>0</v>
      </c>
      <c r="K15" s="36">
        <f t="shared" si="1"/>
        <v>0</v>
      </c>
      <c r="L15" s="12"/>
      <c r="M15" s="206">
        <f t="shared" si="2"/>
        <v>0</v>
      </c>
    </row>
    <row r="16" spans="1:19" x14ac:dyDescent="0.4">
      <c r="A16" s="80"/>
      <c r="B16" s="16"/>
      <c r="C16" s="97"/>
      <c r="D16" s="104"/>
      <c r="E16" s="33"/>
      <c r="F16" s="91"/>
      <c r="G16" s="91"/>
      <c r="H16" s="241"/>
      <c r="I16" s="34"/>
      <c r="J16" s="35">
        <f t="shared" si="0"/>
        <v>0</v>
      </c>
      <c r="K16" s="36">
        <f t="shared" si="1"/>
        <v>0</v>
      </c>
      <c r="L16" s="12"/>
      <c r="M16" s="206">
        <f t="shared" si="2"/>
        <v>0</v>
      </c>
    </row>
    <row r="17" spans="1:14" x14ac:dyDescent="0.4">
      <c r="A17" s="80"/>
      <c r="B17" s="16"/>
      <c r="C17" s="16"/>
      <c r="D17" s="33"/>
      <c r="E17" s="33"/>
      <c r="F17" s="91"/>
      <c r="G17" s="91"/>
      <c r="H17" s="241"/>
      <c r="I17" s="34"/>
      <c r="J17" s="35">
        <f t="shared" si="0"/>
        <v>0</v>
      </c>
      <c r="K17" s="36">
        <f t="shared" si="1"/>
        <v>0</v>
      </c>
      <c r="L17" s="12"/>
      <c r="M17" s="206">
        <f t="shared" si="2"/>
        <v>0</v>
      </c>
      <c r="N17" s="161"/>
    </row>
    <row r="18" spans="1:14" x14ac:dyDescent="0.4">
      <c r="A18" s="80"/>
      <c r="B18" s="16"/>
      <c r="C18" s="97"/>
      <c r="D18" s="33"/>
      <c r="E18" s="33"/>
      <c r="F18" s="91"/>
      <c r="G18" s="91"/>
      <c r="H18" s="241"/>
      <c r="I18" s="34"/>
      <c r="J18" s="35">
        <f t="shared" si="0"/>
        <v>0</v>
      </c>
      <c r="K18" s="36">
        <f t="shared" si="1"/>
        <v>0</v>
      </c>
      <c r="L18" s="12"/>
      <c r="M18" s="206">
        <f t="shared" si="2"/>
        <v>0</v>
      </c>
      <c r="N18" s="161"/>
    </row>
    <row r="19" spans="1:14" x14ac:dyDescent="0.4">
      <c r="A19" s="82"/>
      <c r="B19" s="16"/>
      <c r="C19" s="97"/>
      <c r="D19" s="104"/>
      <c r="E19" s="33"/>
      <c r="F19" s="91"/>
      <c r="G19" s="91"/>
      <c r="H19" s="241"/>
      <c r="I19" s="34"/>
      <c r="J19" s="35">
        <f t="shared" si="0"/>
        <v>0</v>
      </c>
      <c r="K19" s="36">
        <f t="shared" si="1"/>
        <v>0</v>
      </c>
      <c r="L19" s="12"/>
      <c r="M19" s="206">
        <f t="shared" si="2"/>
        <v>0</v>
      </c>
      <c r="N19" s="161"/>
    </row>
    <row r="20" spans="1:14" x14ac:dyDescent="0.4">
      <c r="A20" s="80"/>
      <c r="B20" s="16"/>
      <c r="C20" s="97"/>
      <c r="D20" s="104"/>
      <c r="E20" s="33"/>
      <c r="F20" s="91"/>
      <c r="G20" s="91"/>
      <c r="H20" s="241"/>
      <c r="I20" s="34"/>
      <c r="J20" s="35">
        <f t="shared" si="0"/>
        <v>0</v>
      </c>
      <c r="K20" s="36">
        <f t="shared" si="1"/>
        <v>0</v>
      </c>
      <c r="L20" s="12"/>
      <c r="M20" s="206">
        <f t="shared" si="2"/>
        <v>0</v>
      </c>
      <c r="N20" s="161"/>
    </row>
    <row r="21" spans="1:14" x14ac:dyDescent="0.4">
      <c r="A21" s="80"/>
      <c r="B21" s="16"/>
      <c r="C21" s="97"/>
      <c r="D21" s="104"/>
      <c r="E21" s="33"/>
      <c r="F21" s="91"/>
      <c r="G21" s="91"/>
      <c r="H21" s="241"/>
      <c r="I21" s="34"/>
      <c r="J21" s="35">
        <f t="shared" si="0"/>
        <v>0</v>
      </c>
      <c r="K21" s="36">
        <f t="shared" si="1"/>
        <v>0</v>
      </c>
      <c r="L21" s="12"/>
      <c r="M21" s="206">
        <f t="shared" si="2"/>
        <v>0</v>
      </c>
      <c r="N21" s="161"/>
    </row>
    <row r="22" spans="1:14" x14ac:dyDescent="0.4">
      <c r="A22" s="80"/>
      <c r="B22" s="16"/>
      <c r="C22" s="97"/>
      <c r="D22" s="33"/>
      <c r="E22" s="33"/>
      <c r="F22" s="91"/>
      <c r="G22" s="91"/>
      <c r="H22" s="241"/>
      <c r="I22" s="34"/>
      <c r="J22" s="35">
        <f t="shared" si="0"/>
        <v>0</v>
      </c>
      <c r="K22" s="36">
        <f t="shared" si="1"/>
        <v>0</v>
      </c>
      <c r="L22" s="12"/>
      <c r="M22" s="206">
        <f t="shared" si="2"/>
        <v>0</v>
      </c>
      <c r="N22" s="161"/>
    </row>
    <row r="23" spans="1:14" x14ac:dyDescent="0.4">
      <c r="A23" s="80"/>
      <c r="B23" s="16"/>
      <c r="C23" s="97"/>
      <c r="D23" s="33"/>
      <c r="E23" s="33"/>
      <c r="F23" s="91"/>
      <c r="G23" s="91"/>
      <c r="H23" s="241"/>
      <c r="I23" s="34"/>
      <c r="J23" s="35">
        <f t="shared" si="0"/>
        <v>0</v>
      </c>
      <c r="K23" s="36">
        <f t="shared" si="1"/>
        <v>0</v>
      </c>
      <c r="L23" s="12"/>
      <c r="M23" s="206">
        <f t="shared" si="2"/>
        <v>0</v>
      </c>
    </row>
    <row r="24" spans="1:14" x14ac:dyDescent="0.4">
      <c r="A24" s="80"/>
      <c r="B24" s="16"/>
      <c r="C24" s="97"/>
      <c r="D24" s="33"/>
      <c r="E24" s="33"/>
      <c r="F24" s="91"/>
      <c r="G24" s="91"/>
      <c r="H24" s="241"/>
      <c r="I24" s="34"/>
      <c r="J24" s="35">
        <f t="shared" si="0"/>
        <v>0</v>
      </c>
      <c r="K24" s="36">
        <f t="shared" si="1"/>
        <v>0</v>
      </c>
      <c r="L24" s="12"/>
      <c r="M24" s="206">
        <f t="shared" si="2"/>
        <v>0</v>
      </c>
    </row>
    <row r="25" spans="1:14" x14ac:dyDescent="0.4">
      <c r="A25" s="80"/>
      <c r="B25" s="16"/>
      <c r="C25" s="97"/>
      <c r="D25" s="33"/>
      <c r="E25" s="33"/>
      <c r="F25" s="91"/>
      <c r="G25" s="91"/>
      <c r="H25" s="241"/>
      <c r="I25" s="34"/>
      <c r="J25" s="35">
        <f t="shared" si="0"/>
        <v>0</v>
      </c>
      <c r="K25" s="36">
        <f t="shared" si="1"/>
        <v>0</v>
      </c>
      <c r="L25" s="12"/>
      <c r="M25" s="206">
        <f t="shared" si="2"/>
        <v>0</v>
      </c>
    </row>
    <row r="26" spans="1:14" x14ac:dyDescent="0.4">
      <c r="A26" s="80"/>
      <c r="B26" s="16"/>
      <c r="C26" s="97"/>
      <c r="D26" s="33"/>
      <c r="E26" s="33"/>
      <c r="F26" s="91"/>
      <c r="G26" s="91"/>
      <c r="H26" s="241"/>
      <c r="I26" s="34"/>
      <c r="J26" s="35">
        <f t="shared" si="0"/>
        <v>0</v>
      </c>
      <c r="K26" s="36">
        <f t="shared" si="1"/>
        <v>0</v>
      </c>
      <c r="L26" s="12"/>
      <c r="M26" s="206">
        <f t="shared" si="2"/>
        <v>0</v>
      </c>
    </row>
    <row r="27" spans="1:14" x14ac:dyDescent="0.4">
      <c r="A27" s="80"/>
      <c r="B27" s="16"/>
      <c r="C27" s="97"/>
      <c r="D27" s="33"/>
      <c r="E27" s="33"/>
      <c r="F27" s="91"/>
      <c r="G27" s="91"/>
      <c r="H27" s="241"/>
      <c r="I27" s="34"/>
      <c r="J27" s="35">
        <f t="shared" si="0"/>
        <v>0</v>
      </c>
      <c r="K27" s="36">
        <f t="shared" si="1"/>
        <v>0</v>
      </c>
      <c r="L27" s="12"/>
      <c r="M27" s="206">
        <f t="shared" si="2"/>
        <v>0</v>
      </c>
    </row>
    <row r="28" spans="1:14" x14ac:dyDescent="0.4">
      <c r="A28" s="80"/>
      <c r="B28" s="16"/>
      <c r="C28" s="97"/>
      <c r="D28" s="33"/>
      <c r="E28" s="33"/>
      <c r="F28" s="91"/>
      <c r="G28" s="91"/>
      <c r="H28" s="241"/>
      <c r="I28" s="34"/>
      <c r="J28" s="35">
        <f t="shared" si="0"/>
        <v>0</v>
      </c>
      <c r="K28" s="36">
        <f t="shared" si="1"/>
        <v>0</v>
      </c>
      <c r="L28" s="12"/>
      <c r="M28" s="206">
        <f t="shared" si="2"/>
        <v>0</v>
      </c>
    </row>
    <row r="29" spans="1:14" x14ac:dyDescent="0.4">
      <c r="A29" s="80"/>
      <c r="B29" s="16"/>
      <c r="C29" s="74"/>
      <c r="D29" s="33"/>
      <c r="E29" s="33"/>
      <c r="F29" s="91"/>
      <c r="G29" s="91"/>
      <c r="H29" s="241"/>
      <c r="I29" s="15"/>
      <c r="J29" s="35">
        <f t="shared" si="0"/>
        <v>0</v>
      </c>
      <c r="K29" s="36">
        <f t="shared" si="1"/>
        <v>0</v>
      </c>
      <c r="L29" s="12"/>
      <c r="M29" s="206">
        <f t="shared" si="2"/>
        <v>0</v>
      </c>
    </row>
    <row r="30" spans="1:14" x14ac:dyDescent="0.4">
      <c r="A30" s="80"/>
      <c r="B30" s="16"/>
      <c r="C30" s="74"/>
      <c r="D30" s="33"/>
      <c r="E30" s="33"/>
      <c r="F30" s="91"/>
      <c r="G30" s="91"/>
      <c r="H30" s="241"/>
      <c r="I30" s="15"/>
      <c r="J30" s="35">
        <f t="shared" si="0"/>
        <v>0</v>
      </c>
      <c r="K30" s="36">
        <f t="shared" si="1"/>
        <v>0</v>
      </c>
      <c r="L30" s="12"/>
      <c r="M30" s="206">
        <f t="shared" si="2"/>
        <v>0</v>
      </c>
    </row>
    <row r="31" spans="1:14" x14ac:dyDescent="0.4">
      <c r="A31" s="80"/>
      <c r="B31" s="16"/>
      <c r="C31" s="74"/>
      <c r="D31" s="33"/>
      <c r="E31" s="33"/>
      <c r="F31" s="91"/>
      <c r="G31" s="91"/>
      <c r="H31" s="241"/>
      <c r="I31" s="34"/>
      <c r="J31" s="35">
        <f t="shared" si="0"/>
        <v>0</v>
      </c>
      <c r="K31" s="36">
        <f t="shared" si="1"/>
        <v>0</v>
      </c>
      <c r="L31" s="12"/>
      <c r="M31" s="206">
        <f t="shared" si="2"/>
        <v>0</v>
      </c>
    </row>
    <row r="32" spans="1:14" x14ac:dyDescent="0.4">
      <c r="A32" s="80"/>
      <c r="B32" s="16"/>
      <c r="C32" s="74"/>
      <c r="D32" s="33"/>
      <c r="E32" s="33"/>
      <c r="F32" s="91"/>
      <c r="G32" s="91"/>
      <c r="H32" s="241"/>
      <c r="I32" s="34"/>
      <c r="J32" s="35">
        <f t="shared" si="0"/>
        <v>0</v>
      </c>
      <c r="K32" s="36">
        <f t="shared" si="1"/>
        <v>0</v>
      </c>
      <c r="L32" s="12"/>
      <c r="M32" s="206">
        <f t="shared" si="2"/>
        <v>0</v>
      </c>
    </row>
    <row r="33" spans="1:13" x14ac:dyDescent="0.4">
      <c r="A33" s="80"/>
      <c r="B33" s="16"/>
      <c r="C33" s="74"/>
      <c r="D33" s="33"/>
      <c r="E33" s="33"/>
      <c r="F33" s="91"/>
      <c r="G33" s="91"/>
      <c r="H33" s="241"/>
      <c r="I33" s="34"/>
      <c r="J33" s="35">
        <f t="shared" si="0"/>
        <v>0</v>
      </c>
      <c r="K33" s="36">
        <f t="shared" si="1"/>
        <v>0</v>
      </c>
      <c r="L33" s="12"/>
      <c r="M33" s="206">
        <f t="shared" si="2"/>
        <v>0</v>
      </c>
    </row>
    <row r="34" spans="1:13" x14ac:dyDescent="0.4">
      <c r="A34" s="80"/>
      <c r="B34" s="16"/>
      <c r="C34" s="74"/>
      <c r="D34" s="33"/>
      <c r="E34" s="33"/>
      <c r="F34" s="91"/>
      <c r="G34" s="91"/>
      <c r="H34" s="241"/>
      <c r="I34" s="34"/>
      <c r="J34" s="35">
        <f t="shared" si="0"/>
        <v>0</v>
      </c>
      <c r="K34" s="36">
        <f t="shared" si="1"/>
        <v>0</v>
      </c>
      <c r="L34" s="12"/>
      <c r="M34" s="206">
        <f t="shared" si="2"/>
        <v>0</v>
      </c>
    </row>
    <row r="35" spans="1:13" x14ac:dyDescent="0.4">
      <c r="A35" s="80"/>
      <c r="B35" s="16"/>
      <c r="C35" s="74"/>
      <c r="D35" s="33"/>
      <c r="E35" s="33"/>
      <c r="F35" s="91"/>
      <c r="G35" s="91"/>
      <c r="H35" s="241"/>
      <c r="I35" s="34"/>
      <c r="J35" s="35">
        <f t="shared" si="0"/>
        <v>0</v>
      </c>
      <c r="K35" s="36">
        <f t="shared" si="1"/>
        <v>0</v>
      </c>
      <c r="L35" s="12"/>
      <c r="M35" s="206">
        <f t="shared" si="2"/>
        <v>0</v>
      </c>
    </row>
    <row r="36" spans="1:13" x14ac:dyDescent="0.4">
      <c r="A36" s="80"/>
      <c r="B36" s="16"/>
      <c r="C36" s="74"/>
      <c r="D36" s="33"/>
      <c r="E36" s="33"/>
      <c r="F36" s="91"/>
      <c r="G36" s="91"/>
      <c r="H36" s="241"/>
      <c r="I36" s="34"/>
      <c r="J36" s="35">
        <f t="shared" si="0"/>
        <v>0</v>
      </c>
      <c r="K36" s="36">
        <f t="shared" si="1"/>
        <v>0</v>
      </c>
      <c r="L36" s="12"/>
      <c r="M36" s="206">
        <f t="shared" si="2"/>
        <v>0</v>
      </c>
    </row>
    <row r="37" spans="1:13" x14ac:dyDescent="0.4">
      <c r="A37" s="80"/>
      <c r="B37" s="16"/>
      <c r="C37" s="16"/>
      <c r="D37" s="33"/>
      <c r="E37" s="33"/>
      <c r="F37" s="91"/>
      <c r="G37" s="91"/>
      <c r="H37" s="241"/>
      <c r="I37" s="34"/>
      <c r="J37" s="35">
        <f t="shared" si="0"/>
        <v>0</v>
      </c>
      <c r="K37" s="36">
        <f t="shared" si="1"/>
        <v>0</v>
      </c>
      <c r="L37" s="12"/>
      <c r="M37" s="206">
        <f t="shared" si="2"/>
        <v>0</v>
      </c>
    </row>
    <row r="38" spans="1:13" x14ac:dyDescent="0.4">
      <c r="A38" s="80"/>
      <c r="B38" s="16"/>
      <c r="C38" s="16"/>
      <c r="D38" s="33"/>
      <c r="E38" s="33"/>
      <c r="F38" s="91"/>
      <c r="G38" s="91"/>
      <c r="H38" s="241"/>
      <c r="I38" s="34"/>
      <c r="J38" s="35">
        <f t="shared" si="0"/>
        <v>0</v>
      </c>
      <c r="K38" s="36">
        <f t="shared" si="1"/>
        <v>0</v>
      </c>
      <c r="L38" s="12"/>
      <c r="M38" s="206">
        <f t="shared" si="2"/>
        <v>0</v>
      </c>
    </row>
    <row r="39" spans="1:13" x14ac:dyDescent="0.4">
      <c r="A39" s="80"/>
      <c r="B39" s="16"/>
      <c r="C39" s="16"/>
      <c r="D39" s="33"/>
      <c r="E39" s="33"/>
      <c r="F39" s="91"/>
      <c r="G39" s="91"/>
      <c r="H39" s="241"/>
      <c r="I39" s="34"/>
      <c r="J39" s="35">
        <f t="shared" si="0"/>
        <v>0</v>
      </c>
      <c r="K39" s="36">
        <f t="shared" si="1"/>
        <v>0</v>
      </c>
      <c r="L39" s="12"/>
      <c r="M39" s="206">
        <f t="shared" si="2"/>
        <v>0</v>
      </c>
    </row>
    <row r="40" spans="1:13" x14ac:dyDescent="0.4">
      <c r="A40" s="32"/>
      <c r="B40" s="16"/>
      <c r="C40" s="16"/>
      <c r="D40" s="33"/>
      <c r="E40" s="33"/>
      <c r="F40" s="91"/>
      <c r="G40" s="91"/>
      <c r="H40" s="241"/>
      <c r="I40" s="34"/>
      <c r="J40" s="35">
        <f t="shared" si="0"/>
        <v>0</v>
      </c>
      <c r="K40" s="36">
        <f t="shared" si="1"/>
        <v>0</v>
      </c>
      <c r="L40" s="12"/>
      <c r="M40" s="206">
        <f t="shared" si="2"/>
        <v>0</v>
      </c>
    </row>
    <row r="41" spans="1:13" x14ac:dyDescent="0.4">
      <c r="A41" s="32"/>
      <c r="B41" s="16"/>
      <c r="C41" s="16"/>
      <c r="D41" s="33"/>
      <c r="E41" s="33"/>
      <c r="F41" s="91"/>
      <c r="G41" s="91"/>
      <c r="H41" s="241"/>
      <c r="I41" s="34"/>
      <c r="J41" s="35">
        <f t="shared" si="0"/>
        <v>0</v>
      </c>
      <c r="K41" s="36">
        <f t="shared" si="1"/>
        <v>0</v>
      </c>
      <c r="L41" s="12"/>
      <c r="M41" s="206">
        <f t="shared" si="2"/>
        <v>0</v>
      </c>
    </row>
    <row r="42" spans="1:13" x14ac:dyDescent="0.4">
      <c r="A42" s="32"/>
      <c r="B42" s="16"/>
      <c r="C42" s="74"/>
      <c r="D42" s="33"/>
      <c r="E42" s="33"/>
      <c r="F42" s="91"/>
      <c r="G42" s="91"/>
      <c r="H42" s="241"/>
      <c r="I42" s="34"/>
      <c r="J42" s="35">
        <f t="shared" si="0"/>
        <v>0</v>
      </c>
      <c r="K42" s="36">
        <f t="shared" si="1"/>
        <v>0</v>
      </c>
      <c r="L42" s="12"/>
      <c r="M42" s="206">
        <f t="shared" si="2"/>
        <v>0</v>
      </c>
    </row>
    <row r="43" spans="1:13" x14ac:dyDescent="0.4">
      <c r="A43" s="32"/>
      <c r="B43" s="16"/>
      <c r="C43" s="74"/>
      <c r="D43" s="33"/>
      <c r="E43" s="33"/>
      <c r="F43" s="91"/>
      <c r="G43" s="91"/>
      <c r="H43" s="241"/>
      <c r="I43" s="34"/>
      <c r="J43" s="35">
        <f t="shared" si="0"/>
        <v>0</v>
      </c>
      <c r="K43" s="36">
        <f t="shared" si="1"/>
        <v>0</v>
      </c>
      <c r="L43" s="12"/>
      <c r="M43" s="206">
        <f t="shared" si="2"/>
        <v>0</v>
      </c>
    </row>
    <row r="44" spans="1:13" x14ac:dyDescent="0.4">
      <c r="A44" s="32"/>
      <c r="B44" s="16"/>
      <c r="C44" s="16"/>
      <c r="D44" s="33"/>
      <c r="E44" s="33"/>
      <c r="F44" s="91"/>
      <c r="G44" s="91"/>
      <c r="H44" s="241"/>
      <c r="I44" s="34"/>
      <c r="J44" s="35">
        <f t="shared" si="0"/>
        <v>0</v>
      </c>
      <c r="K44" s="36">
        <f t="shared" si="1"/>
        <v>0</v>
      </c>
      <c r="L44" s="12"/>
      <c r="M44" s="206">
        <f t="shared" si="2"/>
        <v>0</v>
      </c>
    </row>
    <row r="45" spans="1:13" x14ac:dyDescent="0.4">
      <c r="A45" s="32"/>
      <c r="B45" s="16"/>
      <c r="C45" s="16"/>
      <c r="D45" s="33"/>
      <c r="E45" s="33"/>
      <c r="F45" s="91"/>
      <c r="G45" s="91"/>
      <c r="H45" s="241"/>
      <c r="I45" s="34"/>
      <c r="J45" s="35">
        <f t="shared" si="0"/>
        <v>0</v>
      </c>
      <c r="K45" s="36">
        <f t="shared" si="1"/>
        <v>0</v>
      </c>
      <c r="L45" s="12"/>
      <c r="M45" s="206">
        <f t="shared" si="2"/>
        <v>0</v>
      </c>
    </row>
    <row r="46" spans="1:13" x14ac:dyDescent="0.4">
      <c r="A46" s="32"/>
      <c r="B46" s="16"/>
      <c r="C46" s="16"/>
      <c r="D46" s="33"/>
      <c r="E46" s="33"/>
      <c r="F46" s="91"/>
      <c r="G46" s="91"/>
      <c r="H46" s="241"/>
      <c r="I46" s="34"/>
      <c r="J46" s="35">
        <f t="shared" si="0"/>
        <v>0</v>
      </c>
      <c r="K46" s="36">
        <f t="shared" si="1"/>
        <v>0</v>
      </c>
      <c r="L46" s="12"/>
      <c r="M46" s="206">
        <f t="shared" si="2"/>
        <v>0</v>
      </c>
    </row>
    <row r="47" spans="1:13" x14ac:dyDescent="0.4">
      <c r="A47" s="75"/>
      <c r="B47" s="76"/>
      <c r="C47" s="76"/>
      <c r="D47" s="77"/>
      <c r="E47" s="77"/>
      <c r="F47" s="92"/>
      <c r="G47" s="92"/>
      <c r="H47" s="242"/>
      <c r="I47" s="78"/>
      <c r="J47" s="35">
        <f t="shared" si="0"/>
        <v>0</v>
      </c>
      <c r="K47" s="36">
        <f t="shared" si="1"/>
        <v>0</v>
      </c>
      <c r="L47" s="12"/>
      <c r="M47" s="206">
        <f t="shared" si="2"/>
        <v>0</v>
      </c>
    </row>
    <row r="48" spans="1:13" x14ac:dyDescent="0.4">
      <c r="A48" s="73"/>
      <c r="B48" s="31"/>
      <c r="C48" s="31"/>
      <c r="D48" s="39"/>
      <c r="E48" s="39"/>
      <c r="F48" s="90"/>
      <c r="G48" s="90"/>
      <c r="H48" s="243"/>
      <c r="I48" s="40"/>
      <c r="J48" s="35">
        <f t="shared" si="0"/>
        <v>0</v>
      </c>
      <c r="K48" s="36">
        <f t="shared" si="1"/>
        <v>0</v>
      </c>
      <c r="L48" s="12"/>
      <c r="M48" s="206">
        <f t="shared" si="2"/>
        <v>0</v>
      </c>
    </row>
    <row r="49" spans="1:13" x14ac:dyDescent="0.4">
      <c r="A49" s="32"/>
      <c r="B49" s="16"/>
      <c r="C49" s="16"/>
      <c r="D49" s="33"/>
      <c r="E49" s="33"/>
      <c r="F49" s="91"/>
      <c r="G49" s="91"/>
      <c r="H49" s="241"/>
      <c r="I49" s="34"/>
      <c r="J49" s="35">
        <f t="shared" si="0"/>
        <v>0</v>
      </c>
      <c r="K49" s="36">
        <f t="shared" si="1"/>
        <v>0</v>
      </c>
      <c r="L49" s="12"/>
      <c r="M49" s="206">
        <f t="shared" si="2"/>
        <v>0</v>
      </c>
    </row>
    <row r="50" spans="1:13" x14ac:dyDescent="0.4">
      <c r="A50" s="32"/>
      <c r="B50" s="16"/>
      <c r="C50" s="16"/>
      <c r="D50" s="33"/>
      <c r="E50" s="33"/>
      <c r="F50" s="91"/>
      <c r="G50" s="91"/>
      <c r="H50" s="241"/>
      <c r="I50" s="34"/>
      <c r="J50" s="35">
        <f t="shared" si="0"/>
        <v>0</v>
      </c>
      <c r="K50" s="36">
        <f t="shared" si="1"/>
        <v>0</v>
      </c>
      <c r="L50" s="12"/>
      <c r="M50" s="206">
        <f t="shared" si="2"/>
        <v>0</v>
      </c>
    </row>
    <row r="51" spans="1:13" x14ac:dyDescent="0.4">
      <c r="A51" s="32"/>
      <c r="B51" s="16"/>
      <c r="C51" s="16"/>
      <c r="D51" s="33"/>
      <c r="E51" s="33"/>
      <c r="F51" s="91"/>
      <c r="G51" s="91"/>
      <c r="H51" s="241"/>
      <c r="I51" s="34"/>
      <c r="J51" s="35">
        <f t="shared" si="0"/>
        <v>0</v>
      </c>
      <c r="K51" s="36">
        <f t="shared" si="1"/>
        <v>0</v>
      </c>
      <c r="L51" s="12"/>
      <c r="M51" s="206">
        <f t="shared" si="2"/>
        <v>0</v>
      </c>
    </row>
    <row r="52" spans="1:13" x14ac:dyDescent="0.4">
      <c r="A52" s="75"/>
      <c r="B52" s="76"/>
      <c r="C52" s="76"/>
      <c r="D52" s="77"/>
      <c r="E52" s="77"/>
      <c r="F52" s="92"/>
      <c r="G52" s="92"/>
      <c r="H52" s="242"/>
      <c r="I52" s="78"/>
      <c r="J52" s="35">
        <f t="shared" si="0"/>
        <v>0</v>
      </c>
      <c r="K52" s="36">
        <f t="shared" si="1"/>
        <v>0</v>
      </c>
      <c r="L52" s="12"/>
      <c r="M52" s="206">
        <f t="shared" si="2"/>
        <v>0</v>
      </c>
    </row>
    <row r="53" spans="1:13" x14ac:dyDescent="0.4">
      <c r="A53" s="73"/>
      <c r="B53" s="31"/>
      <c r="C53" s="31"/>
      <c r="D53" s="39"/>
      <c r="E53" s="39"/>
      <c r="F53" s="90"/>
      <c r="G53" s="90"/>
      <c r="H53" s="243"/>
      <c r="I53" s="40"/>
      <c r="J53" s="35">
        <f t="shared" si="0"/>
        <v>0</v>
      </c>
      <c r="K53" s="36">
        <f t="shared" si="1"/>
        <v>0</v>
      </c>
      <c r="L53" s="12"/>
      <c r="M53" s="206">
        <f t="shared" si="2"/>
        <v>0</v>
      </c>
    </row>
    <row r="54" spans="1:13" x14ac:dyDescent="0.4">
      <c r="A54" s="32"/>
      <c r="B54" s="16"/>
      <c r="C54" s="16"/>
      <c r="D54" s="33"/>
      <c r="E54" s="33"/>
      <c r="F54" s="91"/>
      <c r="G54" s="91"/>
      <c r="H54" s="241"/>
      <c r="I54" s="34"/>
      <c r="J54" s="35">
        <f t="shared" si="0"/>
        <v>0</v>
      </c>
      <c r="K54" s="36">
        <f t="shared" si="1"/>
        <v>0</v>
      </c>
      <c r="L54" s="12"/>
      <c r="M54" s="206">
        <f t="shared" si="2"/>
        <v>0</v>
      </c>
    </row>
    <row r="55" spans="1:13" x14ac:dyDescent="0.4">
      <c r="A55" s="75"/>
      <c r="B55" s="76"/>
      <c r="C55" s="76"/>
      <c r="D55" s="77"/>
      <c r="E55" s="77"/>
      <c r="F55" s="92"/>
      <c r="G55" s="92"/>
      <c r="H55" s="242"/>
      <c r="I55" s="78"/>
      <c r="J55" s="35">
        <f t="shared" si="0"/>
        <v>0</v>
      </c>
      <c r="K55" s="36">
        <f t="shared" si="1"/>
        <v>0</v>
      </c>
      <c r="L55" s="12"/>
      <c r="M55" s="206">
        <f t="shared" si="2"/>
        <v>0</v>
      </c>
    </row>
    <row r="56" spans="1:13" x14ac:dyDescent="0.4">
      <c r="A56" s="73"/>
      <c r="B56" s="31"/>
      <c r="C56" s="31"/>
      <c r="D56" s="39"/>
      <c r="E56" s="39"/>
      <c r="F56" s="90"/>
      <c r="G56" s="90"/>
      <c r="H56" s="243"/>
      <c r="I56" s="40"/>
      <c r="J56" s="35">
        <f t="shared" si="0"/>
        <v>0</v>
      </c>
      <c r="K56" s="36">
        <f t="shared" si="1"/>
        <v>0</v>
      </c>
      <c r="L56" s="12"/>
      <c r="M56" s="206">
        <f t="shared" si="2"/>
        <v>0</v>
      </c>
    </row>
    <row r="57" spans="1:13" x14ac:dyDescent="0.4">
      <c r="A57" s="32"/>
      <c r="B57" s="16"/>
      <c r="C57" s="16"/>
      <c r="D57" s="33"/>
      <c r="E57" s="33"/>
      <c r="F57" s="91"/>
      <c r="G57" s="91"/>
      <c r="H57" s="241"/>
      <c r="I57" s="34"/>
      <c r="J57" s="35">
        <f t="shared" si="0"/>
        <v>0</v>
      </c>
      <c r="K57" s="36">
        <f t="shared" si="1"/>
        <v>0</v>
      </c>
      <c r="L57" s="12"/>
      <c r="M57" s="206">
        <f t="shared" si="2"/>
        <v>0</v>
      </c>
    </row>
    <row r="58" spans="1:13" x14ac:dyDescent="0.4">
      <c r="A58" s="32"/>
      <c r="B58" s="16"/>
      <c r="C58" s="16"/>
      <c r="D58" s="33"/>
      <c r="E58" s="33"/>
      <c r="F58" s="91"/>
      <c r="G58" s="91"/>
      <c r="H58" s="241"/>
      <c r="I58" s="34"/>
      <c r="J58" s="35">
        <f t="shared" si="0"/>
        <v>0</v>
      </c>
      <c r="K58" s="36">
        <f t="shared" si="1"/>
        <v>0</v>
      </c>
      <c r="L58" s="12"/>
      <c r="M58" s="206">
        <f t="shared" si="2"/>
        <v>0</v>
      </c>
    </row>
    <row r="59" spans="1:13" x14ac:dyDescent="0.4">
      <c r="A59" s="32"/>
      <c r="B59" s="16"/>
      <c r="C59" s="16"/>
      <c r="D59" s="33"/>
      <c r="E59" s="33"/>
      <c r="F59" s="91"/>
      <c r="G59" s="91"/>
      <c r="H59" s="241"/>
      <c r="I59" s="34"/>
      <c r="J59" s="35">
        <f t="shared" si="0"/>
        <v>0</v>
      </c>
      <c r="K59" s="36">
        <f t="shared" si="1"/>
        <v>0</v>
      </c>
      <c r="L59" s="12"/>
      <c r="M59" s="206">
        <f t="shared" si="2"/>
        <v>0</v>
      </c>
    </row>
    <row r="60" spans="1:13" x14ac:dyDescent="0.4">
      <c r="A60" s="32"/>
      <c r="B60" s="16"/>
      <c r="C60" s="16"/>
      <c r="D60" s="33"/>
      <c r="E60" s="33"/>
      <c r="F60" s="91"/>
      <c r="G60" s="91"/>
      <c r="H60" s="241"/>
      <c r="I60" s="34"/>
      <c r="J60" s="35">
        <f t="shared" si="0"/>
        <v>0</v>
      </c>
      <c r="K60" s="36">
        <f t="shared" si="1"/>
        <v>0</v>
      </c>
      <c r="L60" s="12"/>
      <c r="M60" s="206">
        <f t="shared" si="2"/>
        <v>0</v>
      </c>
    </row>
    <row r="61" spans="1:13" x14ac:dyDescent="0.4">
      <c r="A61" s="32"/>
      <c r="B61" s="16"/>
      <c r="C61" s="16"/>
      <c r="D61" s="33"/>
      <c r="E61" s="33"/>
      <c r="F61" s="91"/>
      <c r="G61" s="91"/>
      <c r="H61" s="241"/>
      <c r="I61" s="34"/>
      <c r="J61" s="35">
        <f t="shared" si="0"/>
        <v>0</v>
      </c>
      <c r="K61" s="36">
        <f t="shared" si="1"/>
        <v>0</v>
      </c>
      <c r="L61" s="12"/>
      <c r="M61" s="206">
        <f t="shared" si="2"/>
        <v>0</v>
      </c>
    </row>
    <row r="62" spans="1:13" x14ac:dyDescent="0.4">
      <c r="A62" s="146"/>
      <c r="B62" s="97"/>
      <c r="C62" s="97"/>
      <c r="D62" s="98"/>
      <c r="E62" s="98"/>
      <c r="F62" s="213"/>
      <c r="G62" s="213"/>
      <c r="H62" s="244"/>
      <c r="I62" s="99"/>
      <c r="J62" s="96">
        <f t="shared" si="0"/>
        <v>0</v>
      </c>
      <c r="K62" s="36">
        <f t="shared" si="1"/>
        <v>0</v>
      </c>
      <c r="L62" s="12"/>
      <c r="M62" s="206">
        <f t="shared" si="2"/>
        <v>0</v>
      </c>
    </row>
    <row r="63" spans="1:13" ht="15.4" thickBot="1" x14ac:dyDescent="0.45">
      <c r="A63" s="147"/>
      <c r="B63" s="148"/>
      <c r="C63" s="148"/>
      <c r="D63" s="149"/>
      <c r="E63" s="149"/>
      <c r="F63" s="214"/>
      <c r="G63" s="214"/>
      <c r="H63" s="245"/>
      <c r="I63" s="211"/>
      <c r="J63" s="195">
        <f t="shared" si="0"/>
        <v>0</v>
      </c>
      <c r="K63" s="38">
        <f t="shared" si="1"/>
        <v>0</v>
      </c>
      <c r="L63" s="12"/>
      <c r="M63" s="206">
        <f t="shared" si="2"/>
        <v>0</v>
      </c>
    </row>
    <row r="64" spans="1:13" x14ac:dyDescent="0.4">
      <c r="A64" s="190"/>
      <c r="B64" s="191"/>
      <c r="C64" s="192"/>
      <c r="D64" s="193"/>
      <c r="E64" s="194"/>
      <c r="F64" s="212"/>
      <c r="G64" s="212"/>
      <c r="H64" s="240"/>
      <c r="I64" s="145"/>
      <c r="J64" s="49">
        <f t="shared" si="0"/>
        <v>0</v>
      </c>
      <c r="K64" s="50">
        <f t="shared" si="1"/>
        <v>0</v>
      </c>
      <c r="L64" s="12"/>
      <c r="M64" s="206">
        <f t="shared" si="2"/>
        <v>0</v>
      </c>
    </row>
    <row r="65" spans="1:15" x14ac:dyDescent="0.4">
      <c r="A65" s="82"/>
      <c r="B65" s="16"/>
      <c r="C65" s="97"/>
      <c r="D65" s="104"/>
      <c r="E65" s="33"/>
      <c r="F65" s="91"/>
      <c r="G65" s="91"/>
      <c r="H65" s="241"/>
      <c r="I65" s="34"/>
      <c r="J65" s="35">
        <f t="shared" si="0"/>
        <v>0</v>
      </c>
      <c r="K65" s="36">
        <f t="shared" si="1"/>
        <v>0</v>
      </c>
      <c r="L65" s="12"/>
      <c r="M65" s="206">
        <f t="shared" si="2"/>
        <v>0</v>
      </c>
    </row>
    <row r="66" spans="1:15" x14ac:dyDescent="0.4">
      <c r="A66" s="82"/>
      <c r="B66" s="16"/>
      <c r="C66" s="97"/>
      <c r="D66" s="104"/>
      <c r="E66" s="33"/>
      <c r="F66" s="91"/>
      <c r="G66" s="91"/>
      <c r="H66" s="241"/>
      <c r="I66" s="34"/>
      <c r="J66" s="35">
        <f t="shared" si="0"/>
        <v>0</v>
      </c>
      <c r="K66" s="36">
        <f t="shared" si="1"/>
        <v>0</v>
      </c>
      <c r="L66" s="12"/>
      <c r="M66" s="206">
        <f t="shared" si="2"/>
        <v>0</v>
      </c>
      <c r="O66" s="163"/>
    </row>
    <row r="67" spans="1:15" x14ac:dyDescent="0.4">
      <c r="A67" s="82"/>
      <c r="B67" s="16"/>
      <c r="C67" s="97"/>
      <c r="D67" s="104"/>
      <c r="E67" s="33"/>
      <c r="F67" s="91"/>
      <c r="G67" s="91"/>
      <c r="H67" s="241"/>
      <c r="I67" s="34"/>
      <c r="J67" s="35">
        <f t="shared" si="0"/>
        <v>0</v>
      </c>
      <c r="K67" s="36">
        <f t="shared" si="1"/>
        <v>0</v>
      </c>
      <c r="L67" s="12"/>
      <c r="M67" s="206">
        <f t="shared" si="2"/>
        <v>0</v>
      </c>
    </row>
    <row r="68" spans="1:15" x14ac:dyDescent="0.4">
      <c r="A68" s="82"/>
      <c r="B68" s="16"/>
      <c r="C68" s="97"/>
      <c r="D68" s="104"/>
      <c r="E68" s="33"/>
      <c r="F68" s="91"/>
      <c r="G68" s="91"/>
      <c r="H68" s="241"/>
      <c r="I68" s="34"/>
      <c r="J68" s="35">
        <f t="shared" si="0"/>
        <v>0</v>
      </c>
      <c r="K68" s="36">
        <f t="shared" si="1"/>
        <v>0</v>
      </c>
      <c r="L68" s="12"/>
      <c r="M68" s="206">
        <f t="shared" si="2"/>
        <v>0</v>
      </c>
    </row>
    <row r="69" spans="1:15" x14ac:dyDescent="0.4">
      <c r="A69" s="82"/>
      <c r="B69" s="16"/>
      <c r="C69" s="97"/>
      <c r="D69" s="104"/>
      <c r="E69" s="33"/>
      <c r="F69" s="91"/>
      <c r="G69" s="91"/>
      <c r="H69" s="241"/>
      <c r="I69" s="34"/>
      <c r="J69" s="35">
        <f t="shared" si="0"/>
        <v>0</v>
      </c>
      <c r="K69" s="36">
        <f t="shared" si="1"/>
        <v>0</v>
      </c>
      <c r="L69" s="12"/>
      <c r="M69" s="206">
        <f t="shared" si="2"/>
        <v>0</v>
      </c>
    </row>
    <row r="70" spans="1:15" x14ac:dyDescent="0.4">
      <c r="A70" s="80"/>
      <c r="B70" s="16"/>
      <c r="C70" s="97"/>
      <c r="D70" s="104"/>
      <c r="E70" s="33"/>
      <c r="F70" s="91"/>
      <c r="G70" s="91"/>
      <c r="H70" s="241"/>
      <c r="I70" s="34"/>
      <c r="J70" s="35">
        <f t="shared" ref="J70:J133" si="3">IF(F70="TLX",ROUND(M70/32*H70,2),ROUND(M70*H70,2))</f>
        <v>0</v>
      </c>
      <c r="K70" s="36">
        <f t="shared" ref="K70:K133" si="4">SUM(I70+J70)</f>
        <v>0</v>
      </c>
      <c r="L70" s="12"/>
      <c r="M70" s="206">
        <f t="shared" ref="M70:M133" si="5">ROUND(D70+E70/60,2)</f>
        <v>0</v>
      </c>
      <c r="O70" s="162"/>
    </row>
    <row r="71" spans="1:15" x14ac:dyDescent="0.4">
      <c r="A71" s="80"/>
      <c r="B71" s="16"/>
      <c r="C71" s="97"/>
      <c r="D71" s="33"/>
      <c r="E71" s="33"/>
      <c r="F71" s="91"/>
      <c r="G71" s="91"/>
      <c r="H71" s="241"/>
      <c r="I71" s="34"/>
      <c r="J71" s="35">
        <f t="shared" si="3"/>
        <v>0</v>
      </c>
      <c r="K71" s="36">
        <f t="shared" si="4"/>
        <v>0</v>
      </c>
      <c r="L71" s="12"/>
      <c r="M71" s="206">
        <f t="shared" si="5"/>
        <v>0</v>
      </c>
    </row>
    <row r="72" spans="1:15" x14ac:dyDescent="0.4">
      <c r="A72" s="82"/>
      <c r="B72" s="16"/>
      <c r="C72" s="97"/>
      <c r="D72" s="104"/>
      <c r="E72" s="33"/>
      <c r="F72" s="91"/>
      <c r="G72" s="91"/>
      <c r="H72" s="241"/>
      <c r="I72" s="34"/>
      <c r="J72" s="35">
        <f t="shared" si="3"/>
        <v>0</v>
      </c>
      <c r="K72" s="36">
        <f t="shared" si="4"/>
        <v>0</v>
      </c>
      <c r="L72" s="12"/>
      <c r="M72" s="206">
        <f t="shared" si="5"/>
        <v>0</v>
      </c>
    </row>
    <row r="73" spans="1:15" x14ac:dyDescent="0.4">
      <c r="A73" s="82"/>
      <c r="B73" s="16"/>
      <c r="C73" s="97"/>
      <c r="D73" s="104"/>
      <c r="E73" s="33"/>
      <c r="F73" s="91"/>
      <c r="G73" s="91"/>
      <c r="H73" s="241"/>
      <c r="I73" s="34"/>
      <c r="J73" s="35">
        <f t="shared" si="3"/>
        <v>0</v>
      </c>
      <c r="K73" s="36">
        <f t="shared" si="4"/>
        <v>0</v>
      </c>
      <c r="L73" s="12"/>
      <c r="M73" s="206">
        <f t="shared" si="5"/>
        <v>0</v>
      </c>
    </row>
    <row r="74" spans="1:15" x14ac:dyDescent="0.4">
      <c r="A74" s="80"/>
      <c r="B74" s="16"/>
      <c r="C74" s="97"/>
      <c r="D74" s="104"/>
      <c r="E74" s="33"/>
      <c r="F74" s="91"/>
      <c r="G74" s="91"/>
      <c r="H74" s="241"/>
      <c r="I74" s="34"/>
      <c r="J74" s="35">
        <f t="shared" si="3"/>
        <v>0</v>
      </c>
      <c r="K74" s="36">
        <f t="shared" si="4"/>
        <v>0</v>
      </c>
      <c r="L74" s="12"/>
      <c r="M74" s="206">
        <f t="shared" si="5"/>
        <v>0</v>
      </c>
    </row>
    <row r="75" spans="1:15" x14ac:dyDescent="0.4">
      <c r="A75" s="80"/>
      <c r="B75" s="16"/>
      <c r="C75" s="16"/>
      <c r="D75" s="33"/>
      <c r="E75" s="33"/>
      <c r="F75" s="91"/>
      <c r="G75" s="91"/>
      <c r="H75" s="241"/>
      <c r="I75" s="34"/>
      <c r="J75" s="35">
        <f t="shared" si="3"/>
        <v>0</v>
      </c>
      <c r="K75" s="36">
        <f t="shared" si="4"/>
        <v>0</v>
      </c>
      <c r="L75" s="12"/>
      <c r="M75" s="206">
        <f t="shared" si="5"/>
        <v>0</v>
      </c>
      <c r="N75" s="161"/>
    </row>
    <row r="76" spans="1:15" x14ac:dyDescent="0.4">
      <c r="A76" s="80"/>
      <c r="B76" s="16"/>
      <c r="C76" s="97"/>
      <c r="D76" s="33"/>
      <c r="E76" s="33"/>
      <c r="F76" s="91"/>
      <c r="G76" s="91"/>
      <c r="H76" s="241"/>
      <c r="I76" s="34"/>
      <c r="J76" s="35">
        <f t="shared" si="3"/>
        <v>0</v>
      </c>
      <c r="K76" s="36">
        <f t="shared" si="4"/>
        <v>0</v>
      </c>
      <c r="L76" s="12"/>
      <c r="M76" s="206">
        <f t="shared" si="5"/>
        <v>0</v>
      </c>
      <c r="N76" s="161"/>
    </row>
    <row r="77" spans="1:15" x14ac:dyDescent="0.4">
      <c r="A77" s="82"/>
      <c r="B77" s="16"/>
      <c r="C77" s="97"/>
      <c r="D77" s="104"/>
      <c r="E77" s="33"/>
      <c r="F77" s="91"/>
      <c r="G77" s="91"/>
      <c r="H77" s="241"/>
      <c r="I77" s="34"/>
      <c r="J77" s="35">
        <f t="shared" si="3"/>
        <v>0</v>
      </c>
      <c r="K77" s="36">
        <f t="shared" si="4"/>
        <v>0</v>
      </c>
      <c r="L77" s="12"/>
      <c r="M77" s="206">
        <f t="shared" si="5"/>
        <v>0</v>
      </c>
      <c r="N77" s="161"/>
    </row>
    <row r="78" spans="1:15" x14ac:dyDescent="0.4">
      <c r="A78" s="80"/>
      <c r="B78" s="16"/>
      <c r="C78" s="97"/>
      <c r="D78" s="104"/>
      <c r="E78" s="33"/>
      <c r="F78" s="91"/>
      <c r="G78" s="91"/>
      <c r="H78" s="241"/>
      <c r="I78" s="34"/>
      <c r="J78" s="35">
        <f t="shared" si="3"/>
        <v>0</v>
      </c>
      <c r="K78" s="36">
        <f t="shared" si="4"/>
        <v>0</v>
      </c>
      <c r="L78" s="12"/>
      <c r="M78" s="206">
        <f t="shared" si="5"/>
        <v>0</v>
      </c>
      <c r="N78" s="161"/>
    </row>
    <row r="79" spans="1:15" x14ac:dyDescent="0.4">
      <c r="A79" s="80"/>
      <c r="B79" s="16"/>
      <c r="C79" s="97"/>
      <c r="D79" s="104"/>
      <c r="E79" s="33"/>
      <c r="F79" s="91"/>
      <c r="G79" s="91"/>
      <c r="H79" s="241"/>
      <c r="I79" s="34"/>
      <c r="J79" s="35">
        <f t="shared" si="3"/>
        <v>0</v>
      </c>
      <c r="K79" s="36">
        <f t="shared" si="4"/>
        <v>0</v>
      </c>
      <c r="L79" s="12"/>
      <c r="M79" s="206">
        <f t="shared" si="5"/>
        <v>0</v>
      </c>
      <c r="N79" s="161"/>
    </row>
    <row r="80" spans="1:15" x14ac:dyDescent="0.4">
      <c r="A80" s="80"/>
      <c r="B80" s="16"/>
      <c r="C80" s="97"/>
      <c r="D80" s="33"/>
      <c r="E80" s="33"/>
      <c r="F80" s="91"/>
      <c r="G80" s="91"/>
      <c r="H80" s="241"/>
      <c r="I80" s="34"/>
      <c r="J80" s="35">
        <f t="shared" si="3"/>
        <v>0</v>
      </c>
      <c r="K80" s="36">
        <f t="shared" si="4"/>
        <v>0</v>
      </c>
      <c r="L80" s="12"/>
      <c r="M80" s="206">
        <f t="shared" si="5"/>
        <v>0</v>
      </c>
      <c r="N80" s="161"/>
    </row>
    <row r="81" spans="1:13" x14ac:dyDescent="0.4">
      <c r="A81" s="80"/>
      <c r="B81" s="16"/>
      <c r="C81" s="97"/>
      <c r="D81" s="33"/>
      <c r="E81" s="33"/>
      <c r="F81" s="91"/>
      <c r="G81" s="91"/>
      <c r="H81" s="241"/>
      <c r="I81" s="34"/>
      <c r="J81" s="35">
        <f t="shared" si="3"/>
        <v>0</v>
      </c>
      <c r="K81" s="36">
        <f t="shared" si="4"/>
        <v>0</v>
      </c>
      <c r="L81" s="12"/>
      <c r="M81" s="206">
        <f t="shared" si="5"/>
        <v>0</v>
      </c>
    </row>
    <row r="82" spans="1:13" x14ac:dyDescent="0.4">
      <c r="A82" s="80"/>
      <c r="B82" s="16"/>
      <c r="C82" s="97"/>
      <c r="D82" s="33"/>
      <c r="E82" s="33"/>
      <c r="F82" s="91"/>
      <c r="G82" s="91"/>
      <c r="H82" s="241"/>
      <c r="I82" s="34"/>
      <c r="J82" s="35">
        <f t="shared" si="3"/>
        <v>0</v>
      </c>
      <c r="K82" s="36">
        <f t="shared" si="4"/>
        <v>0</v>
      </c>
      <c r="L82" s="12"/>
      <c r="M82" s="206">
        <f t="shared" si="5"/>
        <v>0</v>
      </c>
    </row>
    <row r="83" spans="1:13" x14ac:dyDescent="0.4">
      <c r="A83" s="80"/>
      <c r="B83" s="16"/>
      <c r="C83" s="97"/>
      <c r="D83" s="33"/>
      <c r="E83" s="33"/>
      <c r="F83" s="91"/>
      <c r="G83" s="91"/>
      <c r="H83" s="241"/>
      <c r="I83" s="34"/>
      <c r="J83" s="35">
        <f t="shared" si="3"/>
        <v>0</v>
      </c>
      <c r="K83" s="36">
        <f t="shared" si="4"/>
        <v>0</v>
      </c>
      <c r="L83" s="12"/>
      <c r="M83" s="206">
        <f t="shared" si="5"/>
        <v>0</v>
      </c>
    </row>
    <row r="84" spans="1:13" x14ac:dyDescent="0.4">
      <c r="A84" s="80"/>
      <c r="B84" s="16"/>
      <c r="C84" s="97"/>
      <c r="D84" s="33"/>
      <c r="E84" s="33"/>
      <c r="F84" s="91"/>
      <c r="G84" s="91"/>
      <c r="H84" s="241"/>
      <c r="I84" s="34"/>
      <c r="J84" s="35">
        <f t="shared" si="3"/>
        <v>0</v>
      </c>
      <c r="K84" s="36">
        <f t="shared" si="4"/>
        <v>0</v>
      </c>
      <c r="L84" s="12"/>
      <c r="M84" s="206">
        <f t="shared" si="5"/>
        <v>0</v>
      </c>
    </row>
    <row r="85" spans="1:13" x14ac:dyDescent="0.4">
      <c r="A85" s="80"/>
      <c r="B85" s="16"/>
      <c r="C85" s="97"/>
      <c r="D85" s="33"/>
      <c r="E85" s="33"/>
      <c r="F85" s="91"/>
      <c r="G85" s="91"/>
      <c r="H85" s="241"/>
      <c r="I85" s="34"/>
      <c r="J85" s="35">
        <f t="shared" si="3"/>
        <v>0</v>
      </c>
      <c r="K85" s="36">
        <f t="shared" si="4"/>
        <v>0</v>
      </c>
      <c r="L85" s="12"/>
      <c r="M85" s="206">
        <f t="shared" si="5"/>
        <v>0</v>
      </c>
    </row>
    <row r="86" spans="1:13" x14ac:dyDescent="0.4">
      <c r="A86" s="80"/>
      <c r="B86" s="16"/>
      <c r="C86" s="97"/>
      <c r="D86" s="33"/>
      <c r="E86" s="33"/>
      <c r="F86" s="91"/>
      <c r="G86" s="91"/>
      <c r="H86" s="241"/>
      <c r="I86" s="34"/>
      <c r="J86" s="35">
        <f t="shared" si="3"/>
        <v>0</v>
      </c>
      <c r="K86" s="36">
        <f t="shared" si="4"/>
        <v>0</v>
      </c>
      <c r="L86" s="12"/>
      <c r="M86" s="206">
        <f t="shared" si="5"/>
        <v>0</v>
      </c>
    </row>
    <row r="87" spans="1:13" x14ac:dyDescent="0.4">
      <c r="A87" s="80"/>
      <c r="B87" s="16"/>
      <c r="C87" s="74"/>
      <c r="D87" s="33"/>
      <c r="E87" s="33"/>
      <c r="F87" s="91"/>
      <c r="G87" s="91"/>
      <c r="H87" s="241"/>
      <c r="I87" s="15"/>
      <c r="J87" s="35">
        <f t="shared" si="3"/>
        <v>0</v>
      </c>
      <c r="K87" s="36">
        <f t="shared" si="4"/>
        <v>0</v>
      </c>
      <c r="L87" s="12"/>
      <c r="M87" s="206">
        <f t="shared" si="5"/>
        <v>0</v>
      </c>
    </row>
    <row r="88" spans="1:13" x14ac:dyDescent="0.4">
      <c r="A88" s="80"/>
      <c r="B88" s="16"/>
      <c r="C88" s="74"/>
      <c r="D88" s="33"/>
      <c r="E88" s="33"/>
      <c r="F88" s="91"/>
      <c r="G88" s="91"/>
      <c r="H88" s="241"/>
      <c r="I88" s="15"/>
      <c r="J88" s="35">
        <f t="shared" si="3"/>
        <v>0</v>
      </c>
      <c r="K88" s="36">
        <f t="shared" si="4"/>
        <v>0</v>
      </c>
      <c r="L88" s="12"/>
      <c r="M88" s="206">
        <f t="shared" si="5"/>
        <v>0</v>
      </c>
    </row>
    <row r="89" spans="1:13" x14ac:dyDescent="0.4">
      <c r="A89" s="80"/>
      <c r="B89" s="16"/>
      <c r="C89" s="74"/>
      <c r="D89" s="33"/>
      <c r="E89" s="33"/>
      <c r="F89" s="91"/>
      <c r="G89" s="91"/>
      <c r="H89" s="241"/>
      <c r="I89" s="34"/>
      <c r="J89" s="35">
        <f t="shared" si="3"/>
        <v>0</v>
      </c>
      <c r="K89" s="36">
        <f t="shared" si="4"/>
        <v>0</v>
      </c>
      <c r="L89" s="12"/>
      <c r="M89" s="206">
        <f t="shared" si="5"/>
        <v>0</v>
      </c>
    </row>
    <row r="90" spans="1:13" x14ac:dyDescent="0.4">
      <c r="A90" s="80"/>
      <c r="B90" s="16"/>
      <c r="C90" s="74"/>
      <c r="D90" s="33"/>
      <c r="E90" s="33"/>
      <c r="F90" s="91"/>
      <c r="G90" s="91"/>
      <c r="H90" s="241"/>
      <c r="I90" s="34"/>
      <c r="J90" s="35">
        <f t="shared" si="3"/>
        <v>0</v>
      </c>
      <c r="K90" s="36">
        <f t="shared" si="4"/>
        <v>0</v>
      </c>
      <c r="L90" s="12"/>
      <c r="M90" s="206">
        <f t="shared" si="5"/>
        <v>0</v>
      </c>
    </row>
    <row r="91" spans="1:13" x14ac:dyDescent="0.4">
      <c r="A91" s="80"/>
      <c r="B91" s="16"/>
      <c r="C91" s="74"/>
      <c r="D91" s="33"/>
      <c r="E91" s="33"/>
      <c r="F91" s="91"/>
      <c r="G91" s="91"/>
      <c r="H91" s="241"/>
      <c r="I91" s="34"/>
      <c r="J91" s="35">
        <f t="shared" si="3"/>
        <v>0</v>
      </c>
      <c r="K91" s="36">
        <f t="shared" si="4"/>
        <v>0</v>
      </c>
      <c r="L91" s="12"/>
      <c r="M91" s="206">
        <f t="shared" si="5"/>
        <v>0</v>
      </c>
    </row>
    <row r="92" spans="1:13" x14ac:dyDescent="0.4">
      <c r="A92" s="80"/>
      <c r="B92" s="16"/>
      <c r="C92" s="74"/>
      <c r="D92" s="33"/>
      <c r="E92" s="33"/>
      <c r="F92" s="91"/>
      <c r="G92" s="91"/>
      <c r="H92" s="241"/>
      <c r="I92" s="34"/>
      <c r="J92" s="35">
        <f t="shared" si="3"/>
        <v>0</v>
      </c>
      <c r="K92" s="36">
        <f t="shared" si="4"/>
        <v>0</v>
      </c>
      <c r="L92" s="12"/>
      <c r="M92" s="206">
        <f t="shared" si="5"/>
        <v>0</v>
      </c>
    </row>
    <row r="93" spans="1:13" x14ac:dyDescent="0.4">
      <c r="A93" s="80"/>
      <c r="B93" s="16"/>
      <c r="C93" s="74"/>
      <c r="D93" s="33"/>
      <c r="E93" s="33"/>
      <c r="F93" s="91"/>
      <c r="G93" s="91"/>
      <c r="H93" s="241"/>
      <c r="I93" s="34"/>
      <c r="J93" s="35">
        <f t="shared" si="3"/>
        <v>0</v>
      </c>
      <c r="K93" s="36">
        <f t="shared" si="4"/>
        <v>0</v>
      </c>
      <c r="L93" s="12"/>
      <c r="M93" s="206">
        <f t="shared" si="5"/>
        <v>0</v>
      </c>
    </row>
    <row r="94" spans="1:13" x14ac:dyDescent="0.4">
      <c r="A94" s="80"/>
      <c r="B94" s="16"/>
      <c r="C94" s="74"/>
      <c r="D94" s="33"/>
      <c r="E94" s="33"/>
      <c r="F94" s="91"/>
      <c r="G94" s="91"/>
      <c r="H94" s="241"/>
      <c r="I94" s="34"/>
      <c r="J94" s="35">
        <f t="shared" si="3"/>
        <v>0</v>
      </c>
      <c r="K94" s="36">
        <f t="shared" si="4"/>
        <v>0</v>
      </c>
      <c r="L94" s="12"/>
      <c r="M94" s="206">
        <f t="shared" si="5"/>
        <v>0</v>
      </c>
    </row>
    <row r="95" spans="1:13" x14ac:dyDescent="0.4">
      <c r="A95" s="80"/>
      <c r="B95" s="16"/>
      <c r="C95" s="16"/>
      <c r="D95" s="33"/>
      <c r="E95" s="33"/>
      <c r="F95" s="91"/>
      <c r="G95" s="91"/>
      <c r="H95" s="241"/>
      <c r="I95" s="34"/>
      <c r="J95" s="35">
        <f t="shared" si="3"/>
        <v>0</v>
      </c>
      <c r="K95" s="36">
        <f t="shared" si="4"/>
        <v>0</v>
      </c>
      <c r="L95" s="12"/>
      <c r="M95" s="206">
        <f t="shared" si="5"/>
        <v>0</v>
      </c>
    </row>
    <row r="96" spans="1:13" x14ac:dyDescent="0.4">
      <c r="A96" s="80"/>
      <c r="B96" s="16"/>
      <c r="C96" s="16"/>
      <c r="D96" s="33"/>
      <c r="E96" s="33"/>
      <c r="F96" s="91"/>
      <c r="G96" s="91"/>
      <c r="H96" s="241"/>
      <c r="I96" s="34"/>
      <c r="J96" s="35">
        <f t="shared" si="3"/>
        <v>0</v>
      </c>
      <c r="K96" s="36">
        <f t="shared" si="4"/>
        <v>0</v>
      </c>
      <c r="L96" s="12"/>
      <c r="M96" s="206">
        <f t="shared" si="5"/>
        <v>0</v>
      </c>
    </row>
    <row r="97" spans="1:13" x14ac:dyDescent="0.4">
      <c r="A97" s="80"/>
      <c r="B97" s="16"/>
      <c r="C97" s="16"/>
      <c r="D97" s="33"/>
      <c r="E97" s="33"/>
      <c r="F97" s="91"/>
      <c r="G97" s="91"/>
      <c r="H97" s="241"/>
      <c r="I97" s="34"/>
      <c r="J97" s="35">
        <f t="shared" si="3"/>
        <v>0</v>
      </c>
      <c r="K97" s="36">
        <f t="shared" si="4"/>
        <v>0</v>
      </c>
      <c r="L97" s="12"/>
      <c r="M97" s="206">
        <f t="shared" si="5"/>
        <v>0</v>
      </c>
    </row>
    <row r="98" spans="1:13" x14ac:dyDescent="0.4">
      <c r="A98" s="32"/>
      <c r="B98" s="16"/>
      <c r="C98" s="16"/>
      <c r="D98" s="33"/>
      <c r="E98" s="33"/>
      <c r="F98" s="91"/>
      <c r="G98" s="91"/>
      <c r="H98" s="241"/>
      <c r="I98" s="34"/>
      <c r="J98" s="35">
        <f t="shared" si="3"/>
        <v>0</v>
      </c>
      <c r="K98" s="36">
        <f t="shared" si="4"/>
        <v>0</v>
      </c>
      <c r="L98" s="12"/>
      <c r="M98" s="206">
        <f t="shared" si="5"/>
        <v>0</v>
      </c>
    </row>
    <row r="99" spans="1:13" x14ac:dyDescent="0.4">
      <c r="A99" s="32"/>
      <c r="B99" s="16"/>
      <c r="C99" s="16"/>
      <c r="D99" s="33"/>
      <c r="E99" s="33"/>
      <c r="F99" s="91"/>
      <c r="G99" s="91"/>
      <c r="H99" s="241"/>
      <c r="I99" s="34"/>
      <c r="J99" s="35">
        <f t="shared" si="3"/>
        <v>0</v>
      </c>
      <c r="K99" s="36">
        <f t="shared" si="4"/>
        <v>0</v>
      </c>
      <c r="L99" s="12"/>
      <c r="M99" s="206">
        <f t="shared" si="5"/>
        <v>0</v>
      </c>
    </row>
    <row r="100" spans="1:13" x14ac:dyDescent="0.4">
      <c r="A100" s="32"/>
      <c r="B100" s="16"/>
      <c r="C100" s="74"/>
      <c r="D100" s="33"/>
      <c r="E100" s="33"/>
      <c r="F100" s="91"/>
      <c r="G100" s="91"/>
      <c r="H100" s="241"/>
      <c r="I100" s="34"/>
      <c r="J100" s="35">
        <f t="shared" si="3"/>
        <v>0</v>
      </c>
      <c r="K100" s="36">
        <f t="shared" si="4"/>
        <v>0</v>
      </c>
      <c r="L100" s="12"/>
      <c r="M100" s="206">
        <f t="shared" si="5"/>
        <v>0</v>
      </c>
    </row>
    <row r="101" spans="1:13" x14ac:dyDescent="0.4">
      <c r="A101" s="32"/>
      <c r="B101" s="16"/>
      <c r="C101" s="74"/>
      <c r="D101" s="33"/>
      <c r="E101" s="33"/>
      <c r="F101" s="91"/>
      <c r="G101" s="91"/>
      <c r="H101" s="241"/>
      <c r="I101" s="34"/>
      <c r="J101" s="35">
        <f t="shared" si="3"/>
        <v>0</v>
      </c>
      <c r="K101" s="36">
        <f t="shared" si="4"/>
        <v>0</v>
      </c>
      <c r="L101" s="12"/>
      <c r="M101" s="206">
        <f t="shared" si="5"/>
        <v>0</v>
      </c>
    </row>
    <row r="102" spans="1:13" x14ac:dyDescent="0.4">
      <c r="A102" s="32"/>
      <c r="B102" s="16"/>
      <c r="C102" s="16"/>
      <c r="D102" s="33"/>
      <c r="E102" s="33"/>
      <c r="F102" s="91"/>
      <c r="G102" s="91"/>
      <c r="H102" s="241"/>
      <c r="I102" s="34"/>
      <c r="J102" s="35">
        <f t="shared" si="3"/>
        <v>0</v>
      </c>
      <c r="K102" s="36">
        <f t="shared" si="4"/>
        <v>0</v>
      </c>
      <c r="L102" s="12"/>
      <c r="M102" s="206">
        <f t="shared" si="5"/>
        <v>0</v>
      </c>
    </row>
    <row r="103" spans="1:13" x14ac:dyDescent="0.4">
      <c r="A103" s="32"/>
      <c r="B103" s="16"/>
      <c r="C103" s="16"/>
      <c r="D103" s="33"/>
      <c r="E103" s="33"/>
      <c r="F103" s="91"/>
      <c r="G103" s="91"/>
      <c r="H103" s="241"/>
      <c r="I103" s="34"/>
      <c r="J103" s="35">
        <f t="shared" si="3"/>
        <v>0</v>
      </c>
      <c r="K103" s="36">
        <f t="shared" si="4"/>
        <v>0</v>
      </c>
      <c r="L103" s="12"/>
      <c r="M103" s="206">
        <f t="shared" si="5"/>
        <v>0</v>
      </c>
    </row>
    <row r="104" spans="1:13" x14ac:dyDescent="0.4">
      <c r="A104" s="32"/>
      <c r="B104" s="16"/>
      <c r="C104" s="16"/>
      <c r="D104" s="33"/>
      <c r="E104" s="33"/>
      <c r="F104" s="91"/>
      <c r="G104" s="91"/>
      <c r="H104" s="241"/>
      <c r="I104" s="34"/>
      <c r="J104" s="35">
        <f t="shared" si="3"/>
        <v>0</v>
      </c>
      <c r="K104" s="36">
        <f t="shared" si="4"/>
        <v>0</v>
      </c>
      <c r="L104" s="12"/>
      <c r="M104" s="206">
        <f t="shared" si="5"/>
        <v>0</v>
      </c>
    </row>
    <row r="105" spans="1:13" x14ac:dyDescent="0.4">
      <c r="A105" s="75"/>
      <c r="B105" s="76"/>
      <c r="C105" s="76"/>
      <c r="D105" s="77"/>
      <c r="E105" s="77"/>
      <c r="F105" s="92"/>
      <c r="G105" s="92"/>
      <c r="H105" s="242"/>
      <c r="I105" s="78"/>
      <c r="J105" s="35">
        <f t="shared" si="3"/>
        <v>0</v>
      </c>
      <c r="K105" s="36">
        <f t="shared" si="4"/>
        <v>0</v>
      </c>
      <c r="L105" s="12"/>
      <c r="M105" s="206">
        <f t="shared" si="5"/>
        <v>0</v>
      </c>
    </row>
    <row r="106" spans="1:13" x14ac:dyDescent="0.4">
      <c r="A106" s="73"/>
      <c r="B106" s="31"/>
      <c r="C106" s="31"/>
      <c r="D106" s="39"/>
      <c r="E106" s="39"/>
      <c r="F106" s="90"/>
      <c r="G106" s="90"/>
      <c r="H106" s="243"/>
      <c r="I106" s="40"/>
      <c r="J106" s="35">
        <f t="shared" si="3"/>
        <v>0</v>
      </c>
      <c r="K106" s="36">
        <f t="shared" si="4"/>
        <v>0</v>
      </c>
      <c r="L106" s="12"/>
      <c r="M106" s="206">
        <f t="shared" si="5"/>
        <v>0</v>
      </c>
    </row>
    <row r="107" spans="1:13" x14ac:dyDescent="0.4">
      <c r="A107" s="32"/>
      <c r="B107" s="16"/>
      <c r="C107" s="16"/>
      <c r="D107" s="33"/>
      <c r="E107" s="33"/>
      <c r="F107" s="91"/>
      <c r="G107" s="91"/>
      <c r="H107" s="241"/>
      <c r="I107" s="34"/>
      <c r="J107" s="35">
        <f t="shared" si="3"/>
        <v>0</v>
      </c>
      <c r="K107" s="36">
        <f t="shared" si="4"/>
        <v>0</v>
      </c>
      <c r="L107" s="12"/>
      <c r="M107" s="206">
        <f t="shared" si="5"/>
        <v>0</v>
      </c>
    </row>
    <row r="108" spans="1:13" x14ac:dyDescent="0.4">
      <c r="A108" s="32"/>
      <c r="B108" s="16"/>
      <c r="C108" s="16"/>
      <c r="D108" s="33"/>
      <c r="E108" s="33"/>
      <c r="F108" s="91"/>
      <c r="G108" s="91"/>
      <c r="H108" s="241"/>
      <c r="I108" s="34"/>
      <c r="J108" s="35">
        <f t="shared" si="3"/>
        <v>0</v>
      </c>
      <c r="K108" s="36">
        <f t="shared" si="4"/>
        <v>0</v>
      </c>
      <c r="L108" s="12"/>
      <c r="M108" s="206">
        <f t="shared" si="5"/>
        <v>0</v>
      </c>
    </row>
    <row r="109" spans="1:13" x14ac:dyDescent="0.4">
      <c r="A109" s="32"/>
      <c r="B109" s="16"/>
      <c r="C109" s="74"/>
      <c r="D109" s="33"/>
      <c r="E109" s="33"/>
      <c r="F109" s="91"/>
      <c r="G109" s="91"/>
      <c r="H109" s="241"/>
      <c r="I109" s="34"/>
      <c r="J109" s="35">
        <f t="shared" si="3"/>
        <v>0</v>
      </c>
      <c r="K109" s="36">
        <f t="shared" si="4"/>
        <v>0</v>
      </c>
      <c r="L109" s="12"/>
      <c r="M109" s="206">
        <f t="shared" si="5"/>
        <v>0</v>
      </c>
    </row>
    <row r="110" spans="1:13" x14ac:dyDescent="0.4">
      <c r="A110" s="32"/>
      <c r="B110" s="16"/>
      <c r="C110" s="16"/>
      <c r="D110" s="33"/>
      <c r="E110" s="33"/>
      <c r="F110" s="91"/>
      <c r="G110" s="91"/>
      <c r="H110" s="241"/>
      <c r="I110" s="34"/>
      <c r="J110" s="35">
        <f t="shared" si="3"/>
        <v>0</v>
      </c>
      <c r="K110" s="36">
        <f t="shared" si="4"/>
        <v>0</v>
      </c>
      <c r="L110" s="12"/>
      <c r="M110" s="206">
        <f t="shared" si="5"/>
        <v>0</v>
      </c>
    </row>
    <row r="111" spans="1:13" x14ac:dyDescent="0.4">
      <c r="A111" s="32"/>
      <c r="B111" s="16"/>
      <c r="C111" s="16"/>
      <c r="D111" s="33"/>
      <c r="E111" s="33"/>
      <c r="F111" s="91"/>
      <c r="G111" s="91"/>
      <c r="H111" s="241"/>
      <c r="I111" s="34"/>
      <c r="J111" s="35">
        <f t="shared" si="3"/>
        <v>0</v>
      </c>
      <c r="K111" s="36">
        <f t="shared" si="4"/>
        <v>0</v>
      </c>
      <c r="L111" s="12"/>
      <c r="M111" s="206">
        <f t="shared" si="5"/>
        <v>0</v>
      </c>
    </row>
    <row r="112" spans="1:13" x14ac:dyDescent="0.4">
      <c r="A112" s="32"/>
      <c r="B112" s="16"/>
      <c r="C112" s="16"/>
      <c r="D112" s="33"/>
      <c r="E112" s="33"/>
      <c r="F112" s="91"/>
      <c r="G112" s="91"/>
      <c r="H112" s="241"/>
      <c r="I112" s="34"/>
      <c r="J112" s="35">
        <f t="shared" si="3"/>
        <v>0</v>
      </c>
      <c r="K112" s="36">
        <f t="shared" si="4"/>
        <v>0</v>
      </c>
      <c r="L112" s="12"/>
      <c r="M112" s="206">
        <f t="shared" si="5"/>
        <v>0</v>
      </c>
    </row>
    <row r="113" spans="1:15" x14ac:dyDescent="0.4">
      <c r="A113" s="75"/>
      <c r="B113" s="76"/>
      <c r="C113" s="76"/>
      <c r="D113" s="77"/>
      <c r="E113" s="77"/>
      <c r="F113" s="92"/>
      <c r="G113" s="92"/>
      <c r="H113" s="242"/>
      <c r="I113" s="78"/>
      <c r="J113" s="35">
        <f t="shared" si="3"/>
        <v>0</v>
      </c>
      <c r="K113" s="36">
        <f t="shared" si="4"/>
        <v>0</v>
      </c>
      <c r="L113" s="12"/>
      <c r="M113" s="206">
        <f t="shared" si="5"/>
        <v>0</v>
      </c>
    </row>
    <row r="114" spans="1:15" x14ac:dyDescent="0.4">
      <c r="A114" s="73"/>
      <c r="B114" s="31"/>
      <c r="C114" s="31"/>
      <c r="D114" s="39"/>
      <c r="E114" s="39"/>
      <c r="F114" s="90"/>
      <c r="G114" s="90"/>
      <c r="H114" s="243"/>
      <c r="I114" s="40"/>
      <c r="J114" s="35">
        <f t="shared" si="3"/>
        <v>0</v>
      </c>
      <c r="K114" s="36">
        <f t="shared" si="4"/>
        <v>0</v>
      </c>
      <c r="L114" s="12"/>
      <c r="M114" s="206">
        <f t="shared" si="5"/>
        <v>0</v>
      </c>
    </row>
    <row r="115" spans="1:15" x14ac:dyDescent="0.4">
      <c r="A115" s="32"/>
      <c r="B115" s="16"/>
      <c r="C115" s="16"/>
      <c r="D115" s="33"/>
      <c r="E115" s="33"/>
      <c r="F115" s="91"/>
      <c r="G115" s="91"/>
      <c r="H115" s="241"/>
      <c r="I115" s="34"/>
      <c r="J115" s="35">
        <f t="shared" si="3"/>
        <v>0</v>
      </c>
      <c r="K115" s="36">
        <f t="shared" si="4"/>
        <v>0</v>
      </c>
      <c r="L115" s="12"/>
      <c r="M115" s="206">
        <f t="shared" si="5"/>
        <v>0</v>
      </c>
    </row>
    <row r="116" spans="1:15" x14ac:dyDescent="0.4">
      <c r="A116" s="32"/>
      <c r="B116" s="16"/>
      <c r="C116" s="16"/>
      <c r="D116" s="33"/>
      <c r="E116" s="33"/>
      <c r="F116" s="91"/>
      <c r="G116" s="91"/>
      <c r="H116" s="241"/>
      <c r="I116" s="34"/>
      <c r="J116" s="35">
        <f t="shared" si="3"/>
        <v>0</v>
      </c>
      <c r="K116" s="36">
        <f t="shared" si="4"/>
        <v>0</v>
      </c>
      <c r="L116" s="12"/>
      <c r="M116" s="206">
        <f t="shared" si="5"/>
        <v>0</v>
      </c>
    </row>
    <row r="117" spans="1:15" x14ac:dyDescent="0.4">
      <c r="A117" s="32"/>
      <c r="B117" s="16"/>
      <c r="C117" s="16"/>
      <c r="D117" s="33"/>
      <c r="E117" s="33"/>
      <c r="F117" s="91"/>
      <c r="G117" s="91"/>
      <c r="H117" s="241"/>
      <c r="I117" s="34"/>
      <c r="J117" s="35">
        <f t="shared" si="3"/>
        <v>0</v>
      </c>
      <c r="K117" s="36">
        <f t="shared" si="4"/>
        <v>0</v>
      </c>
      <c r="L117" s="12"/>
      <c r="M117" s="206">
        <f t="shared" si="5"/>
        <v>0</v>
      </c>
    </row>
    <row r="118" spans="1:15" x14ac:dyDescent="0.4">
      <c r="A118" s="32"/>
      <c r="B118" s="16"/>
      <c r="C118" s="16"/>
      <c r="D118" s="33"/>
      <c r="E118" s="33"/>
      <c r="F118" s="91"/>
      <c r="G118" s="91"/>
      <c r="H118" s="241"/>
      <c r="I118" s="34"/>
      <c r="J118" s="35">
        <f t="shared" si="3"/>
        <v>0</v>
      </c>
      <c r="K118" s="36">
        <f t="shared" si="4"/>
        <v>0</v>
      </c>
      <c r="L118" s="12"/>
      <c r="M118" s="206">
        <f t="shared" si="5"/>
        <v>0</v>
      </c>
    </row>
    <row r="119" spans="1:15" x14ac:dyDescent="0.4">
      <c r="A119" s="32"/>
      <c r="B119" s="16"/>
      <c r="C119" s="16"/>
      <c r="D119" s="33"/>
      <c r="E119" s="33"/>
      <c r="F119" s="91"/>
      <c r="G119" s="91"/>
      <c r="H119" s="241"/>
      <c r="I119" s="34"/>
      <c r="J119" s="35">
        <f t="shared" si="3"/>
        <v>0</v>
      </c>
      <c r="K119" s="36">
        <f t="shared" si="4"/>
        <v>0</v>
      </c>
      <c r="L119" s="12"/>
      <c r="M119" s="206">
        <f t="shared" si="5"/>
        <v>0</v>
      </c>
    </row>
    <row r="120" spans="1:15" x14ac:dyDescent="0.4">
      <c r="A120" s="146"/>
      <c r="B120" s="97"/>
      <c r="C120" s="97"/>
      <c r="D120" s="98"/>
      <c r="E120" s="98"/>
      <c r="F120" s="213"/>
      <c r="G120" s="213"/>
      <c r="H120" s="244"/>
      <c r="I120" s="99"/>
      <c r="J120" s="96">
        <f t="shared" si="3"/>
        <v>0</v>
      </c>
      <c r="K120" s="36">
        <f t="shared" si="4"/>
        <v>0</v>
      </c>
      <c r="L120" s="12"/>
      <c r="M120" s="206">
        <f t="shared" si="5"/>
        <v>0</v>
      </c>
    </row>
    <row r="121" spans="1:15" ht="15.4" thickBot="1" x14ac:dyDescent="0.45">
      <c r="A121" s="147"/>
      <c r="B121" s="148"/>
      <c r="C121" s="148"/>
      <c r="D121" s="149"/>
      <c r="E121" s="149"/>
      <c r="F121" s="214"/>
      <c r="G121" s="214"/>
      <c r="H121" s="245"/>
      <c r="I121" s="211"/>
      <c r="J121" s="195">
        <f t="shared" si="3"/>
        <v>0</v>
      </c>
      <c r="K121" s="38">
        <f t="shared" si="4"/>
        <v>0</v>
      </c>
      <c r="L121" s="12"/>
      <c r="M121" s="206">
        <f t="shared" si="5"/>
        <v>0</v>
      </c>
    </row>
    <row r="122" spans="1:15" x14ac:dyDescent="0.4">
      <c r="A122" s="190"/>
      <c r="B122" s="191"/>
      <c r="C122" s="192"/>
      <c r="D122" s="193"/>
      <c r="E122" s="194"/>
      <c r="F122" s="212"/>
      <c r="G122" s="212"/>
      <c r="H122" s="240"/>
      <c r="I122" s="145"/>
      <c r="J122" s="49">
        <f t="shared" si="3"/>
        <v>0</v>
      </c>
      <c r="K122" s="50">
        <f t="shared" si="4"/>
        <v>0</v>
      </c>
      <c r="L122" s="12"/>
      <c r="M122" s="206">
        <f t="shared" si="5"/>
        <v>0</v>
      </c>
    </row>
    <row r="123" spans="1:15" x14ac:dyDescent="0.4">
      <c r="A123" s="82"/>
      <c r="B123" s="16"/>
      <c r="C123" s="97"/>
      <c r="D123" s="104"/>
      <c r="E123" s="33"/>
      <c r="F123" s="91"/>
      <c r="G123" s="91"/>
      <c r="H123" s="241"/>
      <c r="I123" s="34"/>
      <c r="J123" s="35">
        <f t="shared" si="3"/>
        <v>0</v>
      </c>
      <c r="K123" s="36">
        <f t="shared" si="4"/>
        <v>0</v>
      </c>
      <c r="L123" s="12"/>
      <c r="M123" s="206">
        <f t="shared" si="5"/>
        <v>0</v>
      </c>
    </row>
    <row r="124" spans="1:15" x14ac:dyDescent="0.4">
      <c r="A124" s="82"/>
      <c r="B124" s="16"/>
      <c r="C124" s="97"/>
      <c r="D124" s="104"/>
      <c r="E124" s="33"/>
      <c r="F124" s="91"/>
      <c r="G124" s="91"/>
      <c r="H124" s="241"/>
      <c r="I124" s="34"/>
      <c r="J124" s="35">
        <f t="shared" si="3"/>
        <v>0</v>
      </c>
      <c r="K124" s="36">
        <f t="shared" si="4"/>
        <v>0</v>
      </c>
      <c r="L124" s="12"/>
      <c r="M124" s="206">
        <f t="shared" si="5"/>
        <v>0</v>
      </c>
      <c r="O124" s="163"/>
    </row>
    <row r="125" spans="1:15" x14ac:dyDescent="0.4">
      <c r="A125" s="82"/>
      <c r="B125" s="16"/>
      <c r="C125" s="97"/>
      <c r="D125" s="104"/>
      <c r="E125" s="33"/>
      <c r="F125" s="91"/>
      <c r="G125" s="91"/>
      <c r="H125" s="241"/>
      <c r="I125" s="34"/>
      <c r="J125" s="35">
        <f t="shared" si="3"/>
        <v>0</v>
      </c>
      <c r="K125" s="36">
        <f t="shared" si="4"/>
        <v>0</v>
      </c>
      <c r="L125" s="12"/>
      <c r="M125" s="206">
        <f t="shared" si="5"/>
        <v>0</v>
      </c>
    </row>
    <row r="126" spans="1:15" x14ac:dyDescent="0.4">
      <c r="A126" s="82"/>
      <c r="B126" s="16"/>
      <c r="C126" s="97"/>
      <c r="D126" s="104"/>
      <c r="E126" s="33"/>
      <c r="F126" s="91"/>
      <c r="G126" s="91"/>
      <c r="H126" s="241"/>
      <c r="I126" s="34"/>
      <c r="J126" s="35">
        <f t="shared" si="3"/>
        <v>0</v>
      </c>
      <c r="K126" s="36">
        <f t="shared" si="4"/>
        <v>0</v>
      </c>
      <c r="L126" s="12"/>
      <c r="M126" s="206">
        <f t="shared" si="5"/>
        <v>0</v>
      </c>
    </row>
    <row r="127" spans="1:15" x14ac:dyDescent="0.4">
      <c r="A127" s="82"/>
      <c r="B127" s="16"/>
      <c r="C127" s="97"/>
      <c r="D127" s="104"/>
      <c r="E127" s="33"/>
      <c r="F127" s="91"/>
      <c r="G127" s="91"/>
      <c r="H127" s="241"/>
      <c r="I127" s="34"/>
      <c r="J127" s="35">
        <f t="shared" si="3"/>
        <v>0</v>
      </c>
      <c r="K127" s="36">
        <f t="shared" si="4"/>
        <v>0</v>
      </c>
      <c r="L127" s="12"/>
      <c r="M127" s="206">
        <f t="shared" si="5"/>
        <v>0</v>
      </c>
    </row>
    <row r="128" spans="1:15" x14ac:dyDescent="0.4">
      <c r="A128" s="80"/>
      <c r="B128" s="16"/>
      <c r="C128" s="97"/>
      <c r="D128" s="104"/>
      <c r="E128" s="33"/>
      <c r="F128" s="91"/>
      <c r="G128" s="91"/>
      <c r="H128" s="241"/>
      <c r="I128" s="34"/>
      <c r="J128" s="35">
        <f t="shared" si="3"/>
        <v>0</v>
      </c>
      <c r="K128" s="36">
        <f t="shared" si="4"/>
        <v>0</v>
      </c>
      <c r="L128" s="12"/>
      <c r="M128" s="206">
        <f t="shared" si="5"/>
        <v>0</v>
      </c>
      <c r="O128" s="162"/>
    </row>
    <row r="129" spans="1:14" x14ac:dyDescent="0.4">
      <c r="A129" s="80"/>
      <c r="B129" s="16"/>
      <c r="C129" s="97"/>
      <c r="D129" s="33"/>
      <c r="E129" s="33"/>
      <c r="F129" s="91"/>
      <c r="G129" s="91"/>
      <c r="H129" s="241"/>
      <c r="I129" s="34"/>
      <c r="J129" s="35">
        <f t="shared" si="3"/>
        <v>0</v>
      </c>
      <c r="K129" s="36">
        <f t="shared" si="4"/>
        <v>0</v>
      </c>
      <c r="L129" s="12"/>
      <c r="M129" s="206">
        <f t="shared" si="5"/>
        <v>0</v>
      </c>
    </row>
    <row r="130" spans="1:14" x14ac:dyDescent="0.4">
      <c r="A130" s="82"/>
      <c r="B130" s="16"/>
      <c r="C130" s="97"/>
      <c r="D130" s="104"/>
      <c r="E130" s="33"/>
      <c r="F130" s="91"/>
      <c r="G130" s="91"/>
      <c r="H130" s="241"/>
      <c r="I130" s="34"/>
      <c r="J130" s="35">
        <f t="shared" si="3"/>
        <v>0</v>
      </c>
      <c r="K130" s="36">
        <f t="shared" si="4"/>
        <v>0</v>
      </c>
      <c r="L130" s="12"/>
      <c r="M130" s="206">
        <f t="shared" si="5"/>
        <v>0</v>
      </c>
    </row>
    <row r="131" spans="1:14" x14ac:dyDescent="0.4">
      <c r="A131" s="82"/>
      <c r="B131" s="16"/>
      <c r="C131" s="97"/>
      <c r="D131" s="104"/>
      <c r="E131" s="33"/>
      <c r="F131" s="91"/>
      <c r="G131" s="91"/>
      <c r="H131" s="241"/>
      <c r="I131" s="34"/>
      <c r="J131" s="35">
        <f t="shared" si="3"/>
        <v>0</v>
      </c>
      <c r="K131" s="36">
        <f t="shared" si="4"/>
        <v>0</v>
      </c>
      <c r="L131" s="12"/>
      <c r="M131" s="206">
        <f t="shared" si="5"/>
        <v>0</v>
      </c>
    </row>
    <row r="132" spans="1:14" x14ac:dyDescent="0.4">
      <c r="A132" s="80"/>
      <c r="B132" s="16"/>
      <c r="C132" s="97"/>
      <c r="D132" s="104"/>
      <c r="E132" s="33"/>
      <c r="F132" s="91"/>
      <c r="G132" s="91"/>
      <c r="H132" s="241"/>
      <c r="I132" s="34"/>
      <c r="J132" s="35">
        <f t="shared" si="3"/>
        <v>0</v>
      </c>
      <c r="K132" s="36">
        <f t="shared" si="4"/>
        <v>0</v>
      </c>
      <c r="L132" s="12"/>
      <c r="M132" s="206">
        <f t="shared" si="5"/>
        <v>0</v>
      </c>
    </row>
    <row r="133" spans="1:14" x14ac:dyDescent="0.4">
      <c r="A133" s="80"/>
      <c r="B133" s="16"/>
      <c r="C133" s="16"/>
      <c r="D133" s="33"/>
      <c r="E133" s="33"/>
      <c r="F133" s="91"/>
      <c r="G133" s="91"/>
      <c r="H133" s="241"/>
      <c r="I133" s="34"/>
      <c r="J133" s="35">
        <f t="shared" si="3"/>
        <v>0</v>
      </c>
      <c r="K133" s="36">
        <f t="shared" si="4"/>
        <v>0</v>
      </c>
      <c r="L133" s="12"/>
      <c r="M133" s="206">
        <f t="shared" si="5"/>
        <v>0</v>
      </c>
      <c r="N133" s="161"/>
    </row>
    <row r="134" spans="1:14" x14ac:dyDescent="0.4">
      <c r="A134" s="80"/>
      <c r="B134" s="16"/>
      <c r="C134" s="97"/>
      <c r="D134" s="33"/>
      <c r="E134" s="33"/>
      <c r="F134" s="91"/>
      <c r="G134" s="91"/>
      <c r="H134" s="241"/>
      <c r="I134" s="34"/>
      <c r="J134" s="35">
        <f t="shared" ref="J134:J197" si="6">IF(F134="TLX",ROUND(M134/32*H134,2),ROUND(M134*H134,2))</f>
        <v>0</v>
      </c>
      <c r="K134" s="36">
        <f t="shared" ref="K134:K197" si="7">SUM(I134+J134)</f>
        <v>0</v>
      </c>
      <c r="L134" s="12"/>
      <c r="M134" s="206">
        <f t="shared" ref="M134:M197" si="8">ROUND(D134+E134/60,2)</f>
        <v>0</v>
      </c>
      <c r="N134" s="161"/>
    </row>
    <row r="135" spans="1:14" x14ac:dyDescent="0.4">
      <c r="A135" s="82"/>
      <c r="B135" s="16"/>
      <c r="C135" s="97"/>
      <c r="D135" s="104"/>
      <c r="E135" s="33"/>
      <c r="F135" s="91"/>
      <c r="G135" s="91"/>
      <c r="H135" s="241"/>
      <c r="I135" s="34"/>
      <c r="J135" s="35">
        <f t="shared" si="6"/>
        <v>0</v>
      </c>
      <c r="K135" s="36">
        <f t="shared" si="7"/>
        <v>0</v>
      </c>
      <c r="L135" s="12"/>
      <c r="M135" s="206">
        <f t="shared" si="8"/>
        <v>0</v>
      </c>
      <c r="N135" s="161"/>
    </row>
    <row r="136" spans="1:14" x14ac:dyDescent="0.4">
      <c r="A136" s="80"/>
      <c r="B136" s="16"/>
      <c r="C136" s="97"/>
      <c r="D136" s="104"/>
      <c r="E136" s="33"/>
      <c r="F136" s="91"/>
      <c r="G136" s="91"/>
      <c r="H136" s="241"/>
      <c r="I136" s="34"/>
      <c r="J136" s="35">
        <f t="shared" si="6"/>
        <v>0</v>
      </c>
      <c r="K136" s="36">
        <f t="shared" si="7"/>
        <v>0</v>
      </c>
      <c r="L136" s="12"/>
      <c r="M136" s="206">
        <f t="shared" si="8"/>
        <v>0</v>
      </c>
      <c r="N136" s="161"/>
    </row>
    <row r="137" spans="1:14" x14ac:dyDescent="0.4">
      <c r="A137" s="80"/>
      <c r="B137" s="16"/>
      <c r="C137" s="97"/>
      <c r="D137" s="104"/>
      <c r="E137" s="33"/>
      <c r="F137" s="91"/>
      <c r="G137" s="91"/>
      <c r="H137" s="241"/>
      <c r="I137" s="34"/>
      <c r="J137" s="35">
        <f t="shared" si="6"/>
        <v>0</v>
      </c>
      <c r="K137" s="36">
        <f t="shared" si="7"/>
        <v>0</v>
      </c>
      <c r="L137" s="12"/>
      <c r="M137" s="206">
        <f t="shared" si="8"/>
        <v>0</v>
      </c>
      <c r="N137" s="161"/>
    </row>
    <row r="138" spans="1:14" x14ac:dyDescent="0.4">
      <c r="A138" s="80"/>
      <c r="B138" s="16"/>
      <c r="C138" s="97"/>
      <c r="D138" s="33"/>
      <c r="E138" s="33"/>
      <c r="F138" s="91"/>
      <c r="G138" s="91"/>
      <c r="H138" s="241"/>
      <c r="I138" s="34"/>
      <c r="J138" s="35">
        <f t="shared" si="6"/>
        <v>0</v>
      </c>
      <c r="K138" s="36">
        <f t="shared" si="7"/>
        <v>0</v>
      </c>
      <c r="L138" s="12"/>
      <c r="M138" s="206">
        <f t="shared" si="8"/>
        <v>0</v>
      </c>
      <c r="N138" s="161"/>
    </row>
    <row r="139" spans="1:14" x14ac:dyDescent="0.4">
      <c r="A139" s="80"/>
      <c r="B139" s="16"/>
      <c r="C139" s="97"/>
      <c r="D139" s="33"/>
      <c r="E139" s="33"/>
      <c r="F139" s="91"/>
      <c r="G139" s="91"/>
      <c r="H139" s="241"/>
      <c r="I139" s="34"/>
      <c r="J139" s="35">
        <f t="shared" si="6"/>
        <v>0</v>
      </c>
      <c r="K139" s="36">
        <f t="shared" si="7"/>
        <v>0</v>
      </c>
      <c r="L139" s="12"/>
      <c r="M139" s="206">
        <f t="shared" si="8"/>
        <v>0</v>
      </c>
    </row>
    <row r="140" spans="1:14" x14ac:dyDescent="0.4">
      <c r="A140" s="80"/>
      <c r="B140" s="16"/>
      <c r="C140" s="97"/>
      <c r="D140" s="33"/>
      <c r="E140" s="33"/>
      <c r="F140" s="91"/>
      <c r="G140" s="91"/>
      <c r="H140" s="241"/>
      <c r="I140" s="34"/>
      <c r="J140" s="35">
        <f t="shared" si="6"/>
        <v>0</v>
      </c>
      <c r="K140" s="36">
        <f t="shared" si="7"/>
        <v>0</v>
      </c>
      <c r="L140" s="12"/>
      <c r="M140" s="206">
        <f t="shared" si="8"/>
        <v>0</v>
      </c>
    </row>
    <row r="141" spans="1:14" x14ac:dyDescent="0.4">
      <c r="A141" s="80"/>
      <c r="B141" s="16"/>
      <c r="C141" s="97"/>
      <c r="D141" s="33"/>
      <c r="E141" s="33"/>
      <c r="F141" s="91"/>
      <c r="G141" s="91"/>
      <c r="H141" s="241"/>
      <c r="I141" s="34"/>
      <c r="J141" s="35">
        <f t="shared" si="6"/>
        <v>0</v>
      </c>
      <c r="K141" s="36">
        <f t="shared" si="7"/>
        <v>0</v>
      </c>
      <c r="L141" s="12"/>
      <c r="M141" s="206">
        <f t="shared" si="8"/>
        <v>0</v>
      </c>
    </row>
    <row r="142" spans="1:14" x14ac:dyDescent="0.4">
      <c r="A142" s="80"/>
      <c r="B142" s="16"/>
      <c r="C142" s="97"/>
      <c r="D142" s="33"/>
      <c r="E142" s="33"/>
      <c r="F142" s="91"/>
      <c r="G142" s="91"/>
      <c r="H142" s="241"/>
      <c r="I142" s="34"/>
      <c r="J142" s="35">
        <f t="shared" si="6"/>
        <v>0</v>
      </c>
      <c r="K142" s="36">
        <f t="shared" si="7"/>
        <v>0</v>
      </c>
      <c r="L142" s="12"/>
      <c r="M142" s="206">
        <f t="shared" si="8"/>
        <v>0</v>
      </c>
    </row>
    <row r="143" spans="1:14" x14ac:dyDescent="0.4">
      <c r="A143" s="80"/>
      <c r="B143" s="16"/>
      <c r="C143" s="97"/>
      <c r="D143" s="33"/>
      <c r="E143" s="33"/>
      <c r="F143" s="91"/>
      <c r="G143" s="91"/>
      <c r="H143" s="241"/>
      <c r="I143" s="34"/>
      <c r="J143" s="35">
        <f t="shared" si="6"/>
        <v>0</v>
      </c>
      <c r="K143" s="36">
        <f t="shared" si="7"/>
        <v>0</v>
      </c>
      <c r="L143" s="12"/>
      <c r="M143" s="206">
        <f t="shared" si="8"/>
        <v>0</v>
      </c>
    </row>
    <row r="144" spans="1:14" x14ac:dyDescent="0.4">
      <c r="A144" s="80"/>
      <c r="B144" s="16"/>
      <c r="C144" s="97"/>
      <c r="D144" s="33"/>
      <c r="E144" s="33"/>
      <c r="F144" s="91"/>
      <c r="G144" s="91"/>
      <c r="H144" s="241"/>
      <c r="I144" s="34"/>
      <c r="J144" s="35">
        <f t="shared" si="6"/>
        <v>0</v>
      </c>
      <c r="K144" s="36">
        <f t="shared" si="7"/>
        <v>0</v>
      </c>
      <c r="L144" s="12"/>
      <c r="M144" s="206">
        <f t="shared" si="8"/>
        <v>0</v>
      </c>
    </row>
    <row r="145" spans="1:13" x14ac:dyDescent="0.4">
      <c r="A145" s="80"/>
      <c r="B145" s="16"/>
      <c r="C145" s="74"/>
      <c r="D145" s="33"/>
      <c r="E145" s="33"/>
      <c r="F145" s="91"/>
      <c r="G145" s="91"/>
      <c r="H145" s="241"/>
      <c r="I145" s="15"/>
      <c r="J145" s="35">
        <f t="shared" si="6"/>
        <v>0</v>
      </c>
      <c r="K145" s="36">
        <f t="shared" si="7"/>
        <v>0</v>
      </c>
      <c r="L145" s="12"/>
      <c r="M145" s="206">
        <f t="shared" si="8"/>
        <v>0</v>
      </c>
    </row>
    <row r="146" spans="1:13" x14ac:dyDescent="0.4">
      <c r="A146" s="80"/>
      <c r="B146" s="16"/>
      <c r="C146" s="74"/>
      <c r="D146" s="33"/>
      <c r="E146" s="33"/>
      <c r="F146" s="91"/>
      <c r="G146" s="91"/>
      <c r="H146" s="241"/>
      <c r="I146" s="15"/>
      <c r="J146" s="35">
        <f t="shared" si="6"/>
        <v>0</v>
      </c>
      <c r="K146" s="36">
        <f t="shared" si="7"/>
        <v>0</v>
      </c>
      <c r="L146" s="12"/>
      <c r="M146" s="206">
        <f t="shared" si="8"/>
        <v>0</v>
      </c>
    </row>
    <row r="147" spans="1:13" x14ac:dyDescent="0.4">
      <c r="A147" s="80"/>
      <c r="B147" s="16"/>
      <c r="C147" s="74"/>
      <c r="D147" s="33"/>
      <c r="E147" s="33"/>
      <c r="F147" s="91"/>
      <c r="G147" s="91"/>
      <c r="H147" s="241"/>
      <c r="I147" s="34"/>
      <c r="J147" s="35">
        <f t="shared" si="6"/>
        <v>0</v>
      </c>
      <c r="K147" s="36">
        <f t="shared" si="7"/>
        <v>0</v>
      </c>
      <c r="L147" s="12"/>
      <c r="M147" s="206">
        <f t="shared" si="8"/>
        <v>0</v>
      </c>
    </row>
    <row r="148" spans="1:13" x14ac:dyDescent="0.4">
      <c r="A148" s="80"/>
      <c r="B148" s="16"/>
      <c r="C148" s="74"/>
      <c r="D148" s="33"/>
      <c r="E148" s="33"/>
      <c r="F148" s="91"/>
      <c r="G148" s="91"/>
      <c r="H148" s="241"/>
      <c r="I148" s="34"/>
      <c r="J148" s="35">
        <f t="shared" si="6"/>
        <v>0</v>
      </c>
      <c r="K148" s="36">
        <f t="shared" si="7"/>
        <v>0</v>
      </c>
      <c r="L148" s="12"/>
      <c r="M148" s="206">
        <f t="shared" si="8"/>
        <v>0</v>
      </c>
    </row>
    <row r="149" spans="1:13" x14ac:dyDescent="0.4">
      <c r="A149" s="80"/>
      <c r="B149" s="16"/>
      <c r="C149" s="74"/>
      <c r="D149" s="33"/>
      <c r="E149" s="33"/>
      <c r="F149" s="91"/>
      <c r="G149" s="91"/>
      <c r="H149" s="241"/>
      <c r="I149" s="34"/>
      <c r="J149" s="35">
        <f t="shared" si="6"/>
        <v>0</v>
      </c>
      <c r="K149" s="36">
        <f t="shared" si="7"/>
        <v>0</v>
      </c>
      <c r="L149" s="12"/>
      <c r="M149" s="206">
        <f t="shared" si="8"/>
        <v>0</v>
      </c>
    </row>
    <row r="150" spans="1:13" x14ac:dyDescent="0.4">
      <c r="A150" s="80"/>
      <c r="B150" s="16"/>
      <c r="C150" s="74"/>
      <c r="D150" s="33"/>
      <c r="E150" s="33"/>
      <c r="F150" s="91"/>
      <c r="G150" s="91"/>
      <c r="H150" s="241"/>
      <c r="I150" s="34"/>
      <c r="J150" s="35">
        <f t="shared" si="6"/>
        <v>0</v>
      </c>
      <c r="K150" s="36">
        <f t="shared" si="7"/>
        <v>0</v>
      </c>
      <c r="L150" s="12"/>
      <c r="M150" s="206">
        <f t="shared" si="8"/>
        <v>0</v>
      </c>
    </row>
    <row r="151" spans="1:13" x14ac:dyDescent="0.4">
      <c r="A151" s="80"/>
      <c r="B151" s="16"/>
      <c r="C151" s="74"/>
      <c r="D151" s="33"/>
      <c r="E151" s="33"/>
      <c r="F151" s="91"/>
      <c r="G151" s="91"/>
      <c r="H151" s="241"/>
      <c r="I151" s="34"/>
      <c r="J151" s="35">
        <f t="shared" si="6"/>
        <v>0</v>
      </c>
      <c r="K151" s="36">
        <f t="shared" si="7"/>
        <v>0</v>
      </c>
      <c r="L151" s="12"/>
      <c r="M151" s="206">
        <f t="shared" si="8"/>
        <v>0</v>
      </c>
    </row>
    <row r="152" spans="1:13" x14ac:dyDescent="0.4">
      <c r="A152" s="80"/>
      <c r="B152" s="16"/>
      <c r="C152" s="74"/>
      <c r="D152" s="33"/>
      <c r="E152" s="33"/>
      <c r="F152" s="91"/>
      <c r="G152" s="91"/>
      <c r="H152" s="241"/>
      <c r="I152" s="34"/>
      <c r="J152" s="35">
        <f t="shared" si="6"/>
        <v>0</v>
      </c>
      <c r="K152" s="36">
        <f t="shared" si="7"/>
        <v>0</v>
      </c>
      <c r="L152" s="12"/>
      <c r="M152" s="206">
        <f t="shared" si="8"/>
        <v>0</v>
      </c>
    </row>
    <row r="153" spans="1:13" x14ac:dyDescent="0.4">
      <c r="A153" s="80"/>
      <c r="B153" s="16"/>
      <c r="C153" s="16"/>
      <c r="D153" s="33"/>
      <c r="E153" s="33"/>
      <c r="F153" s="91"/>
      <c r="G153" s="91"/>
      <c r="H153" s="241"/>
      <c r="I153" s="34"/>
      <c r="J153" s="35">
        <f t="shared" si="6"/>
        <v>0</v>
      </c>
      <c r="K153" s="36">
        <f t="shared" si="7"/>
        <v>0</v>
      </c>
      <c r="L153" s="12"/>
      <c r="M153" s="206">
        <f t="shared" si="8"/>
        <v>0</v>
      </c>
    </row>
    <row r="154" spans="1:13" x14ac:dyDescent="0.4">
      <c r="A154" s="80"/>
      <c r="B154" s="16"/>
      <c r="C154" s="16"/>
      <c r="D154" s="33"/>
      <c r="E154" s="33"/>
      <c r="F154" s="91"/>
      <c r="G154" s="91"/>
      <c r="H154" s="241"/>
      <c r="I154" s="34"/>
      <c r="J154" s="35">
        <f t="shared" si="6"/>
        <v>0</v>
      </c>
      <c r="K154" s="36">
        <f t="shared" si="7"/>
        <v>0</v>
      </c>
      <c r="L154" s="12"/>
      <c r="M154" s="206">
        <f t="shared" si="8"/>
        <v>0</v>
      </c>
    </row>
    <row r="155" spans="1:13" x14ac:dyDescent="0.4">
      <c r="A155" s="80"/>
      <c r="B155" s="16"/>
      <c r="C155" s="16"/>
      <c r="D155" s="33"/>
      <c r="E155" s="33"/>
      <c r="F155" s="91"/>
      <c r="G155" s="91"/>
      <c r="H155" s="241"/>
      <c r="I155" s="34"/>
      <c r="J155" s="35">
        <f t="shared" si="6"/>
        <v>0</v>
      </c>
      <c r="K155" s="36">
        <f t="shared" si="7"/>
        <v>0</v>
      </c>
      <c r="L155" s="12"/>
      <c r="M155" s="206">
        <f t="shared" si="8"/>
        <v>0</v>
      </c>
    </row>
    <row r="156" spans="1:13" x14ac:dyDescent="0.4">
      <c r="A156" s="32"/>
      <c r="B156" s="16"/>
      <c r="C156" s="16"/>
      <c r="D156" s="33"/>
      <c r="E156" s="33"/>
      <c r="F156" s="91"/>
      <c r="G156" s="91"/>
      <c r="H156" s="241"/>
      <c r="I156" s="34"/>
      <c r="J156" s="35">
        <f t="shared" si="6"/>
        <v>0</v>
      </c>
      <c r="K156" s="36">
        <f t="shared" si="7"/>
        <v>0</v>
      </c>
      <c r="L156" s="12"/>
      <c r="M156" s="206">
        <f t="shared" si="8"/>
        <v>0</v>
      </c>
    </row>
    <row r="157" spans="1:13" x14ac:dyDescent="0.4">
      <c r="A157" s="32"/>
      <c r="B157" s="16"/>
      <c r="C157" s="16"/>
      <c r="D157" s="33"/>
      <c r="E157" s="33"/>
      <c r="F157" s="91"/>
      <c r="G157" s="91"/>
      <c r="H157" s="241"/>
      <c r="I157" s="34"/>
      <c r="J157" s="35">
        <f t="shared" si="6"/>
        <v>0</v>
      </c>
      <c r="K157" s="36">
        <f t="shared" si="7"/>
        <v>0</v>
      </c>
      <c r="L157" s="12"/>
      <c r="M157" s="206">
        <f t="shared" si="8"/>
        <v>0</v>
      </c>
    </row>
    <row r="158" spans="1:13" x14ac:dyDescent="0.4">
      <c r="A158" s="32"/>
      <c r="B158" s="16"/>
      <c r="C158" s="74"/>
      <c r="D158" s="33"/>
      <c r="E158" s="33"/>
      <c r="F158" s="91"/>
      <c r="G158" s="91"/>
      <c r="H158" s="241"/>
      <c r="I158" s="34"/>
      <c r="J158" s="35">
        <f t="shared" si="6"/>
        <v>0</v>
      </c>
      <c r="K158" s="36">
        <f t="shared" si="7"/>
        <v>0</v>
      </c>
      <c r="L158" s="12"/>
      <c r="M158" s="206">
        <f t="shared" si="8"/>
        <v>0</v>
      </c>
    </row>
    <row r="159" spans="1:13" x14ac:dyDescent="0.4">
      <c r="A159" s="32"/>
      <c r="B159" s="16"/>
      <c r="C159" s="74"/>
      <c r="D159" s="33"/>
      <c r="E159" s="33"/>
      <c r="F159" s="91"/>
      <c r="G159" s="91"/>
      <c r="H159" s="241"/>
      <c r="I159" s="34"/>
      <c r="J159" s="35">
        <f t="shared" si="6"/>
        <v>0</v>
      </c>
      <c r="K159" s="36">
        <f t="shared" si="7"/>
        <v>0</v>
      </c>
      <c r="L159" s="12"/>
      <c r="M159" s="206">
        <f t="shared" si="8"/>
        <v>0</v>
      </c>
    </row>
    <row r="160" spans="1:13" x14ac:dyDescent="0.4">
      <c r="A160" s="32"/>
      <c r="B160" s="16"/>
      <c r="C160" s="16"/>
      <c r="D160" s="33"/>
      <c r="E160" s="33"/>
      <c r="F160" s="91"/>
      <c r="G160" s="91"/>
      <c r="H160" s="241"/>
      <c r="I160" s="34"/>
      <c r="J160" s="35">
        <f t="shared" si="6"/>
        <v>0</v>
      </c>
      <c r="K160" s="36">
        <f t="shared" si="7"/>
        <v>0</v>
      </c>
      <c r="L160" s="12"/>
      <c r="M160" s="206">
        <f t="shared" si="8"/>
        <v>0</v>
      </c>
    </row>
    <row r="161" spans="1:13" x14ac:dyDescent="0.4">
      <c r="A161" s="32"/>
      <c r="B161" s="16"/>
      <c r="C161" s="16"/>
      <c r="D161" s="33"/>
      <c r="E161" s="33"/>
      <c r="F161" s="91"/>
      <c r="G161" s="91"/>
      <c r="H161" s="241"/>
      <c r="I161" s="34"/>
      <c r="J161" s="35">
        <f t="shared" si="6"/>
        <v>0</v>
      </c>
      <c r="K161" s="36">
        <f t="shared" si="7"/>
        <v>0</v>
      </c>
      <c r="L161" s="12"/>
      <c r="M161" s="206">
        <f t="shared" si="8"/>
        <v>0</v>
      </c>
    </row>
    <row r="162" spans="1:13" x14ac:dyDescent="0.4">
      <c r="A162" s="80"/>
      <c r="B162" s="16"/>
      <c r="C162" s="16"/>
      <c r="D162" s="33"/>
      <c r="E162" s="33"/>
      <c r="F162" s="91"/>
      <c r="G162" s="91"/>
      <c r="H162" s="241"/>
      <c r="I162" s="34"/>
      <c r="J162" s="35">
        <f t="shared" si="6"/>
        <v>0</v>
      </c>
      <c r="K162" s="36">
        <f t="shared" si="7"/>
        <v>0</v>
      </c>
      <c r="L162" s="12"/>
      <c r="M162" s="206">
        <f t="shared" si="8"/>
        <v>0</v>
      </c>
    </row>
    <row r="163" spans="1:13" x14ac:dyDescent="0.4">
      <c r="A163" s="80"/>
      <c r="B163" s="16"/>
      <c r="C163" s="16"/>
      <c r="D163" s="33"/>
      <c r="E163" s="33"/>
      <c r="F163" s="91"/>
      <c r="G163" s="91"/>
      <c r="H163" s="241"/>
      <c r="I163" s="34"/>
      <c r="J163" s="35">
        <f t="shared" si="6"/>
        <v>0</v>
      </c>
      <c r="K163" s="36">
        <f t="shared" si="7"/>
        <v>0</v>
      </c>
      <c r="L163" s="12"/>
      <c r="M163" s="206">
        <f t="shared" si="8"/>
        <v>0</v>
      </c>
    </row>
    <row r="164" spans="1:13" x14ac:dyDescent="0.4">
      <c r="A164" s="80"/>
      <c r="B164" s="16"/>
      <c r="C164" s="16"/>
      <c r="D164" s="33"/>
      <c r="E164" s="33"/>
      <c r="F164" s="91"/>
      <c r="G164" s="91"/>
      <c r="H164" s="241"/>
      <c r="I164" s="34"/>
      <c r="J164" s="35">
        <f t="shared" si="6"/>
        <v>0</v>
      </c>
      <c r="K164" s="36">
        <f t="shared" si="7"/>
        <v>0</v>
      </c>
      <c r="L164" s="12"/>
      <c r="M164" s="206">
        <f t="shared" si="8"/>
        <v>0</v>
      </c>
    </row>
    <row r="165" spans="1:13" x14ac:dyDescent="0.4">
      <c r="A165" s="32"/>
      <c r="B165" s="16"/>
      <c r="C165" s="16"/>
      <c r="D165" s="33"/>
      <c r="E165" s="33"/>
      <c r="F165" s="91"/>
      <c r="G165" s="91"/>
      <c r="H165" s="241"/>
      <c r="I165" s="34"/>
      <c r="J165" s="35">
        <f t="shared" si="6"/>
        <v>0</v>
      </c>
      <c r="K165" s="36">
        <f t="shared" si="7"/>
        <v>0</v>
      </c>
      <c r="L165" s="12"/>
      <c r="M165" s="206">
        <f t="shared" si="8"/>
        <v>0</v>
      </c>
    </row>
    <row r="166" spans="1:13" x14ac:dyDescent="0.4">
      <c r="A166" s="32"/>
      <c r="B166" s="16"/>
      <c r="C166" s="16"/>
      <c r="D166" s="33"/>
      <c r="E166" s="33"/>
      <c r="F166" s="91"/>
      <c r="G166" s="91"/>
      <c r="H166" s="241"/>
      <c r="I166" s="34"/>
      <c r="J166" s="35">
        <f t="shared" si="6"/>
        <v>0</v>
      </c>
      <c r="K166" s="36">
        <f t="shared" si="7"/>
        <v>0</v>
      </c>
      <c r="L166" s="12"/>
      <c r="M166" s="206">
        <f t="shared" si="8"/>
        <v>0</v>
      </c>
    </row>
    <row r="167" spans="1:13" x14ac:dyDescent="0.4">
      <c r="A167" s="32"/>
      <c r="B167" s="16"/>
      <c r="C167" s="74"/>
      <c r="D167" s="33"/>
      <c r="E167" s="33"/>
      <c r="F167" s="91"/>
      <c r="G167" s="91"/>
      <c r="H167" s="241"/>
      <c r="I167" s="34"/>
      <c r="J167" s="35">
        <f t="shared" si="6"/>
        <v>0</v>
      </c>
      <c r="K167" s="36">
        <f t="shared" si="7"/>
        <v>0</v>
      </c>
      <c r="L167" s="12"/>
      <c r="M167" s="206">
        <f t="shared" si="8"/>
        <v>0</v>
      </c>
    </row>
    <row r="168" spans="1:13" x14ac:dyDescent="0.4">
      <c r="A168" s="32"/>
      <c r="B168" s="16"/>
      <c r="C168" s="74"/>
      <c r="D168" s="33"/>
      <c r="E168" s="33"/>
      <c r="F168" s="91"/>
      <c r="G168" s="91"/>
      <c r="H168" s="241"/>
      <c r="I168" s="34"/>
      <c r="J168" s="35">
        <f t="shared" si="6"/>
        <v>0</v>
      </c>
      <c r="K168" s="36">
        <f t="shared" si="7"/>
        <v>0</v>
      </c>
      <c r="L168" s="12"/>
      <c r="M168" s="206">
        <f t="shared" si="8"/>
        <v>0</v>
      </c>
    </row>
    <row r="169" spans="1:13" x14ac:dyDescent="0.4">
      <c r="A169" s="32"/>
      <c r="B169" s="16"/>
      <c r="C169" s="16"/>
      <c r="D169" s="33"/>
      <c r="E169" s="33"/>
      <c r="F169" s="91"/>
      <c r="G169" s="91"/>
      <c r="H169" s="241"/>
      <c r="I169" s="34"/>
      <c r="J169" s="35">
        <f t="shared" si="6"/>
        <v>0</v>
      </c>
      <c r="K169" s="36">
        <f t="shared" si="7"/>
        <v>0</v>
      </c>
      <c r="L169" s="12"/>
      <c r="M169" s="206">
        <f t="shared" si="8"/>
        <v>0</v>
      </c>
    </row>
    <row r="170" spans="1:13" x14ac:dyDescent="0.4">
      <c r="A170" s="32"/>
      <c r="B170" s="16"/>
      <c r="C170" s="16"/>
      <c r="D170" s="33"/>
      <c r="E170" s="33"/>
      <c r="F170" s="91"/>
      <c r="G170" s="91"/>
      <c r="H170" s="241"/>
      <c r="I170" s="34"/>
      <c r="J170" s="35">
        <f t="shared" si="6"/>
        <v>0</v>
      </c>
      <c r="K170" s="36">
        <f t="shared" si="7"/>
        <v>0</v>
      </c>
      <c r="L170" s="12"/>
      <c r="M170" s="206">
        <f t="shared" si="8"/>
        <v>0</v>
      </c>
    </row>
    <row r="171" spans="1:13" x14ac:dyDescent="0.4">
      <c r="A171" s="75"/>
      <c r="B171" s="76"/>
      <c r="C171" s="76"/>
      <c r="D171" s="77"/>
      <c r="E171" s="77"/>
      <c r="F171" s="92"/>
      <c r="G171" s="92"/>
      <c r="H171" s="242"/>
      <c r="I171" s="78"/>
      <c r="J171" s="35">
        <f t="shared" si="6"/>
        <v>0</v>
      </c>
      <c r="K171" s="36">
        <f t="shared" si="7"/>
        <v>0</v>
      </c>
      <c r="L171" s="12"/>
      <c r="M171" s="206">
        <f t="shared" si="8"/>
        <v>0</v>
      </c>
    </row>
    <row r="172" spans="1:13" x14ac:dyDescent="0.4">
      <c r="A172" s="73"/>
      <c r="B172" s="31"/>
      <c r="C172" s="31"/>
      <c r="D172" s="39"/>
      <c r="E172" s="39"/>
      <c r="F172" s="90"/>
      <c r="G172" s="90"/>
      <c r="H172" s="243"/>
      <c r="I172" s="40"/>
      <c r="J172" s="35">
        <f t="shared" si="6"/>
        <v>0</v>
      </c>
      <c r="K172" s="36">
        <f t="shared" si="7"/>
        <v>0</v>
      </c>
      <c r="L172" s="12"/>
      <c r="M172" s="206">
        <f t="shared" si="8"/>
        <v>0</v>
      </c>
    </row>
    <row r="173" spans="1:13" x14ac:dyDescent="0.4">
      <c r="A173" s="32"/>
      <c r="B173" s="16"/>
      <c r="C173" s="16"/>
      <c r="D173" s="33"/>
      <c r="E173" s="33"/>
      <c r="F173" s="91"/>
      <c r="G173" s="91"/>
      <c r="H173" s="241"/>
      <c r="I173" s="34"/>
      <c r="J173" s="35">
        <f t="shared" si="6"/>
        <v>0</v>
      </c>
      <c r="K173" s="36">
        <f t="shared" si="7"/>
        <v>0</v>
      </c>
      <c r="L173" s="12"/>
      <c r="M173" s="206">
        <f t="shared" si="8"/>
        <v>0</v>
      </c>
    </row>
    <row r="174" spans="1:13" x14ac:dyDescent="0.4">
      <c r="A174" s="32"/>
      <c r="B174" s="16"/>
      <c r="C174" s="16"/>
      <c r="D174" s="33"/>
      <c r="E174" s="33"/>
      <c r="F174" s="91"/>
      <c r="G174" s="91"/>
      <c r="H174" s="241"/>
      <c r="I174" s="34"/>
      <c r="J174" s="35">
        <f t="shared" si="6"/>
        <v>0</v>
      </c>
      <c r="K174" s="36">
        <f t="shared" si="7"/>
        <v>0</v>
      </c>
      <c r="L174" s="12"/>
      <c r="M174" s="206">
        <f t="shared" si="8"/>
        <v>0</v>
      </c>
    </row>
    <row r="175" spans="1:13" x14ac:dyDescent="0.4">
      <c r="A175" s="32"/>
      <c r="B175" s="16"/>
      <c r="C175" s="16"/>
      <c r="D175" s="33"/>
      <c r="E175" s="33"/>
      <c r="F175" s="91"/>
      <c r="G175" s="91"/>
      <c r="H175" s="241"/>
      <c r="I175" s="34"/>
      <c r="J175" s="35">
        <f t="shared" si="6"/>
        <v>0</v>
      </c>
      <c r="K175" s="36">
        <f t="shared" si="7"/>
        <v>0</v>
      </c>
      <c r="L175" s="12"/>
      <c r="M175" s="206">
        <f t="shared" si="8"/>
        <v>0</v>
      </c>
    </row>
    <row r="176" spans="1:13" x14ac:dyDescent="0.4">
      <c r="A176" s="32"/>
      <c r="B176" s="16"/>
      <c r="C176" s="16"/>
      <c r="D176" s="33"/>
      <c r="E176" s="33"/>
      <c r="F176" s="91"/>
      <c r="G176" s="91"/>
      <c r="H176" s="241"/>
      <c r="I176" s="34"/>
      <c r="J176" s="35">
        <f t="shared" si="6"/>
        <v>0</v>
      </c>
      <c r="K176" s="36">
        <f t="shared" si="7"/>
        <v>0</v>
      </c>
      <c r="L176" s="12"/>
      <c r="M176" s="206">
        <f t="shared" si="8"/>
        <v>0</v>
      </c>
    </row>
    <row r="177" spans="1:15" x14ac:dyDescent="0.4">
      <c r="A177" s="32"/>
      <c r="B177" s="16"/>
      <c r="C177" s="16"/>
      <c r="D177" s="33"/>
      <c r="E177" s="33"/>
      <c r="F177" s="91"/>
      <c r="G177" s="91"/>
      <c r="H177" s="241"/>
      <c r="I177" s="34"/>
      <c r="J177" s="35">
        <f t="shared" si="6"/>
        <v>0</v>
      </c>
      <c r="K177" s="36">
        <f t="shared" si="7"/>
        <v>0</v>
      </c>
      <c r="L177" s="12"/>
      <c r="M177" s="206">
        <f t="shared" si="8"/>
        <v>0</v>
      </c>
    </row>
    <row r="178" spans="1:15" x14ac:dyDescent="0.4">
      <c r="A178" s="146"/>
      <c r="B178" s="97"/>
      <c r="C178" s="97"/>
      <c r="D178" s="98"/>
      <c r="E178" s="98"/>
      <c r="F178" s="213"/>
      <c r="G178" s="213"/>
      <c r="H178" s="244"/>
      <c r="I178" s="99"/>
      <c r="J178" s="96">
        <f t="shared" si="6"/>
        <v>0</v>
      </c>
      <c r="K178" s="36">
        <f t="shared" si="7"/>
        <v>0</v>
      </c>
      <c r="L178" s="12"/>
      <c r="M178" s="206">
        <f t="shared" si="8"/>
        <v>0</v>
      </c>
    </row>
    <row r="179" spans="1:15" ht="15.4" thickBot="1" x14ac:dyDescent="0.45">
      <c r="A179" s="147"/>
      <c r="B179" s="148"/>
      <c r="C179" s="148"/>
      <c r="D179" s="149"/>
      <c r="E179" s="149"/>
      <c r="F179" s="214"/>
      <c r="G179" s="214"/>
      <c r="H179" s="245"/>
      <c r="I179" s="211"/>
      <c r="J179" s="195">
        <f t="shared" si="6"/>
        <v>0</v>
      </c>
      <c r="K179" s="38">
        <f t="shared" si="7"/>
        <v>0</v>
      </c>
      <c r="L179" s="12"/>
      <c r="M179" s="206">
        <f t="shared" si="8"/>
        <v>0</v>
      </c>
    </row>
    <row r="180" spans="1:15" x14ac:dyDescent="0.4">
      <c r="A180" s="190"/>
      <c r="B180" s="191"/>
      <c r="C180" s="192"/>
      <c r="D180" s="193"/>
      <c r="E180" s="194"/>
      <c r="F180" s="212"/>
      <c r="G180" s="212"/>
      <c r="H180" s="240"/>
      <c r="I180" s="145"/>
      <c r="J180" s="49">
        <f t="shared" si="6"/>
        <v>0</v>
      </c>
      <c r="K180" s="50">
        <f t="shared" si="7"/>
        <v>0</v>
      </c>
      <c r="L180" s="12"/>
      <c r="M180" s="206">
        <f t="shared" si="8"/>
        <v>0</v>
      </c>
    </row>
    <row r="181" spans="1:15" x14ac:dyDescent="0.4">
      <c r="A181" s="82"/>
      <c r="B181" s="16"/>
      <c r="C181" s="97"/>
      <c r="D181" s="104"/>
      <c r="E181" s="33"/>
      <c r="F181" s="91"/>
      <c r="G181" s="91"/>
      <c r="H181" s="241"/>
      <c r="I181" s="34"/>
      <c r="J181" s="35">
        <f t="shared" si="6"/>
        <v>0</v>
      </c>
      <c r="K181" s="36">
        <f t="shared" si="7"/>
        <v>0</v>
      </c>
      <c r="L181" s="12"/>
      <c r="M181" s="206">
        <f t="shared" si="8"/>
        <v>0</v>
      </c>
    </row>
    <row r="182" spans="1:15" x14ac:dyDescent="0.4">
      <c r="A182" s="82"/>
      <c r="B182" s="16"/>
      <c r="C182" s="97"/>
      <c r="D182" s="104"/>
      <c r="E182" s="33"/>
      <c r="F182" s="91"/>
      <c r="G182" s="91"/>
      <c r="H182" s="241"/>
      <c r="I182" s="34"/>
      <c r="J182" s="35">
        <f t="shared" si="6"/>
        <v>0</v>
      </c>
      <c r="K182" s="36">
        <f t="shared" si="7"/>
        <v>0</v>
      </c>
      <c r="L182" s="12"/>
      <c r="M182" s="206">
        <f t="shared" si="8"/>
        <v>0</v>
      </c>
      <c r="O182" s="163"/>
    </row>
    <row r="183" spans="1:15" x14ac:dyDescent="0.4">
      <c r="A183" s="82"/>
      <c r="B183" s="16"/>
      <c r="C183" s="97"/>
      <c r="D183" s="104"/>
      <c r="E183" s="33"/>
      <c r="F183" s="91"/>
      <c r="G183" s="91"/>
      <c r="H183" s="241"/>
      <c r="I183" s="34"/>
      <c r="J183" s="35">
        <f t="shared" si="6"/>
        <v>0</v>
      </c>
      <c r="K183" s="36">
        <f t="shared" si="7"/>
        <v>0</v>
      </c>
      <c r="L183" s="12"/>
      <c r="M183" s="206">
        <f t="shared" si="8"/>
        <v>0</v>
      </c>
    </row>
    <row r="184" spans="1:15" x14ac:dyDescent="0.4">
      <c r="A184" s="82"/>
      <c r="B184" s="16"/>
      <c r="C184" s="97"/>
      <c r="D184" s="104"/>
      <c r="E184" s="33"/>
      <c r="F184" s="91"/>
      <c r="G184" s="91"/>
      <c r="H184" s="241"/>
      <c r="I184" s="34"/>
      <c r="J184" s="35">
        <f t="shared" si="6"/>
        <v>0</v>
      </c>
      <c r="K184" s="36">
        <f t="shared" si="7"/>
        <v>0</v>
      </c>
      <c r="L184" s="12"/>
      <c r="M184" s="206">
        <f t="shared" si="8"/>
        <v>0</v>
      </c>
    </row>
    <row r="185" spans="1:15" x14ac:dyDescent="0.4">
      <c r="A185" s="82"/>
      <c r="B185" s="16"/>
      <c r="C185" s="97"/>
      <c r="D185" s="104"/>
      <c r="E185" s="33"/>
      <c r="F185" s="91"/>
      <c r="G185" s="91"/>
      <c r="H185" s="241"/>
      <c r="I185" s="34"/>
      <c r="J185" s="35">
        <f t="shared" si="6"/>
        <v>0</v>
      </c>
      <c r="K185" s="36">
        <f t="shared" si="7"/>
        <v>0</v>
      </c>
      <c r="L185" s="12"/>
      <c r="M185" s="206">
        <f t="shared" si="8"/>
        <v>0</v>
      </c>
    </row>
    <row r="186" spans="1:15" x14ac:dyDescent="0.4">
      <c r="A186" s="80"/>
      <c r="B186" s="16"/>
      <c r="C186" s="97"/>
      <c r="D186" s="104"/>
      <c r="E186" s="33"/>
      <c r="F186" s="91"/>
      <c r="G186" s="91"/>
      <c r="H186" s="241"/>
      <c r="I186" s="34"/>
      <c r="J186" s="35">
        <f t="shared" si="6"/>
        <v>0</v>
      </c>
      <c r="K186" s="36">
        <f t="shared" si="7"/>
        <v>0</v>
      </c>
      <c r="L186" s="12"/>
      <c r="M186" s="206">
        <f t="shared" si="8"/>
        <v>0</v>
      </c>
      <c r="O186" s="162"/>
    </row>
    <row r="187" spans="1:15" x14ac:dyDescent="0.4">
      <c r="A187" s="80"/>
      <c r="B187" s="16"/>
      <c r="C187" s="97"/>
      <c r="D187" s="33"/>
      <c r="E187" s="33"/>
      <c r="F187" s="91"/>
      <c r="G187" s="91"/>
      <c r="H187" s="241"/>
      <c r="I187" s="34"/>
      <c r="J187" s="35">
        <f t="shared" si="6"/>
        <v>0</v>
      </c>
      <c r="K187" s="36">
        <f t="shared" si="7"/>
        <v>0</v>
      </c>
      <c r="L187" s="12"/>
      <c r="M187" s="206">
        <f t="shared" si="8"/>
        <v>0</v>
      </c>
    </row>
    <row r="188" spans="1:15" x14ac:dyDescent="0.4">
      <c r="A188" s="82"/>
      <c r="B188" s="16"/>
      <c r="C188" s="97"/>
      <c r="D188" s="104"/>
      <c r="E188" s="33"/>
      <c r="F188" s="91"/>
      <c r="G188" s="91"/>
      <c r="H188" s="241"/>
      <c r="I188" s="34"/>
      <c r="J188" s="35">
        <f t="shared" si="6"/>
        <v>0</v>
      </c>
      <c r="K188" s="36">
        <f t="shared" si="7"/>
        <v>0</v>
      </c>
      <c r="L188" s="12"/>
      <c r="M188" s="206">
        <f t="shared" si="8"/>
        <v>0</v>
      </c>
    </row>
    <row r="189" spans="1:15" x14ac:dyDescent="0.4">
      <c r="A189" s="82"/>
      <c r="B189" s="16"/>
      <c r="C189" s="97"/>
      <c r="D189" s="104"/>
      <c r="E189" s="33"/>
      <c r="F189" s="91"/>
      <c r="G189" s="91"/>
      <c r="H189" s="241"/>
      <c r="I189" s="34"/>
      <c r="J189" s="35">
        <f t="shared" si="6"/>
        <v>0</v>
      </c>
      <c r="K189" s="36">
        <f t="shared" si="7"/>
        <v>0</v>
      </c>
      <c r="L189" s="12"/>
      <c r="M189" s="206">
        <f t="shared" si="8"/>
        <v>0</v>
      </c>
    </row>
    <row r="190" spans="1:15" x14ac:dyDescent="0.4">
      <c r="A190" s="80"/>
      <c r="B190" s="16"/>
      <c r="C190" s="97"/>
      <c r="D190" s="104"/>
      <c r="E190" s="33"/>
      <c r="F190" s="91"/>
      <c r="G190" s="91"/>
      <c r="H190" s="241"/>
      <c r="I190" s="34"/>
      <c r="J190" s="35">
        <f t="shared" si="6"/>
        <v>0</v>
      </c>
      <c r="K190" s="36">
        <f t="shared" si="7"/>
        <v>0</v>
      </c>
      <c r="L190" s="12"/>
      <c r="M190" s="206">
        <f t="shared" si="8"/>
        <v>0</v>
      </c>
    </row>
    <row r="191" spans="1:15" x14ac:dyDescent="0.4">
      <c r="A191" s="80"/>
      <c r="B191" s="16"/>
      <c r="C191" s="16"/>
      <c r="D191" s="33"/>
      <c r="E191" s="33"/>
      <c r="F191" s="91"/>
      <c r="G191" s="91"/>
      <c r="H191" s="241"/>
      <c r="I191" s="34"/>
      <c r="J191" s="35">
        <f t="shared" si="6"/>
        <v>0</v>
      </c>
      <c r="K191" s="36">
        <f t="shared" si="7"/>
        <v>0</v>
      </c>
      <c r="L191" s="12"/>
      <c r="M191" s="206">
        <f t="shared" si="8"/>
        <v>0</v>
      </c>
      <c r="N191" s="161"/>
    </row>
    <row r="192" spans="1:15" x14ac:dyDescent="0.4">
      <c r="A192" s="80"/>
      <c r="B192" s="16"/>
      <c r="C192" s="97"/>
      <c r="D192" s="33"/>
      <c r="E192" s="33"/>
      <c r="F192" s="91"/>
      <c r="G192" s="91"/>
      <c r="H192" s="241"/>
      <c r="I192" s="34"/>
      <c r="J192" s="35">
        <f t="shared" si="6"/>
        <v>0</v>
      </c>
      <c r="K192" s="36">
        <f t="shared" si="7"/>
        <v>0</v>
      </c>
      <c r="L192" s="12"/>
      <c r="M192" s="206">
        <f t="shared" si="8"/>
        <v>0</v>
      </c>
      <c r="N192" s="161"/>
    </row>
    <row r="193" spans="1:14" x14ac:dyDescent="0.4">
      <c r="A193" s="82"/>
      <c r="B193" s="16"/>
      <c r="C193" s="97"/>
      <c r="D193" s="104"/>
      <c r="E193" s="33"/>
      <c r="F193" s="91"/>
      <c r="G193" s="91"/>
      <c r="H193" s="241"/>
      <c r="I193" s="34"/>
      <c r="J193" s="35">
        <f t="shared" si="6"/>
        <v>0</v>
      </c>
      <c r="K193" s="36">
        <f t="shared" si="7"/>
        <v>0</v>
      </c>
      <c r="L193" s="12"/>
      <c r="M193" s="206">
        <f t="shared" si="8"/>
        <v>0</v>
      </c>
      <c r="N193" s="161"/>
    </row>
    <row r="194" spans="1:14" x14ac:dyDescent="0.4">
      <c r="A194" s="80"/>
      <c r="B194" s="16"/>
      <c r="C194" s="97"/>
      <c r="D194" s="104"/>
      <c r="E194" s="33"/>
      <c r="F194" s="91"/>
      <c r="G194" s="91"/>
      <c r="H194" s="241"/>
      <c r="I194" s="34"/>
      <c r="J194" s="35">
        <f t="shared" si="6"/>
        <v>0</v>
      </c>
      <c r="K194" s="36">
        <f t="shared" si="7"/>
        <v>0</v>
      </c>
      <c r="L194" s="12"/>
      <c r="M194" s="206">
        <f t="shared" si="8"/>
        <v>0</v>
      </c>
      <c r="N194" s="161"/>
    </row>
    <row r="195" spans="1:14" x14ac:dyDescent="0.4">
      <c r="A195" s="80"/>
      <c r="B195" s="16"/>
      <c r="C195" s="97"/>
      <c r="D195" s="104"/>
      <c r="E195" s="33"/>
      <c r="F195" s="91"/>
      <c r="G195" s="91"/>
      <c r="H195" s="241"/>
      <c r="I195" s="34"/>
      <c r="J195" s="35">
        <f t="shared" si="6"/>
        <v>0</v>
      </c>
      <c r="K195" s="36">
        <f t="shared" si="7"/>
        <v>0</v>
      </c>
      <c r="L195" s="12"/>
      <c r="M195" s="206">
        <f t="shared" si="8"/>
        <v>0</v>
      </c>
      <c r="N195" s="161"/>
    </row>
    <row r="196" spans="1:14" x14ac:dyDescent="0.4">
      <c r="A196" s="80"/>
      <c r="B196" s="16"/>
      <c r="C196" s="97"/>
      <c r="D196" s="33"/>
      <c r="E196" s="33"/>
      <c r="F196" s="91"/>
      <c r="G196" s="91"/>
      <c r="H196" s="241"/>
      <c r="I196" s="34"/>
      <c r="J196" s="35">
        <f t="shared" si="6"/>
        <v>0</v>
      </c>
      <c r="K196" s="36">
        <f t="shared" si="7"/>
        <v>0</v>
      </c>
      <c r="L196" s="12"/>
      <c r="M196" s="206">
        <f t="shared" si="8"/>
        <v>0</v>
      </c>
      <c r="N196" s="161"/>
    </row>
    <row r="197" spans="1:14" x14ac:dyDescent="0.4">
      <c r="A197" s="80"/>
      <c r="B197" s="16"/>
      <c r="C197" s="97"/>
      <c r="D197" s="33"/>
      <c r="E197" s="33"/>
      <c r="F197" s="91"/>
      <c r="G197" s="91"/>
      <c r="H197" s="241"/>
      <c r="I197" s="34"/>
      <c r="J197" s="35">
        <f t="shared" si="6"/>
        <v>0</v>
      </c>
      <c r="K197" s="36">
        <f t="shared" si="7"/>
        <v>0</v>
      </c>
      <c r="L197" s="12"/>
      <c r="M197" s="206">
        <f t="shared" si="8"/>
        <v>0</v>
      </c>
    </row>
    <row r="198" spans="1:14" x14ac:dyDescent="0.4">
      <c r="A198" s="80"/>
      <c r="B198" s="16"/>
      <c r="C198" s="97"/>
      <c r="D198" s="33"/>
      <c r="E198" s="33"/>
      <c r="F198" s="91"/>
      <c r="G198" s="91"/>
      <c r="H198" s="241"/>
      <c r="I198" s="34"/>
      <c r="J198" s="35">
        <f t="shared" ref="J198:J229" si="9">IF(F198="TLX",ROUND(M198/32*H198,2),ROUND(M198*H198,2))</f>
        <v>0</v>
      </c>
      <c r="K198" s="36">
        <f t="shared" ref="K198:K229" si="10">SUM(I198+J198)</f>
        <v>0</v>
      </c>
      <c r="L198" s="12"/>
      <c r="M198" s="206">
        <f t="shared" ref="M198:M232" si="11">ROUND(D198+E198/60,2)</f>
        <v>0</v>
      </c>
    </row>
    <row r="199" spans="1:14" x14ac:dyDescent="0.4">
      <c r="A199" s="80"/>
      <c r="B199" s="16"/>
      <c r="C199" s="97"/>
      <c r="D199" s="33"/>
      <c r="E199" s="33"/>
      <c r="F199" s="91"/>
      <c r="G199" s="91"/>
      <c r="H199" s="241"/>
      <c r="I199" s="34"/>
      <c r="J199" s="35">
        <f t="shared" si="9"/>
        <v>0</v>
      </c>
      <c r="K199" s="36">
        <f t="shared" si="10"/>
        <v>0</v>
      </c>
      <c r="L199" s="12"/>
      <c r="M199" s="206">
        <f t="shared" si="11"/>
        <v>0</v>
      </c>
    </row>
    <row r="200" spans="1:14" x14ac:dyDescent="0.4">
      <c r="A200" s="80"/>
      <c r="B200" s="16"/>
      <c r="C200" s="97"/>
      <c r="D200" s="33"/>
      <c r="E200" s="33"/>
      <c r="F200" s="91"/>
      <c r="G200" s="91"/>
      <c r="H200" s="241"/>
      <c r="I200" s="34"/>
      <c r="J200" s="35">
        <f t="shared" si="9"/>
        <v>0</v>
      </c>
      <c r="K200" s="36">
        <f t="shared" si="10"/>
        <v>0</v>
      </c>
      <c r="L200" s="12"/>
      <c r="M200" s="206">
        <f t="shared" si="11"/>
        <v>0</v>
      </c>
    </row>
    <row r="201" spans="1:14" x14ac:dyDescent="0.4">
      <c r="A201" s="80"/>
      <c r="B201" s="16"/>
      <c r="C201" s="97"/>
      <c r="D201" s="33"/>
      <c r="E201" s="33"/>
      <c r="F201" s="91"/>
      <c r="G201" s="91"/>
      <c r="H201" s="241"/>
      <c r="I201" s="34"/>
      <c r="J201" s="35">
        <f t="shared" si="9"/>
        <v>0</v>
      </c>
      <c r="K201" s="36">
        <f t="shared" si="10"/>
        <v>0</v>
      </c>
      <c r="L201" s="12"/>
      <c r="M201" s="206">
        <f t="shared" si="11"/>
        <v>0</v>
      </c>
    </row>
    <row r="202" spans="1:14" x14ac:dyDescent="0.4">
      <c r="A202" s="80"/>
      <c r="B202" s="16"/>
      <c r="C202" s="97"/>
      <c r="D202" s="33"/>
      <c r="E202" s="33"/>
      <c r="F202" s="91"/>
      <c r="G202" s="91"/>
      <c r="H202" s="241"/>
      <c r="I202" s="34"/>
      <c r="J202" s="35">
        <f t="shared" si="9"/>
        <v>0</v>
      </c>
      <c r="K202" s="36">
        <f t="shared" si="10"/>
        <v>0</v>
      </c>
      <c r="L202" s="12"/>
      <c r="M202" s="206">
        <f t="shared" si="11"/>
        <v>0</v>
      </c>
    </row>
    <row r="203" spans="1:14" x14ac:dyDescent="0.4">
      <c r="A203" s="80"/>
      <c r="B203" s="16"/>
      <c r="C203" s="74"/>
      <c r="D203" s="33"/>
      <c r="E203" s="33"/>
      <c r="F203" s="91"/>
      <c r="G203" s="91"/>
      <c r="H203" s="241"/>
      <c r="I203" s="15"/>
      <c r="J203" s="35">
        <f t="shared" si="9"/>
        <v>0</v>
      </c>
      <c r="K203" s="36">
        <f t="shared" si="10"/>
        <v>0</v>
      </c>
      <c r="L203" s="12"/>
      <c r="M203" s="206">
        <f t="shared" si="11"/>
        <v>0</v>
      </c>
    </row>
    <row r="204" spans="1:14" x14ac:dyDescent="0.4">
      <c r="A204" s="80"/>
      <c r="B204" s="16"/>
      <c r="C204" s="74"/>
      <c r="D204" s="33"/>
      <c r="E204" s="33"/>
      <c r="F204" s="91"/>
      <c r="G204" s="91"/>
      <c r="H204" s="241"/>
      <c r="I204" s="15"/>
      <c r="J204" s="35">
        <f t="shared" si="9"/>
        <v>0</v>
      </c>
      <c r="K204" s="36">
        <f t="shared" si="10"/>
        <v>0</v>
      </c>
      <c r="L204" s="12"/>
      <c r="M204" s="206">
        <f t="shared" si="11"/>
        <v>0</v>
      </c>
    </row>
    <row r="205" spans="1:14" x14ac:dyDescent="0.4">
      <c r="A205" s="80"/>
      <c r="B205" s="16"/>
      <c r="C205" s="74"/>
      <c r="D205" s="33"/>
      <c r="E205" s="33"/>
      <c r="F205" s="91"/>
      <c r="G205" s="91"/>
      <c r="H205" s="241"/>
      <c r="I205" s="34"/>
      <c r="J205" s="35">
        <f t="shared" si="9"/>
        <v>0</v>
      </c>
      <c r="K205" s="36">
        <f t="shared" si="10"/>
        <v>0</v>
      </c>
      <c r="L205" s="12"/>
      <c r="M205" s="206">
        <f t="shared" si="11"/>
        <v>0</v>
      </c>
    </row>
    <row r="206" spans="1:14" x14ac:dyDescent="0.4">
      <c r="A206" s="80"/>
      <c r="B206" s="16"/>
      <c r="C206" s="74"/>
      <c r="D206" s="33"/>
      <c r="E206" s="33"/>
      <c r="F206" s="91"/>
      <c r="G206" s="91"/>
      <c r="H206" s="241"/>
      <c r="I206" s="34"/>
      <c r="J206" s="35">
        <f t="shared" si="9"/>
        <v>0</v>
      </c>
      <c r="K206" s="36">
        <f t="shared" si="10"/>
        <v>0</v>
      </c>
      <c r="L206" s="12"/>
      <c r="M206" s="206">
        <f t="shared" si="11"/>
        <v>0</v>
      </c>
    </row>
    <row r="207" spans="1:14" x14ac:dyDescent="0.4">
      <c r="A207" s="80"/>
      <c r="B207" s="16"/>
      <c r="C207" s="74"/>
      <c r="D207" s="33"/>
      <c r="E207" s="33"/>
      <c r="F207" s="91"/>
      <c r="G207" s="91"/>
      <c r="H207" s="241"/>
      <c r="I207" s="34"/>
      <c r="J207" s="35">
        <f t="shared" si="9"/>
        <v>0</v>
      </c>
      <c r="K207" s="36">
        <f t="shared" si="10"/>
        <v>0</v>
      </c>
      <c r="L207" s="12"/>
      <c r="M207" s="206">
        <f t="shared" si="11"/>
        <v>0</v>
      </c>
    </row>
    <row r="208" spans="1:14" x14ac:dyDescent="0.4">
      <c r="A208" s="80"/>
      <c r="B208" s="16"/>
      <c r="C208" s="74"/>
      <c r="D208" s="33"/>
      <c r="E208" s="33"/>
      <c r="F208" s="91"/>
      <c r="G208" s="91"/>
      <c r="H208" s="241"/>
      <c r="I208" s="34"/>
      <c r="J208" s="35">
        <f t="shared" si="9"/>
        <v>0</v>
      </c>
      <c r="K208" s="36">
        <f t="shared" si="10"/>
        <v>0</v>
      </c>
      <c r="L208" s="12"/>
      <c r="M208" s="206">
        <f t="shared" si="11"/>
        <v>0</v>
      </c>
    </row>
    <row r="209" spans="1:13" x14ac:dyDescent="0.4">
      <c r="A209" s="80"/>
      <c r="B209" s="16"/>
      <c r="C209" s="74"/>
      <c r="D209" s="33"/>
      <c r="E209" s="33"/>
      <c r="F209" s="91"/>
      <c r="G209" s="91"/>
      <c r="H209" s="241"/>
      <c r="I209" s="34"/>
      <c r="J209" s="35">
        <f t="shared" si="9"/>
        <v>0</v>
      </c>
      <c r="K209" s="36">
        <f t="shared" si="10"/>
        <v>0</v>
      </c>
      <c r="L209" s="12"/>
      <c r="M209" s="206">
        <f t="shared" si="11"/>
        <v>0</v>
      </c>
    </row>
    <row r="210" spans="1:13" x14ac:dyDescent="0.4">
      <c r="A210" s="80"/>
      <c r="B210" s="16"/>
      <c r="C210" s="74"/>
      <c r="D210" s="33"/>
      <c r="E210" s="33"/>
      <c r="F210" s="91"/>
      <c r="G210" s="91"/>
      <c r="H210" s="241"/>
      <c r="I210" s="34"/>
      <c r="J210" s="35">
        <f t="shared" si="9"/>
        <v>0</v>
      </c>
      <c r="K210" s="36">
        <f t="shared" si="10"/>
        <v>0</v>
      </c>
      <c r="L210" s="12"/>
      <c r="M210" s="206">
        <f t="shared" si="11"/>
        <v>0</v>
      </c>
    </row>
    <row r="211" spans="1:13" x14ac:dyDescent="0.4">
      <c r="A211" s="80"/>
      <c r="B211" s="16"/>
      <c r="C211" s="16"/>
      <c r="D211" s="33"/>
      <c r="E211" s="33"/>
      <c r="F211" s="91"/>
      <c r="G211" s="91"/>
      <c r="H211" s="241"/>
      <c r="I211" s="34"/>
      <c r="J211" s="35">
        <f t="shared" si="9"/>
        <v>0</v>
      </c>
      <c r="K211" s="36">
        <f t="shared" si="10"/>
        <v>0</v>
      </c>
      <c r="L211" s="12"/>
      <c r="M211" s="206">
        <f t="shared" si="11"/>
        <v>0</v>
      </c>
    </row>
    <row r="212" spans="1:13" x14ac:dyDescent="0.4">
      <c r="A212" s="80"/>
      <c r="B212" s="16"/>
      <c r="C212" s="16"/>
      <c r="D212" s="33"/>
      <c r="E212" s="33"/>
      <c r="F212" s="91"/>
      <c r="G212" s="91"/>
      <c r="H212" s="241"/>
      <c r="I212" s="34"/>
      <c r="J212" s="35">
        <f t="shared" si="9"/>
        <v>0</v>
      </c>
      <c r="K212" s="36">
        <f t="shared" si="10"/>
        <v>0</v>
      </c>
      <c r="L212" s="12"/>
      <c r="M212" s="206">
        <f t="shared" si="11"/>
        <v>0</v>
      </c>
    </row>
    <row r="213" spans="1:13" x14ac:dyDescent="0.4">
      <c r="A213" s="80"/>
      <c r="B213" s="16"/>
      <c r="C213" s="16"/>
      <c r="D213" s="33"/>
      <c r="E213" s="33"/>
      <c r="F213" s="91"/>
      <c r="G213" s="91"/>
      <c r="H213" s="241"/>
      <c r="I213" s="34"/>
      <c r="J213" s="35">
        <f t="shared" si="9"/>
        <v>0</v>
      </c>
      <c r="K213" s="36">
        <f t="shared" si="10"/>
        <v>0</v>
      </c>
      <c r="L213" s="12"/>
      <c r="M213" s="206">
        <f t="shared" si="11"/>
        <v>0</v>
      </c>
    </row>
    <row r="214" spans="1:13" x14ac:dyDescent="0.4">
      <c r="A214" s="32"/>
      <c r="B214" s="16"/>
      <c r="C214" s="16"/>
      <c r="D214" s="33"/>
      <c r="E214" s="33"/>
      <c r="F214" s="91"/>
      <c r="G214" s="91"/>
      <c r="H214" s="241"/>
      <c r="I214" s="34"/>
      <c r="J214" s="35">
        <f t="shared" si="9"/>
        <v>0</v>
      </c>
      <c r="K214" s="36">
        <f t="shared" si="10"/>
        <v>0</v>
      </c>
      <c r="L214" s="12"/>
      <c r="M214" s="206">
        <f t="shared" si="11"/>
        <v>0</v>
      </c>
    </row>
    <row r="215" spans="1:13" x14ac:dyDescent="0.4">
      <c r="A215" s="32"/>
      <c r="B215" s="16"/>
      <c r="C215" s="16"/>
      <c r="D215" s="33"/>
      <c r="E215" s="33"/>
      <c r="F215" s="91"/>
      <c r="G215" s="91"/>
      <c r="H215" s="241"/>
      <c r="I215" s="34"/>
      <c r="J215" s="35">
        <f t="shared" si="9"/>
        <v>0</v>
      </c>
      <c r="K215" s="36">
        <f t="shared" si="10"/>
        <v>0</v>
      </c>
      <c r="L215" s="12"/>
      <c r="M215" s="206">
        <f t="shared" si="11"/>
        <v>0</v>
      </c>
    </row>
    <row r="216" spans="1:13" x14ac:dyDescent="0.4">
      <c r="A216" s="32"/>
      <c r="B216" s="16"/>
      <c r="C216" s="74"/>
      <c r="D216" s="33"/>
      <c r="E216" s="33"/>
      <c r="F216" s="91"/>
      <c r="G216" s="91"/>
      <c r="H216" s="241"/>
      <c r="I216" s="34"/>
      <c r="J216" s="35">
        <f t="shared" si="9"/>
        <v>0</v>
      </c>
      <c r="K216" s="36">
        <f t="shared" si="10"/>
        <v>0</v>
      </c>
      <c r="L216" s="12"/>
      <c r="M216" s="206">
        <f t="shared" si="11"/>
        <v>0</v>
      </c>
    </row>
    <row r="217" spans="1:13" x14ac:dyDescent="0.4">
      <c r="A217" s="32"/>
      <c r="B217" s="16"/>
      <c r="C217" s="74"/>
      <c r="D217" s="33"/>
      <c r="E217" s="33"/>
      <c r="F217" s="91"/>
      <c r="G217" s="91"/>
      <c r="H217" s="241"/>
      <c r="I217" s="34"/>
      <c r="J217" s="35">
        <f t="shared" si="9"/>
        <v>0</v>
      </c>
      <c r="K217" s="36">
        <f t="shared" si="10"/>
        <v>0</v>
      </c>
      <c r="L217" s="12"/>
      <c r="M217" s="206">
        <f t="shared" si="11"/>
        <v>0</v>
      </c>
    </row>
    <row r="218" spans="1:13" x14ac:dyDescent="0.4">
      <c r="A218" s="32"/>
      <c r="B218" s="16"/>
      <c r="C218" s="16"/>
      <c r="D218" s="33"/>
      <c r="E218" s="33"/>
      <c r="F218" s="91"/>
      <c r="G218" s="91"/>
      <c r="H218" s="241"/>
      <c r="I218" s="34"/>
      <c r="J218" s="35">
        <f t="shared" si="9"/>
        <v>0</v>
      </c>
      <c r="K218" s="36">
        <f t="shared" si="10"/>
        <v>0</v>
      </c>
      <c r="L218" s="12"/>
      <c r="M218" s="206">
        <f t="shared" si="11"/>
        <v>0</v>
      </c>
    </row>
    <row r="219" spans="1:13" x14ac:dyDescent="0.4">
      <c r="A219" s="32"/>
      <c r="B219" s="16"/>
      <c r="C219" s="16"/>
      <c r="D219" s="33"/>
      <c r="E219" s="33"/>
      <c r="F219" s="91"/>
      <c r="G219" s="91"/>
      <c r="H219" s="241"/>
      <c r="I219" s="34"/>
      <c r="J219" s="35">
        <f t="shared" si="9"/>
        <v>0</v>
      </c>
      <c r="K219" s="36">
        <f t="shared" si="10"/>
        <v>0</v>
      </c>
      <c r="L219" s="12"/>
      <c r="M219" s="206">
        <f t="shared" si="11"/>
        <v>0</v>
      </c>
    </row>
    <row r="220" spans="1:13" x14ac:dyDescent="0.4">
      <c r="A220" s="32"/>
      <c r="B220" s="16"/>
      <c r="C220" s="16"/>
      <c r="D220" s="33"/>
      <c r="E220" s="33"/>
      <c r="F220" s="91"/>
      <c r="G220" s="91"/>
      <c r="H220" s="241"/>
      <c r="I220" s="34"/>
      <c r="J220" s="35">
        <f t="shared" si="9"/>
        <v>0</v>
      </c>
      <c r="K220" s="36">
        <f t="shared" si="10"/>
        <v>0</v>
      </c>
      <c r="L220" s="12"/>
      <c r="M220" s="206">
        <f t="shared" si="11"/>
        <v>0</v>
      </c>
    </row>
    <row r="221" spans="1:13" x14ac:dyDescent="0.4">
      <c r="A221" s="75"/>
      <c r="B221" s="76"/>
      <c r="C221" s="76"/>
      <c r="D221" s="77"/>
      <c r="E221" s="77"/>
      <c r="F221" s="92"/>
      <c r="G221" s="92"/>
      <c r="H221" s="242"/>
      <c r="I221" s="78"/>
      <c r="J221" s="35">
        <f t="shared" si="9"/>
        <v>0</v>
      </c>
      <c r="K221" s="36">
        <f t="shared" si="10"/>
        <v>0</v>
      </c>
      <c r="L221" s="12"/>
      <c r="M221" s="206">
        <f t="shared" si="11"/>
        <v>0</v>
      </c>
    </row>
    <row r="222" spans="1:13" x14ac:dyDescent="0.4">
      <c r="A222" s="73"/>
      <c r="B222" s="31"/>
      <c r="C222" s="31"/>
      <c r="D222" s="39"/>
      <c r="E222" s="39"/>
      <c r="F222" s="90"/>
      <c r="G222" s="90"/>
      <c r="H222" s="243"/>
      <c r="I222" s="40"/>
      <c r="J222" s="35">
        <f t="shared" si="9"/>
        <v>0</v>
      </c>
      <c r="K222" s="36">
        <f t="shared" si="10"/>
        <v>0</v>
      </c>
      <c r="L222" s="12"/>
      <c r="M222" s="206">
        <f t="shared" si="11"/>
        <v>0</v>
      </c>
    </row>
    <row r="223" spans="1:13" x14ac:dyDescent="0.4">
      <c r="A223" s="32"/>
      <c r="B223" s="16"/>
      <c r="C223" s="16"/>
      <c r="D223" s="33"/>
      <c r="E223" s="33"/>
      <c r="F223" s="91"/>
      <c r="G223" s="91"/>
      <c r="H223" s="241"/>
      <c r="I223" s="34"/>
      <c r="J223" s="35">
        <f t="shared" si="9"/>
        <v>0</v>
      </c>
      <c r="K223" s="36">
        <f t="shared" si="10"/>
        <v>0</v>
      </c>
      <c r="L223" s="12"/>
      <c r="M223" s="206">
        <f t="shared" si="11"/>
        <v>0</v>
      </c>
    </row>
    <row r="224" spans="1:13" x14ac:dyDescent="0.4">
      <c r="A224" s="32"/>
      <c r="B224" s="16"/>
      <c r="C224" s="16"/>
      <c r="D224" s="33"/>
      <c r="E224" s="33"/>
      <c r="F224" s="91"/>
      <c r="G224" s="91"/>
      <c r="H224" s="241"/>
      <c r="I224" s="34"/>
      <c r="J224" s="35">
        <f t="shared" si="9"/>
        <v>0</v>
      </c>
      <c r="K224" s="36">
        <f t="shared" si="10"/>
        <v>0</v>
      </c>
      <c r="L224" s="12"/>
      <c r="M224" s="206">
        <f t="shared" si="11"/>
        <v>0</v>
      </c>
    </row>
    <row r="225" spans="1:13" x14ac:dyDescent="0.4">
      <c r="A225" s="32"/>
      <c r="B225" s="16"/>
      <c r="C225" s="16"/>
      <c r="D225" s="33"/>
      <c r="E225" s="33"/>
      <c r="F225" s="91"/>
      <c r="G225" s="91"/>
      <c r="H225" s="241"/>
      <c r="I225" s="34"/>
      <c r="J225" s="35">
        <f t="shared" si="9"/>
        <v>0</v>
      </c>
      <c r="K225" s="36">
        <f t="shared" si="10"/>
        <v>0</v>
      </c>
      <c r="L225" s="12"/>
      <c r="M225" s="206">
        <f t="shared" si="11"/>
        <v>0</v>
      </c>
    </row>
    <row r="226" spans="1:13" x14ac:dyDescent="0.4">
      <c r="A226" s="32"/>
      <c r="B226" s="16"/>
      <c r="C226" s="16"/>
      <c r="D226" s="33"/>
      <c r="E226" s="33"/>
      <c r="F226" s="91"/>
      <c r="G226" s="91"/>
      <c r="H226" s="241"/>
      <c r="I226" s="34"/>
      <c r="J226" s="35">
        <f t="shared" si="9"/>
        <v>0</v>
      </c>
      <c r="K226" s="36">
        <f t="shared" si="10"/>
        <v>0</v>
      </c>
      <c r="L226" s="12"/>
      <c r="M226" s="206">
        <f t="shared" si="11"/>
        <v>0</v>
      </c>
    </row>
    <row r="227" spans="1:13" x14ac:dyDescent="0.4">
      <c r="A227" s="32"/>
      <c r="B227" s="16"/>
      <c r="C227" s="16"/>
      <c r="D227" s="33"/>
      <c r="E227" s="33"/>
      <c r="F227" s="91"/>
      <c r="G227" s="91"/>
      <c r="H227" s="241"/>
      <c r="I227" s="34"/>
      <c r="J227" s="35">
        <f t="shared" si="9"/>
        <v>0</v>
      </c>
      <c r="K227" s="36">
        <f t="shared" si="10"/>
        <v>0</v>
      </c>
      <c r="L227" s="12"/>
      <c r="M227" s="206">
        <f t="shared" si="11"/>
        <v>0</v>
      </c>
    </row>
    <row r="228" spans="1:13" x14ac:dyDescent="0.4">
      <c r="A228" s="146"/>
      <c r="B228" s="97"/>
      <c r="C228" s="97"/>
      <c r="D228" s="98"/>
      <c r="E228" s="98"/>
      <c r="F228" s="213"/>
      <c r="G228" s="213"/>
      <c r="H228" s="244"/>
      <c r="I228" s="99"/>
      <c r="J228" s="96">
        <f t="shared" si="9"/>
        <v>0</v>
      </c>
      <c r="K228" s="36">
        <f t="shared" si="10"/>
        <v>0</v>
      </c>
      <c r="L228" s="12"/>
      <c r="M228" s="206">
        <f t="shared" si="11"/>
        <v>0</v>
      </c>
    </row>
    <row r="229" spans="1:13" ht="15.4" thickBot="1" x14ac:dyDescent="0.45">
      <c r="A229" s="147"/>
      <c r="B229" s="148"/>
      <c r="C229" s="148"/>
      <c r="D229" s="149"/>
      <c r="E229" s="149"/>
      <c r="F229" s="214"/>
      <c r="G229" s="214"/>
      <c r="H229" s="245"/>
      <c r="I229" s="211"/>
      <c r="J229" s="195">
        <f t="shared" si="9"/>
        <v>0</v>
      </c>
      <c r="K229" s="38">
        <f t="shared" si="10"/>
        <v>0</v>
      </c>
      <c r="L229" s="12"/>
      <c r="M229" s="206">
        <f t="shared" si="11"/>
        <v>0</v>
      </c>
    </row>
    <row r="230" spans="1:13" x14ac:dyDescent="0.4">
      <c r="A230" s="141"/>
      <c r="B230" s="142"/>
      <c r="C230" s="142"/>
      <c r="D230" s="143"/>
      <c r="E230" s="143"/>
      <c r="F230" s="215"/>
      <c r="G230" s="215"/>
      <c r="H230" s="246"/>
      <c r="I230" s="144"/>
      <c r="J230" s="139"/>
      <c r="K230" s="41"/>
      <c r="L230" s="12"/>
      <c r="M230" s="206">
        <f t="shared" si="11"/>
        <v>0</v>
      </c>
    </row>
    <row r="231" spans="1:13" x14ac:dyDescent="0.4">
      <c r="A231" s="42"/>
      <c r="B231" s="43"/>
      <c r="C231" s="17"/>
      <c r="D231" s="44"/>
      <c r="E231" s="44"/>
      <c r="F231" s="93"/>
      <c r="G231" s="93"/>
      <c r="H231" s="247"/>
      <c r="I231" s="35"/>
      <c r="J231" s="208" t="s">
        <v>36</v>
      </c>
      <c r="K231" s="209">
        <f>SUM(K6:K229)</f>
        <v>0</v>
      </c>
      <c r="L231" s="12"/>
      <c r="M231" s="206">
        <f t="shared" si="11"/>
        <v>0</v>
      </c>
    </row>
    <row r="232" spans="1:13" ht="15.4" thickBot="1" x14ac:dyDescent="0.45">
      <c r="A232" s="45"/>
      <c r="B232" s="46"/>
      <c r="C232" s="18"/>
      <c r="D232" s="47"/>
      <c r="E232" s="47"/>
      <c r="F232" s="94"/>
      <c r="G232" s="94"/>
      <c r="H232" s="248"/>
      <c r="I232" s="37"/>
      <c r="J232" s="37"/>
      <c r="K232" s="38"/>
      <c r="L232" s="12"/>
      <c r="M232" s="206">
        <f t="shared" si="11"/>
        <v>0</v>
      </c>
    </row>
    <row r="233" spans="1:13" x14ac:dyDescent="0.4">
      <c r="A233" s="6"/>
      <c r="B233" s="7"/>
      <c r="C233" s="10"/>
      <c r="D233" s="8"/>
      <c r="E233" s="8"/>
      <c r="F233" s="95"/>
      <c r="G233" s="95"/>
      <c r="H233" s="249"/>
      <c r="I233" s="4"/>
      <c r="J233" s="4"/>
      <c r="K233" s="4"/>
      <c r="L233" s="4" t="s">
        <v>4</v>
      </c>
      <c r="M233" s="206" t="s">
        <v>4</v>
      </c>
    </row>
    <row r="234" spans="1:13" x14ac:dyDescent="0.4">
      <c r="A234" s="6"/>
      <c r="B234" s="7"/>
      <c r="C234" s="10"/>
      <c r="D234" s="8"/>
      <c r="E234" s="8"/>
      <c r="F234" s="95"/>
      <c r="G234" s="95"/>
      <c r="H234" s="249"/>
      <c r="I234" s="4"/>
      <c r="J234" s="4"/>
      <c r="K234" s="4"/>
      <c r="L234" s="4" t="s">
        <v>4</v>
      </c>
      <c r="M234" s="206" t="s">
        <v>4</v>
      </c>
    </row>
    <row r="235" spans="1:13" x14ac:dyDescent="0.4">
      <c r="A235" s="6"/>
      <c r="B235" s="7"/>
      <c r="C235" s="10"/>
      <c r="D235" s="8"/>
      <c r="E235" s="8"/>
      <c r="F235" s="95"/>
      <c r="G235" s="95"/>
      <c r="H235" s="249"/>
      <c r="I235" s="4"/>
      <c r="J235" s="4"/>
      <c r="K235" s="4"/>
      <c r="L235" s="4" t="s">
        <v>4</v>
      </c>
      <c r="M235" s="206" t="s">
        <v>4</v>
      </c>
    </row>
    <row r="236" spans="1:13" x14ac:dyDescent="0.4">
      <c r="A236" s="6"/>
      <c r="B236" s="7"/>
      <c r="C236" s="10"/>
      <c r="D236" s="8"/>
      <c r="E236" s="8"/>
      <c r="F236" s="95"/>
      <c r="G236" s="95"/>
      <c r="H236" s="249"/>
      <c r="I236" s="4"/>
      <c r="J236" s="4"/>
      <c r="K236" s="4"/>
      <c r="L236" s="4" t="s">
        <v>4</v>
      </c>
      <c r="M236" s="206" t="s">
        <v>4</v>
      </c>
    </row>
    <row r="237" spans="1:13" x14ac:dyDescent="0.4">
      <c r="A237" s="6"/>
      <c r="B237" s="7"/>
      <c r="C237" s="10"/>
      <c r="D237" s="8"/>
      <c r="E237" s="8"/>
      <c r="F237" s="95"/>
      <c r="G237" s="95"/>
      <c r="H237" s="249"/>
      <c r="I237" s="4"/>
      <c r="J237" s="4"/>
      <c r="K237" s="4"/>
      <c r="L237" s="4" t="s">
        <v>4</v>
      </c>
      <c r="M237" s="206" t="s">
        <v>4</v>
      </c>
    </row>
    <row r="238" spans="1:13" x14ac:dyDescent="0.4">
      <c r="A238" s="6"/>
      <c r="B238" s="7"/>
      <c r="C238" s="10"/>
      <c r="D238" s="8"/>
      <c r="E238" s="8"/>
      <c r="F238" s="95"/>
      <c r="G238" s="95"/>
      <c r="H238" s="249"/>
      <c r="I238" s="4"/>
      <c r="J238" s="4"/>
      <c r="K238" s="4"/>
      <c r="L238" s="4" t="s">
        <v>4</v>
      </c>
      <c r="M238" s="206" t="s">
        <v>4</v>
      </c>
    </row>
    <row r="239" spans="1:13" x14ac:dyDescent="0.4">
      <c r="A239" s="6"/>
      <c r="B239" s="7"/>
      <c r="C239" s="10"/>
      <c r="D239" s="8"/>
      <c r="E239" s="8"/>
      <c r="F239" s="95"/>
      <c r="G239" s="95"/>
      <c r="H239" s="249"/>
      <c r="I239" s="4"/>
      <c r="J239" s="4"/>
      <c r="K239" s="4"/>
      <c r="L239" s="4" t="s">
        <v>4</v>
      </c>
      <c r="M239" s="206" t="s">
        <v>4</v>
      </c>
    </row>
    <row r="240" spans="1:13" x14ac:dyDescent="0.4">
      <c r="A240" s="6"/>
      <c r="B240" s="7"/>
      <c r="C240" s="10"/>
      <c r="D240" s="8"/>
      <c r="E240" s="8"/>
      <c r="F240" s="95"/>
      <c r="G240" s="95"/>
      <c r="H240" s="249"/>
      <c r="I240" s="4"/>
      <c r="J240" s="4"/>
      <c r="K240" s="4"/>
      <c r="L240" s="4" t="s">
        <v>4</v>
      </c>
      <c r="M240" s="206" t="s">
        <v>4</v>
      </c>
    </row>
    <row r="241" spans="1:13" x14ac:dyDescent="0.4">
      <c r="A241" s="6"/>
      <c r="B241" s="7"/>
      <c r="C241" s="10"/>
      <c r="D241" s="8"/>
      <c r="E241" s="8"/>
      <c r="F241" s="95"/>
      <c r="G241" s="95"/>
      <c r="H241" s="249"/>
      <c r="I241" s="4"/>
      <c r="J241" s="4"/>
      <c r="K241" s="4"/>
      <c r="L241" s="4" t="s">
        <v>4</v>
      </c>
      <c r="M241" s="206" t="s">
        <v>4</v>
      </c>
    </row>
    <row r="242" spans="1:13" x14ac:dyDescent="0.4">
      <c r="A242" s="6"/>
      <c r="B242" s="7"/>
      <c r="C242" s="10"/>
      <c r="D242" s="8"/>
      <c r="E242" s="8"/>
      <c r="F242" s="95"/>
      <c r="G242" s="95"/>
      <c r="H242" s="249"/>
      <c r="I242" s="4"/>
      <c r="J242" s="4" t="s">
        <v>4</v>
      </c>
      <c r="K242" s="4" t="s">
        <v>4</v>
      </c>
      <c r="L242" s="4" t="s">
        <v>4</v>
      </c>
      <c r="M242" s="206" t="s">
        <v>4</v>
      </c>
    </row>
    <row r="243" spans="1:13" x14ac:dyDescent="0.4">
      <c r="A243" s="6"/>
      <c r="B243" s="7"/>
      <c r="C243" s="10"/>
      <c r="D243" s="8"/>
      <c r="E243" s="8"/>
      <c r="F243" s="95"/>
      <c r="G243" s="95"/>
      <c r="H243" s="249"/>
      <c r="I243" s="4"/>
      <c r="J243" s="4" t="s">
        <v>4</v>
      </c>
      <c r="K243" s="4" t="s">
        <v>4</v>
      </c>
      <c r="L243" s="4" t="s">
        <v>4</v>
      </c>
      <c r="M243" s="206" t="s">
        <v>4</v>
      </c>
    </row>
    <row r="244" spans="1:13" x14ac:dyDescent="0.4">
      <c r="A244" s="6"/>
      <c r="B244" s="7"/>
      <c r="C244" s="10"/>
      <c r="D244" s="8"/>
      <c r="E244" s="8"/>
      <c r="F244" s="95"/>
      <c r="G244" s="95"/>
      <c r="H244" s="249"/>
      <c r="I244" s="4"/>
      <c r="J244" s="4" t="s">
        <v>4</v>
      </c>
      <c r="K244" s="4" t="s">
        <v>4</v>
      </c>
      <c r="L244" s="4" t="s">
        <v>4</v>
      </c>
      <c r="M244" s="206" t="s">
        <v>4</v>
      </c>
    </row>
    <row r="245" spans="1:13" x14ac:dyDescent="0.4">
      <c r="A245" s="6"/>
      <c r="B245" s="7"/>
      <c r="C245" s="10"/>
      <c r="D245" s="8"/>
      <c r="E245" s="8"/>
      <c r="F245" s="95"/>
      <c r="G245" s="95"/>
      <c r="H245" s="249"/>
      <c r="I245" s="4"/>
      <c r="J245" s="4" t="s">
        <v>4</v>
      </c>
      <c r="K245" s="4" t="s">
        <v>4</v>
      </c>
      <c r="L245" s="4" t="s">
        <v>4</v>
      </c>
      <c r="M245" s="206" t="s">
        <v>4</v>
      </c>
    </row>
    <row r="246" spans="1:13" x14ac:dyDescent="0.4">
      <c r="A246" s="6"/>
      <c r="B246" s="7"/>
      <c r="C246" s="2"/>
      <c r="D246" s="8"/>
      <c r="E246" s="8"/>
      <c r="F246" s="95"/>
      <c r="G246" s="95"/>
      <c r="H246" s="249"/>
      <c r="I246" s="4"/>
      <c r="J246" s="4" t="s">
        <v>4</v>
      </c>
      <c r="K246" s="4" t="s">
        <v>4</v>
      </c>
      <c r="L246" s="4" t="s">
        <v>4</v>
      </c>
      <c r="M246" s="206" t="s">
        <v>4</v>
      </c>
    </row>
    <row r="247" spans="1:13" x14ac:dyDescent="0.4">
      <c r="A247" s="6"/>
      <c r="B247" s="7"/>
      <c r="C247" s="2"/>
      <c r="D247" s="8"/>
      <c r="E247" s="8"/>
      <c r="F247" s="95"/>
      <c r="G247" s="95"/>
      <c r="H247" s="249"/>
      <c r="I247" s="4"/>
      <c r="J247" s="4" t="s">
        <v>4</v>
      </c>
      <c r="K247" s="4" t="s">
        <v>4</v>
      </c>
      <c r="L247" s="4" t="s">
        <v>4</v>
      </c>
      <c r="M247" s="206" t="s">
        <v>4</v>
      </c>
    </row>
    <row r="248" spans="1:13" x14ac:dyDescent="0.4">
      <c r="A248" s="6"/>
      <c r="B248" s="7"/>
      <c r="C248" s="2"/>
      <c r="D248" s="8"/>
      <c r="E248" s="8"/>
      <c r="F248" s="95"/>
      <c r="G248" s="95"/>
      <c r="H248" s="249"/>
      <c r="I248" s="4"/>
      <c r="J248" s="4" t="s">
        <v>4</v>
      </c>
      <c r="K248" s="4" t="s">
        <v>4</v>
      </c>
      <c r="L248" s="4" t="s">
        <v>4</v>
      </c>
      <c r="M248" s="206" t="s">
        <v>4</v>
      </c>
    </row>
    <row r="249" spans="1:13" x14ac:dyDescent="0.4">
      <c r="A249" s="6"/>
      <c r="B249" s="7"/>
      <c r="C249" s="2"/>
      <c r="D249" s="8"/>
      <c r="E249" s="8"/>
      <c r="F249" s="95"/>
      <c r="G249" s="95"/>
      <c r="H249" s="249"/>
      <c r="I249" s="4"/>
      <c r="J249" s="4" t="s">
        <v>4</v>
      </c>
      <c r="K249" s="4" t="s">
        <v>4</v>
      </c>
      <c r="L249" s="4" t="s">
        <v>4</v>
      </c>
      <c r="M249" s="206" t="s">
        <v>4</v>
      </c>
    </row>
    <row r="250" spans="1:13" x14ac:dyDescent="0.4">
      <c r="A250" s="6"/>
      <c r="B250" s="7"/>
      <c r="C250" s="2"/>
      <c r="D250" s="8"/>
      <c r="E250" s="8"/>
      <c r="F250" s="95"/>
      <c r="G250" s="95"/>
      <c r="H250" s="249"/>
      <c r="I250" s="4"/>
      <c r="J250" s="4" t="s">
        <v>4</v>
      </c>
      <c r="K250" s="4" t="s">
        <v>4</v>
      </c>
      <c r="L250" s="4" t="s">
        <v>4</v>
      </c>
      <c r="M250" s="206" t="s">
        <v>4</v>
      </c>
    </row>
    <row r="251" spans="1:13" x14ac:dyDescent="0.4">
      <c r="A251" s="6"/>
      <c r="B251" s="7"/>
      <c r="C251" s="2"/>
      <c r="D251" s="8"/>
      <c r="E251" s="8"/>
      <c r="F251" s="95"/>
      <c r="G251" s="95"/>
      <c r="H251" s="249"/>
      <c r="I251" s="4"/>
      <c r="J251" s="4" t="s">
        <v>4</v>
      </c>
      <c r="K251" s="4" t="s">
        <v>4</v>
      </c>
      <c r="L251" s="4" t="s">
        <v>4</v>
      </c>
      <c r="M251" s="206" t="s">
        <v>4</v>
      </c>
    </row>
    <row r="252" spans="1:13" x14ac:dyDescent="0.4">
      <c r="A252" s="6"/>
      <c r="B252" s="7"/>
      <c r="C252" s="2"/>
      <c r="D252" s="8"/>
      <c r="E252" s="8"/>
      <c r="F252" s="95"/>
      <c r="G252" s="95"/>
      <c r="H252" s="249"/>
      <c r="I252" s="4"/>
      <c r="J252" s="4" t="s">
        <v>4</v>
      </c>
      <c r="K252" s="4" t="s">
        <v>4</v>
      </c>
      <c r="L252" s="4" t="s">
        <v>4</v>
      </c>
      <c r="M252" s="206" t="s">
        <v>4</v>
      </c>
    </row>
    <row r="253" spans="1:13" x14ac:dyDescent="0.4">
      <c r="A253" s="6"/>
      <c r="B253" s="7"/>
      <c r="C253" s="2"/>
      <c r="D253" s="8"/>
      <c r="E253" s="8"/>
      <c r="F253" s="95"/>
      <c r="G253" s="95"/>
      <c r="H253" s="249"/>
      <c r="I253" s="4"/>
      <c r="J253" s="4" t="s">
        <v>4</v>
      </c>
      <c r="K253" s="4" t="s">
        <v>4</v>
      </c>
      <c r="L253" s="4" t="s">
        <v>4</v>
      </c>
      <c r="M253" s="206" t="s">
        <v>4</v>
      </c>
    </row>
    <row r="254" spans="1:13" x14ac:dyDescent="0.4">
      <c r="A254" s="6"/>
      <c r="B254" s="7"/>
      <c r="C254" s="2"/>
      <c r="D254" s="8"/>
      <c r="E254" s="8"/>
      <c r="F254" s="95"/>
      <c r="G254" s="95"/>
      <c r="H254" s="249"/>
      <c r="I254" s="4"/>
      <c r="J254" s="4" t="s">
        <v>4</v>
      </c>
      <c r="K254" s="4" t="s">
        <v>4</v>
      </c>
      <c r="L254" s="4" t="s">
        <v>4</v>
      </c>
      <c r="M254" s="206" t="s">
        <v>4</v>
      </c>
    </row>
    <row r="255" spans="1:13" x14ac:dyDescent="0.4">
      <c r="A255" s="6"/>
      <c r="B255" s="7"/>
      <c r="C255" s="2"/>
      <c r="D255" s="8"/>
      <c r="E255" s="8"/>
      <c r="F255" s="95"/>
      <c r="G255" s="95"/>
      <c r="H255" s="249"/>
      <c r="I255" s="4"/>
      <c r="J255" s="4" t="s">
        <v>4</v>
      </c>
      <c r="K255" s="4" t="s">
        <v>4</v>
      </c>
      <c r="L255" s="4" t="s">
        <v>4</v>
      </c>
      <c r="M255" s="206" t="s">
        <v>4</v>
      </c>
    </row>
    <row r="256" spans="1:13" x14ac:dyDescent="0.4">
      <c r="A256" s="6"/>
      <c r="B256" s="7"/>
      <c r="C256" s="2"/>
      <c r="D256" s="8"/>
      <c r="E256" s="8"/>
      <c r="F256" s="95"/>
      <c r="G256" s="95"/>
      <c r="H256" s="249"/>
      <c r="I256" s="4"/>
      <c r="J256" s="4" t="s">
        <v>4</v>
      </c>
      <c r="K256" s="4" t="s">
        <v>4</v>
      </c>
      <c r="L256" s="4" t="s">
        <v>4</v>
      </c>
      <c r="M256" s="206" t="s">
        <v>4</v>
      </c>
    </row>
    <row r="257" spans="1:13" x14ac:dyDescent="0.4">
      <c r="A257" s="6"/>
      <c r="B257" s="7"/>
      <c r="C257" s="2"/>
      <c r="D257" s="8"/>
      <c r="E257" s="8"/>
      <c r="F257" s="95"/>
      <c r="G257" s="95"/>
      <c r="H257" s="249"/>
      <c r="I257" s="4"/>
      <c r="J257" s="4" t="s">
        <v>4</v>
      </c>
      <c r="K257" s="4" t="s">
        <v>4</v>
      </c>
      <c r="L257" s="4" t="s">
        <v>4</v>
      </c>
      <c r="M257" s="206" t="s">
        <v>4</v>
      </c>
    </row>
    <row r="258" spans="1:13" x14ac:dyDescent="0.4">
      <c r="A258" s="6"/>
      <c r="B258" s="7"/>
      <c r="C258" s="2"/>
      <c r="D258" s="8"/>
      <c r="E258" s="8"/>
      <c r="F258" s="95"/>
      <c r="G258" s="95"/>
      <c r="H258" s="249"/>
      <c r="I258" s="4"/>
      <c r="J258" s="4" t="s">
        <v>4</v>
      </c>
      <c r="K258" s="4" t="s">
        <v>4</v>
      </c>
      <c r="L258" s="4" t="s">
        <v>4</v>
      </c>
      <c r="M258" s="206" t="s">
        <v>4</v>
      </c>
    </row>
    <row r="259" spans="1:13" x14ac:dyDescent="0.4">
      <c r="A259" s="6"/>
      <c r="B259" s="7"/>
      <c r="C259" s="2"/>
      <c r="D259" s="8"/>
      <c r="E259" s="8"/>
      <c r="F259" s="95"/>
      <c r="G259" s="95"/>
      <c r="H259" s="249"/>
      <c r="I259" s="4"/>
      <c r="J259" s="4" t="s">
        <v>4</v>
      </c>
      <c r="K259" s="4" t="s">
        <v>4</v>
      </c>
      <c r="L259" s="4" t="s">
        <v>4</v>
      </c>
      <c r="M259" s="206" t="s">
        <v>4</v>
      </c>
    </row>
    <row r="260" spans="1:13" x14ac:dyDescent="0.4">
      <c r="A260" s="6"/>
      <c r="B260" s="7"/>
      <c r="C260" s="2"/>
      <c r="D260" s="8"/>
      <c r="E260" s="8"/>
      <c r="F260" s="95"/>
      <c r="G260" s="95"/>
      <c r="H260" s="249"/>
      <c r="I260" s="4"/>
      <c r="J260" s="4" t="s">
        <v>4</v>
      </c>
      <c r="K260" s="4" t="s">
        <v>4</v>
      </c>
      <c r="L260" s="4" t="s">
        <v>4</v>
      </c>
      <c r="M260" s="206" t="s">
        <v>4</v>
      </c>
    </row>
    <row r="261" spans="1:13" x14ac:dyDescent="0.4">
      <c r="A261" s="6"/>
      <c r="B261" s="7"/>
      <c r="C261" s="2"/>
      <c r="D261" s="8"/>
      <c r="E261" s="8"/>
      <c r="F261" s="95"/>
      <c r="G261" s="95"/>
      <c r="H261" s="249"/>
      <c r="I261" s="4"/>
      <c r="J261" s="4" t="s">
        <v>4</v>
      </c>
      <c r="K261" s="4" t="s">
        <v>4</v>
      </c>
      <c r="L261" s="4" t="s">
        <v>4</v>
      </c>
      <c r="M261" s="206" t="s">
        <v>4</v>
      </c>
    </row>
    <row r="262" spans="1:13" x14ac:dyDescent="0.4">
      <c r="A262" s="6"/>
      <c r="B262" s="7"/>
      <c r="C262" s="2"/>
      <c r="D262" s="8"/>
      <c r="E262" s="8"/>
      <c r="F262" s="95"/>
      <c r="G262" s="95"/>
      <c r="H262" s="249"/>
      <c r="I262" s="4"/>
      <c r="J262" s="4" t="s">
        <v>4</v>
      </c>
      <c r="K262" s="4" t="s">
        <v>4</v>
      </c>
      <c r="L262" s="4" t="s">
        <v>4</v>
      </c>
      <c r="M262" s="206" t="s">
        <v>4</v>
      </c>
    </row>
    <row r="263" spans="1:13" x14ac:dyDescent="0.4">
      <c r="A263" s="6"/>
      <c r="B263" s="7"/>
      <c r="C263" s="2"/>
      <c r="D263" s="8"/>
      <c r="E263" s="8"/>
      <c r="F263" s="95"/>
      <c r="G263" s="95"/>
      <c r="H263" s="249"/>
      <c r="I263" s="4"/>
      <c r="J263" s="4" t="s">
        <v>4</v>
      </c>
      <c r="K263" s="4" t="s">
        <v>4</v>
      </c>
      <c r="L263" s="4" t="s">
        <v>4</v>
      </c>
      <c r="M263" s="206" t="s">
        <v>4</v>
      </c>
    </row>
    <row r="264" spans="1:13" x14ac:dyDescent="0.4">
      <c r="A264" s="6"/>
      <c r="B264" s="7"/>
      <c r="C264" s="2"/>
      <c r="D264" s="8"/>
      <c r="E264" s="8"/>
      <c r="F264" s="95"/>
      <c r="G264" s="95"/>
      <c r="H264" s="249"/>
      <c r="I264" s="4"/>
      <c r="J264" s="4" t="s">
        <v>4</v>
      </c>
      <c r="K264" s="4" t="s">
        <v>4</v>
      </c>
      <c r="L264" s="4" t="s">
        <v>4</v>
      </c>
      <c r="M264" s="206" t="s">
        <v>4</v>
      </c>
    </row>
    <row r="265" spans="1:13" x14ac:dyDescent="0.4">
      <c r="A265" s="6"/>
      <c r="B265" s="7"/>
      <c r="C265" s="2"/>
      <c r="D265" s="8"/>
      <c r="E265" s="8"/>
      <c r="F265" s="95"/>
      <c r="G265" s="95"/>
      <c r="H265" s="249"/>
      <c r="I265" s="4"/>
      <c r="J265" s="4" t="s">
        <v>4</v>
      </c>
      <c r="K265" s="4" t="s">
        <v>4</v>
      </c>
      <c r="L265" s="4" t="s">
        <v>4</v>
      </c>
      <c r="M265" s="206" t="s">
        <v>4</v>
      </c>
    </row>
    <row r="266" spans="1:13" x14ac:dyDescent="0.4">
      <c r="A266" s="6"/>
      <c r="B266" s="7"/>
      <c r="C266" s="2"/>
      <c r="D266" s="8"/>
      <c r="E266" s="8"/>
      <c r="F266" s="95"/>
      <c r="G266" s="95"/>
      <c r="H266" s="249"/>
      <c r="I266" s="4"/>
      <c r="J266" s="4" t="s">
        <v>4</v>
      </c>
      <c r="K266" s="4" t="s">
        <v>4</v>
      </c>
      <c r="L266" s="4" t="s">
        <v>4</v>
      </c>
      <c r="M266" s="206" t="s">
        <v>4</v>
      </c>
    </row>
    <row r="267" spans="1:13" x14ac:dyDescent="0.4">
      <c r="A267" s="6"/>
      <c r="B267" s="7"/>
      <c r="C267" s="2"/>
      <c r="D267" s="8"/>
      <c r="E267" s="8"/>
      <c r="F267" s="95"/>
      <c r="G267" s="95"/>
      <c r="H267" s="249"/>
      <c r="I267" s="4"/>
      <c r="J267" s="4" t="s">
        <v>4</v>
      </c>
      <c r="K267" s="4" t="s">
        <v>4</v>
      </c>
      <c r="L267" s="4" t="s">
        <v>4</v>
      </c>
      <c r="M267" s="206" t="s">
        <v>4</v>
      </c>
    </row>
    <row r="268" spans="1:13" x14ac:dyDescent="0.4">
      <c r="A268" s="6"/>
      <c r="B268" s="7"/>
      <c r="C268" s="2"/>
      <c r="D268" s="8"/>
      <c r="E268" s="8"/>
      <c r="F268" s="95"/>
      <c r="G268" s="95"/>
      <c r="H268" s="249"/>
      <c r="I268" s="4"/>
      <c r="J268" s="4" t="s">
        <v>4</v>
      </c>
      <c r="K268" s="4" t="s">
        <v>4</v>
      </c>
      <c r="L268" s="4" t="s">
        <v>4</v>
      </c>
      <c r="M268" s="206" t="s">
        <v>4</v>
      </c>
    </row>
    <row r="269" spans="1:13" x14ac:dyDescent="0.4">
      <c r="A269" s="6"/>
      <c r="B269" s="7"/>
      <c r="C269" s="2"/>
      <c r="D269" s="8"/>
      <c r="E269" s="8"/>
      <c r="F269" s="95"/>
      <c r="G269" s="95"/>
      <c r="H269" s="249"/>
      <c r="I269" s="4"/>
      <c r="J269" s="4" t="s">
        <v>4</v>
      </c>
      <c r="K269" s="4" t="s">
        <v>4</v>
      </c>
      <c r="L269" s="4" t="s">
        <v>4</v>
      </c>
      <c r="M269" s="206" t="s">
        <v>4</v>
      </c>
    </row>
    <row r="270" spans="1:13" x14ac:dyDescent="0.4">
      <c r="A270" s="6"/>
      <c r="B270" s="7"/>
      <c r="C270" s="2"/>
      <c r="D270" s="8"/>
      <c r="E270" s="8"/>
      <c r="F270" s="95"/>
      <c r="G270" s="95"/>
      <c r="H270" s="249"/>
      <c r="I270" s="4"/>
      <c r="J270" s="4" t="s">
        <v>4</v>
      </c>
      <c r="K270" s="4" t="s">
        <v>4</v>
      </c>
      <c r="L270" s="4" t="s">
        <v>4</v>
      </c>
      <c r="M270" s="206" t="s">
        <v>4</v>
      </c>
    </row>
    <row r="271" spans="1:13" x14ac:dyDescent="0.4">
      <c r="A271" s="6"/>
      <c r="B271" s="7"/>
      <c r="C271" s="2"/>
      <c r="D271" s="8"/>
      <c r="E271" s="8"/>
      <c r="F271" s="95"/>
      <c r="G271" s="95"/>
      <c r="H271" s="249"/>
      <c r="I271" s="4"/>
      <c r="J271" s="4" t="s">
        <v>4</v>
      </c>
      <c r="K271" s="4" t="s">
        <v>4</v>
      </c>
      <c r="L271" s="4" t="s">
        <v>4</v>
      </c>
      <c r="M271" s="206" t="s">
        <v>4</v>
      </c>
    </row>
    <row r="272" spans="1:13" x14ac:dyDescent="0.4">
      <c r="A272" s="6"/>
      <c r="B272" s="7"/>
      <c r="C272" s="2"/>
      <c r="D272" s="8"/>
      <c r="E272" s="8"/>
      <c r="F272" s="95"/>
      <c r="G272" s="95"/>
      <c r="H272" s="249"/>
      <c r="I272" s="4"/>
      <c r="J272" s="4" t="s">
        <v>4</v>
      </c>
      <c r="K272" s="4" t="s">
        <v>4</v>
      </c>
      <c r="L272" s="4" t="s">
        <v>4</v>
      </c>
      <c r="M272" s="206" t="s">
        <v>4</v>
      </c>
    </row>
    <row r="273" spans="1:13" x14ac:dyDescent="0.4">
      <c r="A273" s="6"/>
      <c r="B273" s="7"/>
      <c r="C273" s="2"/>
      <c r="D273" s="8"/>
      <c r="E273" s="8"/>
      <c r="F273" s="95"/>
      <c r="G273" s="95"/>
      <c r="H273" s="249"/>
      <c r="I273" s="4"/>
      <c r="J273" s="4" t="s">
        <v>4</v>
      </c>
      <c r="K273" s="4" t="s">
        <v>4</v>
      </c>
      <c r="L273" s="4" t="s">
        <v>4</v>
      </c>
      <c r="M273" s="206" t="s">
        <v>4</v>
      </c>
    </row>
    <row r="274" spans="1:13" x14ac:dyDescent="0.4">
      <c r="A274" s="6"/>
      <c r="B274" s="7"/>
      <c r="C274" s="2"/>
      <c r="D274" s="8"/>
      <c r="E274" s="8"/>
      <c r="F274" s="95"/>
      <c r="G274" s="95"/>
      <c r="H274" s="249"/>
      <c r="I274" s="4"/>
      <c r="J274" s="4" t="s">
        <v>4</v>
      </c>
      <c r="K274" s="4" t="s">
        <v>4</v>
      </c>
      <c r="L274" s="4" t="s">
        <v>4</v>
      </c>
      <c r="M274" s="206" t="s">
        <v>4</v>
      </c>
    </row>
    <row r="275" spans="1:13" x14ac:dyDescent="0.4">
      <c r="A275" s="6"/>
      <c r="B275" s="7"/>
      <c r="C275" s="2"/>
      <c r="D275" s="8"/>
      <c r="E275" s="8"/>
      <c r="F275" s="95"/>
      <c r="G275" s="95"/>
      <c r="H275" s="249"/>
      <c r="I275" s="4"/>
      <c r="J275" s="4" t="s">
        <v>4</v>
      </c>
      <c r="K275" s="4" t="s">
        <v>4</v>
      </c>
      <c r="L275" s="4" t="s">
        <v>4</v>
      </c>
      <c r="M275" s="206" t="s">
        <v>4</v>
      </c>
    </row>
    <row r="276" spans="1:13" x14ac:dyDescent="0.4">
      <c r="A276" s="6"/>
      <c r="B276" s="7"/>
      <c r="C276" s="2"/>
      <c r="D276" s="8"/>
      <c r="E276" s="8"/>
      <c r="F276" s="95"/>
      <c r="G276" s="95"/>
      <c r="H276" s="249"/>
      <c r="I276" s="4"/>
      <c r="J276" s="4" t="s">
        <v>4</v>
      </c>
      <c r="K276" s="4" t="s">
        <v>4</v>
      </c>
      <c r="L276" s="4" t="s">
        <v>4</v>
      </c>
      <c r="M276" s="206" t="s">
        <v>4</v>
      </c>
    </row>
    <row r="277" spans="1:13" x14ac:dyDescent="0.4">
      <c r="A277" s="6"/>
      <c r="B277" s="7"/>
      <c r="C277" s="2"/>
      <c r="D277" s="8"/>
      <c r="E277" s="8"/>
      <c r="F277" s="95"/>
      <c r="G277" s="95"/>
      <c r="H277" s="249"/>
      <c r="I277" s="4"/>
      <c r="J277" s="4" t="s">
        <v>4</v>
      </c>
      <c r="K277" s="4" t="s">
        <v>4</v>
      </c>
      <c r="L277" s="4" t="s">
        <v>4</v>
      </c>
      <c r="M277" s="206" t="s">
        <v>4</v>
      </c>
    </row>
    <row r="278" spans="1:13" x14ac:dyDescent="0.4">
      <c r="A278" s="6"/>
      <c r="B278" s="7"/>
      <c r="C278" s="2"/>
      <c r="D278" s="8"/>
      <c r="E278" s="8"/>
      <c r="F278" s="95"/>
      <c r="G278" s="95"/>
      <c r="H278" s="249"/>
      <c r="I278" s="4"/>
      <c r="J278" s="4" t="s">
        <v>4</v>
      </c>
      <c r="K278" s="4" t="s">
        <v>4</v>
      </c>
      <c r="L278" s="4" t="s">
        <v>4</v>
      </c>
      <c r="M278" s="206" t="s">
        <v>4</v>
      </c>
    </row>
    <row r="279" spans="1:13" x14ac:dyDescent="0.4">
      <c r="A279" s="6"/>
      <c r="B279" s="7"/>
      <c r="C279" s="2"/>
      <c r="D279" s="8"/>
      <c r="E279" s="8"/>
      <c r="F279" s="95"/>
      <c r="G279" s="95"/>
      <c r="H279" s="249"/>
      <c r="I279" s="4"/>
      <c r="J279" s="4" t="s">
        <v>4</v>
      </c>
      <c r="K279" s="4" t="s">
        <v>4</v>
      </c>
      <c r="L279" s="4" t="s">
        <v>4</v>
      </c>
      <c r="M279" s="206" t="s">
        <v>4</v>
      </c>
    </row>
    <row r="280" spans="1:13" x14ac:dyDescent="0.4">
      <c r="A280" s="6"/>
      <c r="B280" s="7"/>
      <c r="C280" s="2"/>
      <c r="D280" s="8"/>
      <c r="E280" s="8"/>
      <c r="F280" s="95"/>
      <c r="G280" s="95"/>
      <c r="H280" s="249"/>
      <c r="I280" s="4"/>
      <c r="J280" s="4" t="s">
        <v>4</v>
      </c>
      <c r="K280" s="4" t="s">
        <v>4</v>
      </c>
      <c r="L280" s="4" t="s">
        <v>4</v>
      </c>
      <c r="M280" s="206" t="s">
        <v>4</v>
      </c>
    </row>
    <row r="281" spans="1:13" x14ac:dyDescent="0.4">
      <c r="A281" s="6"/>
      <c r="B281" s="7"/>
      <c r="C281" s="2"/>
      <c r="D281" s="8"/>
      <c r="E281" s="8"/>
      <c r="F281" s="95"/>
      <c r="G281" s="95"/>
      <c r="H281" s="249"/>
      <c r="I281" s="4"/>
      <c r="J281" s="4" t="s">
        <v>4</v>
      </c>
      <c r="K281" s="4" t="s">
        <v>4</v>
      </c>
      <c r="L281" s="4" t="s">
        <v>4</v>
      </c>
      <c r="M281" s="206" t="s">
        <v>4</v>
      </c>
    </row>
    <row r="282" spans="1:13" x14ac:dyDescent="0.4">
      <c r="A282" s="6"/>
      <c r="B282" s="7"/>
      <c r="C282" s="2"/>
      <c r="D282" s="8"/>
      <c r="E282" s="8"/>
      <c r="F282" s="95"/>
      <c r="G282" s="95"/>
      <c r="H282" s="249"/>
      <c r="I282" s="4"/>
      <c r="J282" s="4" t="s">
        <v>4</v>
      </c>
      <c r="K282" s="4" t="s">
        <v>4</v>
      </c>
      <c r="L282" s="4" t="s">
        <v>4</v>
      </c>
      <c r="M282" s="206" t="s">
        <v>4</v>
      </c>
    </row>
    <row r="283" spans="1:13" x14ac:dyDescent="0.4">
      <c r="A283" s="6"/>
      <c r="B283" s="7"/>
      <c r="C283" s="2"/>
      <c r="D283" s="8"/>
      <c r="E283" s="8"/>
      <c r="F283" s="95"/>
      <c r="G283" s="95"/>
      <c r="H283" s="249"/>
      <c r="I283" s="4"/>
      <c r="J283" s="4" t="s">
        <v>4</v>
      </c>
      <c r="K283" s="4" t="s">
        <v>4</v>
      </c>
      <c r="L283" s="4" t="s">
        <v>4</v>
      </c>
      <c r="M283" s="206" t="s">
        <v>4</v>
      </c>
    </row>
    <row r="284" spans="1:13" x14ac:dyDescent="0.4">
      <c r="A284" s="6"/>
      <c r="B284" s="7"/>
      <c r="C284" s="2"/>
      <c r="D284" s="8"/>
      <c r="E284" s="8"/>
      <c r="F284" s="95"/>
      <c r="G284" s="95"/>
      <c r="H284" s="249"/>
      <c r="I284" s="4"/>
      <c r="J284" s="4" t="s">
        <v>4</v>
      </c>
      <c r="K284" s="4" t="s">
        <v>4</v>
      </c>
      <c r="L284" s="4" t="s">
        <v>4</v>
      </c>
      <c r="M284" s="206" t="s">
        <v>4</v>
      </c>
    </row>
    <row r="285" spans="1:13" x14ac:dyDescent="0.4">
      <c r="A285" s="6"/>
      <c r="B285" s="7"/>
      <c r="C285" s="2"/>
      <c r="D285" s="8"/>
      <c r="E285" s="8"/>
      <c r="F285" s="95"/>
      <c r="G285" s="95"/>
      <c r="H285" s="249"/>
      <c r="I285" s="4"/>
      <c r="J285" s="4" t="s">
        <v>4</v>
      </c>
      <c r="K285" s="4" t="s">
        <v>4</v>
      </c>
      <c r="L285" s="4" t="s">
        <v>4</v>
      </c>
      <c r="M285" s="206" t="s">
        <v>4</v>
      </c>
    </row>
    <row r="286" spans="1:13" x14ac:dyDescent="0.4">
      <c r="A286" s="6"/>
      <c r="B286" s="7"/>
      <c r="C286" s="2"/>
      <c r="D286" s="8"/>
      <c r="E286" s="8"/>
      <c r="F286" s="95"/>
      <c r="G286" s="95"/>
      <c r="H286" s="249"/>
      <c r="I286" s="4"/>
      <c r="J286" s="4" t="s">
        <v>4</v>
      </c>
      <c r="K286" s="4" t="s">
        <v>4</v>
      </c>
      <c r="L286" s="4" t="s">
        <v>4</v>
      </c>
      <c r="M286" s="206" t="s">
        <v>4</v>
      </c>
    </row>
    <row r="287" spans="1:13" x14ac:dyDescent="0.4">
      <c r="A287" s="6"/>
      <c r="B287" s="7"/>
      <c r="C287" s="2"/>
      <c r="D287" s="8"/>
      <c r="E287" s="8"/>
      <c r="F287" s="95"/>
      <c r="G287" s="95"/>
      <c r="H287" s="249"/>
      <c r="I287" s="4"/>
      <c r="J287" s="4" t="s">
        <v>4</v>
      </c>
      <c r="K287" s="4" t="s">
        <v>4</v>
      </c>
      <c r="L287" s="4" t="s">
        <v>4</v>
      </c>
      <c r="M287" s="206" t="s">
        <v>4</v>
      </c>
    </row>
    <row r="288" spans="1:13" x14ac:dyDescent="0.4">
      <c r="A288" s="6"/>
      <c r="B288" s="7"/>
      <c r="C288" s="2"/>
      <c r="D288" s="8"/>
      <c r="E288" s="8"/>
      <c r="F288" s="95"/>
      <c r="G288" s="95"/>
      <c r="H288" s="249"/>
      <c r="I288" s="4"/>
      <c r="J288" s="4" t="s">
        <v>4</v>
      </c>
      <c r="K288" s="4" t="s">
        <v>4</v>
      </c>
      <c r="L288" s="4" t="s">
        <v>4</v>
      </c>
      <c r="M288" s="206" t="s">
        <v>4</v>
      </c>
    </row>
    <row r="289" spans="1:13" x14ac:dyDescent="0.4">
      <c r="A289" s="6"/>
      <c r="B289" s="7"/>
      <c r="C289" s="2"/>
      <c r="D289" s="8"/>
      <c r="E289" s="8"/>
      <c r="F289" s="95"/>
      <c r="G289" s="95"/>
      <c r="H289" s="249"/>
      <c r="I289" s="4"/>
      <c r="J289" s="4" t="s">
        <v>4</v>
      </c>
      <c r="K289" s="4" t="s">
        <v>4</v>
      </c>
      <c r="L289" s="4" t="s">
        <v>4</v>
      </c>
      <c r="M289" s="206" t="s">
        <v>4</v>
      </c>
    </row>
    <row r="290" spans="1:13" x14ac:dyDescent="0.4">
      <c r="A290" s="6"/>
      <c r="B290" s="7"/>
      <c r="C290" s="2"/>
      <c r="D290" s="8"/>
      <c r="E290" s="8"/>
      <c r="F290" s="95"/>
      <c r="G290" s="95"/>
      <c r="H290" s="249"/>
      <c r="I290" s="4"/>
      <c r="J290" s="4" t="s">
        <v>4</v>
      </c>
      <c r="K290" s="4" t="s">
        <v>4</v>
      </c>
      <c r="L290" s="4" t="s">
        <v>4</v>
      </c>
      <c r="M290" s="206" t="s">
        <v>4</v>
      </c>
    </row>
    <row r="291" spans="1:13" x14ac:dyDescent="0.4">
      <c r="A291" s="6"/>
      <c r="B291" s="7"/>
      <c r="C291" s="2"/>
      <c r="D291" s="8"/>
      <c r="E291" s="8"/>
      <c r="F291" s="95"/>
      <c r="G291" s="95"/>
      <c r="H291" s="249"/>
      <c r="I291" s="4"/>
      <c r="J291" s="4" t="s">
        <v>4</v>
      </c>
      <c r="K291" s="4" t="s">
        <v>4</v>
      </c>
      <c r="L291" s="4" t="s">
        <v>4</v>
      </c>
      <c r="M291" s="206" t="s">
        <v>4</v>
      </c>
    </row>
    <row r="292" spans="1:13" x14ac:dyDescent="0.4">
      <c r="A292" s="6"/>
      <c r="B292" s="7"/>
      <c r="C292" s="2"/>
      <c r="D292" s="8"/>
      <c r="E292" s="8"/>
      <c r="F292" s="95"/>
      <c r="G292" s="95"/>
      <c r="H292" s="249"/>
      <c r="I292" s="4"/>
      <c r="J292" s="4" t="s">
        <v>4</v>
      </c>
      <c r="K292" s="4" t="s">
        <v>4</v>
      </c>
      <c r="L292" s="4" t="s">
        <v>4</v>
      </c>
      <c r="M292" s="206" t="s">
        <v>4</v>
      </c>
    </row>
    <row r="293" spans="1:13" x14ac:dyDescent="0.4">
      <c r="A293" s="6"/>
      <c r="B293" s="7"/>
      <c r="C293" s="2"/>
      <c r="D293" s="8"/>
      <c r="E293" s="8"/>
      <c r="F293" s="95"/>
      <c r="G293" s="95"/>
      <c r="H293" s="249"/>
      <c r="I293" s="4"/>
      <c r="J293" s="4" t="s">
        <v>4</v>
      </c>
      <c r="K293" s="4" t="s">
        <v>4</v>
      </c>
      <c r="L293" s="4" t="s">
        <v>4</v>
      </c>
      <c r="M293" s="206" t="s">
        <v>4</v>
      </c>
    </row>
    <row r="294" spans="1:13" x14ac:dyDescent="0.4">
      <c r="A294" s="6"/>
      <c r="B294" s="7"/>
      <c r="C294" s="2"/>
      <c r="D294" s="8"/>
      <c r="E294" s="8"/>
      <c r="F294" s="95"/>
      <c r="G294" s="95"/>
      <c r="H294" s="249"/>
      <c r="I294" s="4"/>
      <c r="J294" s="4" t="s">
        <v>4</v>
      </c>
      <c r="K294" s="4" t="s">
        <v>4</v>
      </c>
      <c r="L294" s="4" t="s">
        <v>4</v>
      </c>
      <c r="M294" s="206" t="s">
        <v>4</v>
      </c>
    </row>
    <row r="295" spans="1:13" x14ac:dyDescent="0.4">
      <c r="A295" s="6"/>
      <c r="B295" s="7"/>
      <c r="C295" s="2"/>
      <c r="D295" s="8"/>
      <c r="E295" s="8"/>
      <c r="F295" s="95"/>
      <c r="G295" s="95"/>
      <c r="H295" s="249"/>
      <c r="I295" s="4"/>
      <c r="J295" s="4" t="s">
        <v>4</v>
      </c>
      <c r="K295" s="4" t="s">
        <v>4</v>
      </c>
      <c r="L295" s="4" t="s">
        <v>4</v>
      </c>
      <c r="M295" s="206" t="s">
        <v>4</v>
      </c>
    </row>
    <row r="296" spans="1:13" x14ac:dyDescent="0.4">
      <c r="A296" s="6"/>
      <c r="B296" s="7"/>
      <c r="C296" s="2"/>
      <c r="D296" s="8"/>
      <c r="E296" s="8"/>
      <c r="F296" s="95"/>
      <c r="G296" s="95"/>
      <c r="H296" s="249"/>
      <c r="I296" s="4"/>
      <c r="J296" s="4" t="s">
        <v>4</v>
      </c>
      <c r="K296" s="4" t="s">
        <v>4</v>
      </c>
      <c r="L296" s="4" t="s">
        <v>4</v>
      </c>
      <c r="M296" s="206" t="s">
        <v>4</v>
      </c>
    </row>
    <row r="297" spans="1:13" x14ac:dyDescent="0.4">
      <c r="A297" s="6"/>
      <c r="B297" s="7"/>
      <c r="C297" s="2"/>
      <c r="D297" s="8"/>
      <c r="E297" s="8"/>
      <c r="F297" s="95"/>
      <c r="G297" s="95"/>
      <c r="H297" s="249"/>
      <c r="I297" s="4"/>
      <c r="J297" s="5" t="s">
        <v>4</v>
      </c>
      <c r="K297" s="5" t="s">
        <v>4</v>
      </c>
      <c r="L297" s="5" t="s">
        <v>4</v>
      </c>
      <c r="M297" s="207" t="s">
        <v>4</v>
      </c>
    </row>
    <row r="298" spans="1:13" x14ac:dyDescent="0.4">
      <c r="A298" s="6"/>
      <c r="B298" s="7"/>
      <c r="C298" s="2"/>
      <c r="D298" s="8"/>
      <c r="E298" s="8"/>
      <c r="F298" s="95"/>
      <c r="G298" s="95"/>
      <c r="H298" s="249"/>
      <c r="I298" s="4"/>
      <c r="J298" s="4"/>
      <c r="K298" s="4"/>
      <c r="L298" s="4"/>
      <c r="M298" s="206"/>
    </row>
    <row r="299" spans="1:13" x14ac:dyDescent="0.4">
      <c r="A299" s="6"/>
      <c r="B299" s="7"/>
      <c r="C299" s="2"/>
      <c r="D299" s="8"/>
      <c r="E299" s="8"/>
      <c r="F299" s="95"/>
      <c r="G299" s="95"/>
      <c r="H299" s="249"/>
      <c r="I299" s="4"/>
      <c r="J299" s="4"/>
      <c r="K299" s="4"/>
      <c r="L299" s="4"/>
      <c r="M299" s="206"/>
    </row>
    <row r="300" spans="1:13" x14ac:dyDescent="0.4">
      <c r="A300" s="6"/>
      <c r="B300" s="7"/>
      <c r="C300" s="2"/>
      <c r="D300" s="8"/>
      <c r="E300" s="8"/>
      <c r="F300" s="95"/>
      <c r="G300" s="95"/>
      <c r="H300" s="249"/>
      <c r="I300" s="4"/>
      <c r="J300" s="4"/>
      <c r="K300" s="4"/>
      <c r="L300" s="4"/>
      <c r="M300" s="206"/>
    </row>
    <row r="301" spans="1:13" x14ac:dyDescent="0.4">
      <c r="A301" s="6"/>
      <c r="B301" s="7"/>
      <c r="C301" s="2"/>
      <c r="D301" s="8"/>
      <c r="E301" s="8"/>
      <c r="F301" s="95"/>
      <c r="G301" s="95"/>
      <c r="H301" s="249"/>
      <c r="I301" s="4"/>
      <c r="J301" s="4"/>
      <c r="K301" s="4"/>
      <c r="L301" s="4"/>
      <c r="M301" s="206"/>
    </row>
    <row r="302" spans="1:13" x14ac:dyDescent="0.4">
      <c r="A302" s="6"/>
      <c r="B302" s="7"/>
      <c r="C302" s="2"/>
      <c r="D302" s="8"/>
      <c r="E302" s="8"/>
      <c r="F302" s="95"/>
      <c r="G302" s="95"/>
      <c r="H302" s="249"/>
      <c r="I302" s="4"/>
      <c r="J302" s="4"/>
      <c r="K302" s="4"/>
      <c r="L302" s="4"/>
      <c r="M302" s="206"/>
    </row>
    <row r="303" spans="1:13" x14ac:dyDescent="0.4">
      <c r="A303" s="6"/>
      <c r="B303" s="7"/>
      <c r="C303" s="2"/>
      <c r="D303" s="8"/>
      <c r="E303" s="8"/>
      <c r="F303" s="95"/>
      <c r="G303" s="95"/>
      <c r="H303" s="249"/>
      <c r="I303" s="4"/>
      <c r="J303" s="4"/>
      <c r="K303" s="4"/>
      <c r="L303" s="4"/>
      <c r="M303" s="206"/>
    </row>
    <row r="304" spans="1:13" x14ac:dyDescent="0.4">
      <c r="A304" s="6"/>
      <c r="B304" s="7"/>
      <c r="C304" s="2"/>
      <c r="D304" s="8"/>
      <c r="E304" s="8"/>
      <c r="F304" s="95"/>
      <c r="G304" s="95"/>
      <c r="H304" s="249"/>
      <c r="I304" s="4"/>
      <c r="J304" s="4"/>
      <c r="K304" s="4"/>
      <c r="L304" s="4"/>
      <c r="M304" s="206"/>
    </row>
    <row r="305" spans="1:13" x14ac:dyDescent="0.4">
      <c r="A305" s="6"/>
      <c r="B305" s="7"/>
      <c r="C305" s="2"/>
      <c r="D305" s="8"/>
      <c r="E305" s="8"/>
      <c r="F305" s="95"/>
      <c r="G305" s="95"/>
      <c r="H305" s="249"/>
      <c r="I305" s="4"/>
      <c r="J305" s="4"/>
      <c r="K305" s="4"/>
      <c r="L305" s="4"/>
      <c r="M305" s="206"/>
    </row>
    <row r="306" spans="1:13" x14ac:dyDescent="0.4">
      <c r="A306" s="6"/>
      <c r="B306" s="7"/>
      <c r="C306" s="2"/>
      <c r="D306" s="8"/>
      <c r="E306" s="8"/>
      <c r="F306" s="95"/>
      <c r="G306" s="95"/>
      <c r="H306" s="249"/>
      <c r="I306" s="4"/>
      <c r="J306" s="4"/>
      <c r="K306" s="4"/>
      <c r="L306" s="4"/>
      <c r="M306" s="206"/>
    </row>
    <row r="307" spans="1:13" x14ac:dyDescent="0.4">
      <c r="A307" s="6"/>
      <c r="B307" s="7"/>
      <c r="C307" s="2"/>
      <c r="D307" s="8"/>
      <c r="E307" s="8"/>
      <c r="F307" s="95"/>
      <c r="G307" s="95"/>
      <c r="H307" s="249"/>
      <c r="I307" s="4"/>
      <c r="J307" s="4"/>
      <c r="K307" s="4"/>
      <c r="L307" s="4"/>
      <c r="M307" s="206"/>
    </row>
    <row r="308" spans="1:13" x14ac:dyDescent="0.4">
      <c r="A308" s="6"/>
      <c r="B308" s="7"/>
      <c r="C308" s="2"/>
      <c r="D308" s="8"/>
      <c r="E308" s="8"/>
      <c r="F308" s="95"/>
      <c r="G308" s="95"/>
      <c r="H308" s="249"/>
      <c r="I308" s="4"/>
      <c r="J308" s="4"/>
      <c r="K308" s="4"/>
      <c r="L308" s="4"/>
      <c r="M308" s="206"/>
    </row>
    <row r="309" spans="1:13" x14ac:dyDescent="0.4">
      <c r="A309" s="6"/>
      <c r="B309" s="7"/>
      <c r="C309" s="2"/>
      <c r="D309" s="8"/>
      <c r="E309" s="8"/>
      <c r="F309" s="95"/>
      <c r="G309" s="95"/>
      <c r="H309" s="249"/>
      <c r="I309" s="4"/>
      <c r="J309" s="4"/>
      <c r="K309" s="4"/>
      <c r="L309" s="4"/>
      <c r="M309" s="206"/>
    </row>
    <row r="310" spans="1:13" x14ac:dyDescent="0.4">
      <c r="A310" s="6"/>
      <c r="B310" s="7"/>
      <c r="C310" s="2"/>
      <c r="D310" s="8"/>
      <c r="E310" s="8"/>
      <c r="F310" s="95"/>
      <c r="G310" s="95"/>
      <c r="H310" s="249"/>
      <c r="I310" s="4"/>
      <c r="J310" s="4"/>
      <c r="K310" s="4"/>
      <c r="L310" s="4"/>
      <c r="M310" s="206"/>
    </row>
    <row r="311" spans="1:13" x14ac:dyDescent="0.4">
      <c r="A311" s="6"/>
      <c r="B311" s="7"/>
      <c r="C311" s="2"/>
      <c r="D311" s="8"/>
      <c r="E311" s="8"/>
      <c r="F311" s="95"/>
      <c r="G311" s="95"/>
      <c r="H311" s="249"/>
      <c r="I311" s="4"/>
      <c r="J311" s="4"/>
      <c r="K311" s="4"/>
      <c r="L311" s="4"/>
      <c r="M311" s="206"/>
    </row>
    <row r="312" spans="1:13" x14ac:dyDescent="0.4">
      <c r="A312" s="6"/>
      <c r="B312" s="7"/>
      <c r="C312" s="2"/>
      <c r="D312" s="8"/>
      <c r="E312" s="8"/>
      <c r="F312" s="95"/>
      <c r="G312" s="95"/>
      <c r="H312" s="249"/>
      <c r="I312" s="4"/>
      <c r="J312" s="4"/>
      <c r="K312" s="4"/>
      <c r="L312" s="4"/>
      <c r="M312" s="206"/>
    </row>
    <row r="313" spans="1:13" x14ac:dyDescent="0.4">
      <c r="A313" s="6"/>
      <c r="B313" s="7"/>
      <c r="C313" s="2"/>
      <c r="D313" s="8"/>
      <c r="E313" s="8"/>
      <c r="F313" s="95"/>
      <c r="G313" s="95"/>
      <c r="H313" s="249"/>
      <c r="I313" s="4"/>
      <c r="J313" s="4"/>
      <c r="K313" s="4"/>
      <c r="L313" s="4"/>
      <c r="M313" s="206"/>
    </row>
    <row r="314" spans="1:13" x14ac:dyDescent="0.4">
      <c r="A314" s="6"/>
      <c r="B314" s="7"/>
      <c r="C314" s="2"/>
      <c r="D314" s="8"/>
      <c r="E314" s="8"/>
      <c r="F314" s="95"/>
      <c r="G314" s="95"/>
      <c r="H314" s="249"/>
      <c r="I314" s="4"/>
      <c r="J314" s="4"/>
      <c r="K314" s="4"/>
      <c r="L314" s="4"/>
      <c r="M314" s="206"/>
    </row>
    <row r="315" spans="1:13" x14ac:dyDescent="0.4">
      <c r="A315" s="6"/>
      <c r="B315" s="7"/>
      <c r="C315" s="2"/>
      <c r="D315" s="8"/>
      <c r="E315" s="8"/>
      <c r="F315" s="95"/>
      <c r="G315" s="95"/>
      <c r="H315" s="249"/>
      <c r="I315" s="4"/>
      <c r="J315" s="4"/>
      <c r="K315" s="4"/>
      <c r="L315" s="4"/>
      <c r="M315" s="206"/>
    </row>
    <row r="316" spans="1:13" x14ac:dyDescent="0.4">
      <c r="A316" s="6"/>
      <c r="B316" s="7"/>
      <c r="C316" s="2"/>
      <c r="D316" s="8"/>
      <c r="E316" s="8"/>
      <c r="F316" s="95"/>
      <c r="G316" s="95"/>
      <c r="H316" s="249"/>
      <c r="I316" s="4"/>
      <c r="J316" s="4"/>
      <c r="K316" s="4"/>
      <c r="L316" s="4"/>
      <c r="M316" s="206"/>
    </row>
    <row r="317" spans="1:13" x14ac:dyDescent="0.4">
      <c r="A317" s="6"/>
      <c r="B317" s="7"/>
      <c r="C317" s="2"/>
      <c r="D317" s="8"/>
      <c r="E317" s="8"/>
      <c r="F317" s="95"/>
      <c r="G317" s="95"/>
      <c r="H317" s="249"/>
      <c r="I317" s="4"/>
      <c r="J317" s="4"/>
      <c r="K317" s="4"/>
      <c r="L317" s="4"/>
      <c r="M317" s="206"/>
    </row>
    <row r="318" spans="1:13" x14ac:dyDescent="0.4">
      <c r="A318" s="6"/>
      <c r="B318" s="7"/>
      <c r="C318" s="2"/>
      <c r="D318" s="8"/>
      <c r="E318" s="8"/>
      <c r="F318" s="95"/>
      <c r="G318" s="95"/>
      <c r="H318" s="249"/>
      <c r="I318" s="4"/>
      <c r="J318" s="4"/>
      <c r="K318" s="4"/>
      <c r="L318" s="4"/>
      <c r="M318" s="206"/>
    </row>
    <row r="319" spans="1:13" x14ac:dyDescent="0.4">
      <c r="A319" s="6"/>
      <c r="B319" s="7"/>
      <c r="C319" s="2"/>
      <c r="D319" s="8"/>
      <c r="E319" s="8"/>
      <c r="F319" s="95"/>
      <c r="G319" s="95"/>
      <c r="H319" s="249"/>
      <c r="I319" s="4"/>
      <c r="J319" s="4"/>
      <c r="K319" s="4"/>
      <c r="L319" s="4"/>
      <c r="M319" s="206"/>
    </row>
    <row r="320" spans="1:13" x14ac:dyDescent="0.4">
      <c r="A320" s="6"/>
      <c r="B320" s="7"/>
      <c r="C320" s="2"/>
      <c r="D320" s="8"/>
      <c r="E320" s="8"/>
      <c r="F320" s="95"/>
      <c r="G320" s="95"/>
      <c r="H320" s="249"/>
      <c r="I320" s="4"/>
      <c r="J320" s="4"/>
      <c r="K320" s="4"/>
      <c r="L320" s="4"/>
      <c r="M320" s="206"/>
    </row>
    <row r="321" spans="1:13" x14ac:dyDescent="0.4">
      <c r="A321" s="6"/>
      <c r="B321" s="7"/>
      <c r="C321" s="2"/>
      <c r="D321" s="8"/>
      <c r="E321" s="8"/>
      <c r="F321" s="95"/>
      <c r="G321" s="95"/>
      <c r="H321" s="249"/>
      <c r="I321" s="4"/>
      <c r="J321" s="4"/>
      <c r="K321" s="4"/>
      <c r="L321" s="4"/>
      <c r="M321" s="206"/>
    </row>
    <row r="322" spans="1:13" x14ac:dyDescent="0.4">
      <c r="A322" s="6"/>
      <c r="B322" s="7"/>
      <c r="C322" s="2"/>
      <c r="D322" s="8"/>
      <c r="E322" s="8"/>
      <c r="F322" s="95"/>
      <c r="G322" s="95"/>
      <c r="H322" s="249"/>
      <c r="I322" s="4"/>
      <c r="J322" s="4"/>
      <c r="K322" s="4"/>
      <c r="L322" s="4"/>
      <c r="M322" s="206"/>
    </row>
    <row r="323" spans="1:13" x14ac:dyDescent="0.4">
      <c r="A323" s="6"/>
      <c r="B323" s="7"/>
      <c r="C323" s="2"/>
      <c r="D323" s="8"/>
      <c r="E323" s="8"/>
      <c r="F323" s="95"/>
      <c r="G323" s="95"/>
      <c r="H323" s="249"/>
      <c r="I323" s="4"/>
      <c r="J323" s="4"/>
      <c r="K323" s="4"/>
      <c r="L323" s="4"/>
      <c r="M323" s="206"/>
    </row>
    <row r="324" spans="1:13" x14ac:dyDescent="0.4">
      <c r="A324" s="6"/>
      <c r="B324" s="7"/>
      <c r="C324" s="2"/>
      <c r="D324" s="8"/>
      <c r="E324" s="8"/>
      <c r="F324" s="95"/>
      <c r="G324" s="95"/>
      <c r="H324" s="249"/>
      <c r="I324" s="4"/>
      <c r="J324" s="4"/>
      <c r="K324" s="4"/>
      <c r="L324" s="4"/>
      <c r="M324" s="206"/>
    </row>
    <row r="325" spans="1:13" x14ac:dyDescent="0.4">
      <c r="A325" s="6"/>
      <c r="B325" s="7"/>
      <c r="C325" s="2"/>
      <c r="D325" s="8"/>
      <c r="E325" s="8"/>
      <c r="F325" s="95"/>
      <c r="G325" s="95"/>
      <c r="H325" s="249"/>
      <c r="I325" s="4"/>
      <c r="J325" s="4"/>
      <c r="K325" s="4"/>
      <c r="L325" s="4"/>
      <c r="M325" s="206"/>
    </row>
    <row r="326" spans="1:13" x14ac:dyDescent="0.4">
      <c r="A326" s="6"/>
      <c r="B326" s="7"/>
      <c r="C326" s="2"/>
      <c r="D326" s="8"/>
      <c r="E326" s="8"/>
      <c r="F326" s="95"/>
      <c r="G326" s="95"/>
      <c r="H326" s="249"/>
      <c r="I326" s="4"/>
      <c r="J326" s="4"/>
      <c r="K326" s="4"/>
      <c r="L326" s="4"/>
      <c r="M326" s="206"/>
    </row>
    <row r="327" spans="1:13" x14ac:dyDescent="0.4">
      <c r="A327" s="6"/>
      <c r="B327" s="7"/>
      <c r="C327" s="2"/>
      <c r="D327" s="8"/>
      <c r="E327" s="8"/>
      <c r="F327" s="95"/>
      <c r="G327" s="95"/>
      <c r="H327" s="249"/>
      <c r="I327" s="4"/>
      <c r="J327" s="4"/>
      <c r="K327" s="4"/>
      <c r="L327" s="4"/>
      <c r="M327" s="206"/>
    </row>
    <row r="328" spans="1:13" x14ac:dyDescent="0.4">
      <c r="A328" s="6"/>
      <c r="B328" s="7"/>
      <c r="C328" s="2"/>
      <c r="D328" s="8"/>
      <c r="E328" s="8"/>
      <c r="F328" s="95"/>
      <c r="G328" s="95"/>
      <c r="H328" s="249"/>
      <c r="I328" s="4"/>
      <c r="J328" s="4"/>
      <c r="K328" s="4"/>
      <c r="L328" s="4"/>
      <c r="M328" s="206"/>
    </row>
    <row r="329" spans="1:13" x14ac:dyDescent="0.4">
      <c r="A329" s="6"/>
      <c r="B329" s="7"/>
      <c r="C329" s="2"/>
      <c r="D329" s="8"/>
      <c r="E329" s="8"/>
      <c r="F329" s="95"/>
      <c r="G329" s="95"/>
      <c r="H329" s="249"/>
      <c r="I329" s="4"/>
      <c r="J329" s="4"/>
      <c r="K329" s="4"/>
      <c r="L329" s="4"/>
      <c r="M329" s="206"/>
    </row>
    <row r="330" spans="1:13" x14ac:dyDescent="0.4">
      <c r="A330" s="6"/>
      <c r="B330" s="7"/>
      <c r="C330" s="2"/>
      <c r="D330" s="8"/>
      <c r="E330" s="8"/>
      <c r="F330" s="95"/>
      <c r="G330" s="95"/>
      <c r="H330" s="249"/>
      <c r="I330" s="4"/>
      <c r="J330" s="4"/>
      <c r="K330" s="4"/>
      <c r="L330" s="4"/>
      <c r="M330" s="206"/>
    </row>
    <row r="331" spans="1:13" x14ac:dyDescent="0.4">
      <c r="A331" s="6"/>
      <c r="B331" s="7"/>
      <c r="C331" s="2"/>
      <c r="D331" s="8"/>
      <c r="E331" s="8"/>
      <c r="F331" s="95"/>
      <c r="G331" s="95"/>
      <c r="H331" s="249"/>
      <c r="I331" s="4"/>
      <c r="J331" s="4"/>
      <c r="K331" s="4"/>
      <c r="L331" s="4"/>
      <c r="M331" s="206"/>
    </row>
    <row r="332" spans="1:13" x14ac:dyDescent="0.4">
      <c r="A332" s="6"/>
      <c r="B332" s="7"/>
      <c r="C332" s="2"/>
      <c r="D332" s="8"/>
      <c r="E332" s="8"/>
      <c r="F332" s="95"/>
      <c r="G332" s="95"/>
      <c r="H332" s="249"/>
      <c r="I332" s="4"/>
      <c r="J332" s="4"/>
      <c r="K332" s="4"/>
      <c r="L332" s="4"/>
      <c r="M332" s="206"/>
    </row>
    <row r="333" spans="1:13" x14ac:dyDescent="0.4">
      <c r="A333" s="6"/>
      <c r="B333" s="7"/>
      <c r="C333" s="2"/>
      <c r="D333" s="8"/>
      <c r="E333" s="8"/>
      <c r="F333" s="95"/>
      <c r="G333" s="95"/>
      <c r="H333" s="249"/>
      <c r="I333" s="4"/>
      <c r="J333" s="4"/>
      <c r="K333" s="4"/>
      <c r="L333" s="4"/>
      <c r="M333" s="206"/>
    </row>
    <row r="334" spans="1:13" x14ac:dyDescent="0.4">
      <c r="A334" s="6"/>
      <c r="B334" s="7"/>
      <c r="C334" s="2"/>
      <c r="D334" s="8"/>
      <c r="E334" s="8"/>
      <c r="F334" s="95"/>
      <c r="G334" s="95"/>
      <c r="H334" s="249"/>
      <c r="I334" s="4"/>
      <c r="J334" s="4"/>
      <c r="K334" s="4"/>
      <c r="L334" s="4"/>
      <c r="M334" s="206"/>
    </row>
    <row r="335" spans="1:13" x14ac:dyDescent="0.4">
      <c r="A335" s="6"/>
      <c r="B335" s="7"/>
      <c r="C335" s="2"/>
      <c r="D335" s="8"/>
      <c r="E335" s="8"/>
      <c r="F335" s="95"/>
      <c r="G335" s="95"/>
      <c r="H335" s="249"/>
      <c r="I335" s="4"/>
      <c r="J335" s="4"/>
      <c r="K335" s="4"/>
      <c r="L335" s="4"/>
      <c r="M335" s="206"/>
    </row>
    <row r="336" spans="1:13" x14ac:dyDescent="0.4">
      <c r="A336" s="6"/>
      <c r="B336" s="7"/>
      <c r="C336" s="2"/>
      <c r="D336" s="8"/>
      <c r="E336" s="8"/>
      <c r="F336" s="95"/>
      <c r="G336" s="95"/>
      <c r="H336" s="249"/>
      <c r="I336" s="4"/>
      <c r="J336" s="4"/>
      <c r="K336" s="4"/>
      <c r="L336" s="4"/>
      <c r="M336" s="206"/>
    </row>
    <row r="337" spans="1:13" x14ac:dyDescent="0.4">
      <c r="A337" s="6"/>
      <c r="B337" s="7"/>
      <c r="C337" s="2"/>
      <c r="D337" s="8"/>
      <c r="E337" s="8"/>
      <c r="F337" s="95"/>
      <c r="G337" s="95"/>
      <c r="H337" s="249"/>
      <c r="I337" s="4"/>
      <c r="J337" s="4"/>
      <c r="K337" s="4"/>
      <c r="L337" s="4"/>
      <c r="M337" s="206"/>
    </row>
    <row r="338" spans="1:13" x14ac:dyDescent="0.4">
      <c r="A338" s="6"/>
      <c r="B338" s="7"/>
      <c r="C338" s="2"/>
      <c r="D338" s="8"/>
      <c r="E338" s="8"/>
      <c r="F338" s="95"/>
      <c r="G338" s="95"/>
      <c r="H338" s="249"/>
      <c r="I338" s="4"/>
      <c r="J338" s="4"/>
      <c r="K338" s="4"/>
      <c r="L338" s="4"/>
      <c r="M338" s="206"/>
    </row>
    <row r="339" spans="1:13" x14ac:dyDescent="0.4">
      <c r="A339" s="6"/>
      <c r="B339" s="7"/>
      <c r="C339" s="2"/>
      <c r="D339" s="8"/>
      <c r="E339" s="8"/>
      <c r="F339" s="95"/>
      <c r="G339" s="95"/>
      <c r="H339" s="249"/>
      <c r="I339" s="4"/>
      <c r="J339" s="4"/>
      <c r="K339" s="4"/>
      <c r="L339" s="4"/>
      <c r="M339" s="206"/>
    </row>
    <row r="340" spans="1:13" x14ac:dyDescent="0.4">
      <c r="A340" s="6"/>
      <c r="B340" s="7"/>
      <c r="C340" s="2"/>
      <c r="D340" s="8"/>
      <c r="E340" s="8"/>
      <c r="F340" s="95"/>
      <c r="G340" s="95"/>
      <c r="H340" s="249"/>
      <c r="I340" s="4"/>
      <c r="J340" s="4"/>
      <c r="K340" s="4"/>
      <c r="L340" s="4"/>
      <c r="M340" s="206"/>
    </row>
    <row r="341" spans="1:13" x14ac:dyDescent="0.4">
      <c r="A341" s="6"/>
      <c r="B341" s="7"/>
      <c r="C341" s="2"/>
      <c r="D341" s="8"/>
      <c r="E341" s="8"/>
      <c r="F341" s="95"/>
      <c r="G341" s="95"/>
      <c r="H341" s="249"/>
      <c r="I341" s="4"/>
      <c r="J341" s="4"/>
      <c r="K341" s="4"/>
      <c r="L341" s="4"/>
      <c r="M341" s="206"/>
    </row>
    <row r="342" spans="1:13" x14ac:dyDescent="0.4">
      <c r="A342" s="6"/>
      <c r="B342" s="7"/>
      <c r="C342" s="2"/>
      <c r="D342" s="8"/>
      <c r="E342" s="8"/>
      <c r="F342" s="95"/>
      <c r="G342" s="95"/>
      <c r="H342" s="249"/>
      <c r="I342" s="4"/>
      <c r="J342" s="4"/>
      <c r="K342" s="4"/>
      <c r="L342" s="4"/>
      <c r="M342" s="206"/>
    </row>
    <row r="343" spans="1:13" x14ac:dyDescent="0.4">
      <c r="A343" s="6"/>
      <c r="B343" s="7"/>
      <c r="C343" s="2"/>
      <c r="D343" s="8"/>
      <c r="E343" s="8"/>
      <c r="F343" s="95"/>
      <c r="G343" s="95"/>
      <c r="H343" s="249"/>
      <c r="I343" s="4"/>
      <c r="J343" s="4"/>
      <c r="K343" s="4"/>
      <c r="L343" s="4"/>
      <c r="M343" s="206"/>
    </row>
    <row r="344" spans="1:13" x14ac:dyDescent="0.4">
      <c r="A344" s="6"/>
      <c r="B344" s="7"/>
      <c r="C344" s="2"/>
      <c r="D344" s="8"/>
      <c r="E344" s="8"/>
      <c r="F344" s="95"/>
      <c r="G344" s="95"/>
      <c r="H344" s="249"/>
      <c r="I344" s="4"/>
      <c r="J344" s="4"/>
      <c r="K344" s="4"/>
      <c r="L344" s="4"/>
      <c r="M344" s="206"/>
    </row>
    <row r="345" spans="1:13" x14ac:dyDescent="0.4">
      <c r="A345" s="6"/>
      <c r="B345" s="7"/>
      <c r="C345" s="2"/>
      <c r="D345" s="8"/>
      <c r="E345" s="8"/>
      <c r="F345" s="95"/>
      <c r="G345" s="95"/>
      <c r="H345" s="249"/>
      <c r="I345" s="4"/>
      <c r="J345" s="4"/>
      <c r="K345" s="4"/>
      <c r="L345" s="4"/>
      <c r="M345" s="206"/>
    </row>
    <row r="346" spans="1:13" x14ac:dyDescent="0.4">
      <c r="A346" s="6"/>
      <c r="B346" s="7"/>
      <c r="C346" s="2"/>
      <c r="D346" s="8"/>
      <c r="E346" s="8"/>
      <c r="F346" s="95"/>
      <c r="G346" s="95"/>
      <c r="H346" s="249"/>
      <c r="I346" s="4"/>
      <c r="J346" s="4"/>
      <c r="K346" s="4"/>
      <c r="L346" s="4"/>
      <c r="M346" s="206"/>
    </row>
    <row r="347" spans="1:13" x14ac:dyDescent="0.4">
      <c r="A347" s="6"/>
      <c r="B347" s="7"/>
      <c r="C347" s="2"/>
      <c r="D347" s="8"/>
      <c r="E347" s="8"/>
      <c r="F347" s="95"/>
      <c r="G347" s="95"/>
      <c r="H347" s="249"/>
      <c r="I347" s="4"/>
      <c r="J347" s="4"/>
      <c r="K347" s="4"/>
      <c r="L347" s="4"/>
      <c r="M347" s="206"/>
    </row>
  </sheetData>
  <mergeCells count="1">
    <mergeCell ref="C3:D3"/>
  </mergeCells>
  <phoneticPr fontId="0" type="noConversion"/>
  <pageMargins left="0.5" right="0.5" top="0.28000000000000003" bottom="0.53" header="0" footer="0"/>
  <pageSetup scale="75" orientation="portrait" r:id="rId1"/>
  <headerFooter alignWithMargins="0">
    <oddFooter>&amp;CP.&amp;P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5"/>
  <sheetViews>
    <sheetView tabSelected="1" showOutlineSymbols="0" topLeftCell="A25" zoomScale="87" zoomScaleNormal="87" workbookViewId="0">
      <selection activeCell="D30" sqref="D30:D31"/>
    </sheetView>
  </sheetViews>
  <sheetFormatPr defaultColWidth="9.609375" defaultRowHeight="15" x14ac:dyDescent="0.4"/>
  <cols>
    <col min="1" max="1" width="4.1640625" style="1" customWidth="1"/>
    <col min="2" max="2" width="7.44140625" style="1" customWidth="1"/>
    <col min="3" max="3" width="9.609375" style="1" customWidth="1"/>
    <col min="4" max="4" width="13.609375" style="1" customWidth="1"/>
    <col min="5" max="5" width="8.609375" style="1" customWidth="1"/>
    <col min="6" max="6" width="6.83203125" style="1" customWidth="1"/>
    <col min="7" max="7" width="4.83203125" style="1" customWidth="1"/>
    <col min="8" max="8" width="5.609375" style="1" customWidth="1"/>
    <col min="9" max="9" width="4.88671875" style="1" customWidth="1"/>
    <col min="10" max="11" width="6.38671875" style="1" customWidth="1"/>
    <col min="12" max="12" width="7.5546875" style="1" customWidth="1"/>
    <col min="13" max="13" width="1.88671875" style="1" customWidth="1"/>
    <col min="14" max="14" width="6.88671875" style="204" hidden="1" customWidth="1"/>
    <col min="15" max="16384" width="9.609375" style="1"/>
  </cols>
  <sheetData>
    <row r="1" spans="1:14" ht="20.25" customHeight="1" x14ac:dyDescent="0.5">
      <c r="A1" s="20"/>
      <c r="B1" s="21"/>
      <c r="C1" s="21"/>
      <c r="D1" s="21"/>
      <c r="E1" s="210" t="s">
        <v>7</v>
      </c>
      <c r="F1" s="22"/>
      <c r="G1" s="22"/>
      <c r="H1" s="22"/>
      <c r="I1" s="22"/>
      <c r="J1" s="21"/>
      <c r="K1" s="21"/>
      <c r="L1" s="203" t="str">
        <f>Owner!K2</f>
        <v>Cr-19</v>
      </c>
      <c r="M1" s="19"/>
    </row>
    <row r="2" spans="1:14" x14ac:dyDescent="0.4">
      <c r="A2" s="23" t="s">
        <v>37</v>
      </c>
      <c r="B2" s="24"/>
      <c r="C2" s="257"/>
      <c r="D2" s="24"/>
      <c r="E2" s="24"/>
      <c r="F2" s="24"/>
      <c r="G2" s="24"/>
      <c r="H2" s="24"/>
      <c r="I2" s="24"/>
      <c r="J2" s="24"/>
      <c r="K2" s="24"/>
      <c r="L2" s="25"/>
      <c r="M2" s="19"/>
    </row>
    <row r="3" spans="1:14" x14ac:dyDescent="0.4">
      <c r="A3" s="51" t="s">
        <v>0</v>
      </c>
      <c r="B3" s="24"/>
      <c r="C3" s="197" t="s">
        <v>17</v>
      </c>
      <c r="D3" s="24" t="s">
        <v>4</v>
      </c>
      <c r="E3" s="26" t="s">
        <v>4</v>
      </c>
      <c r="F3" s="26"/>
      <c r="G3" s="24"/>
      <c r="H3" s="24"/>
      <c r="I3" s="24"/>
      <c r="J3" s="24"/>
      <c r="K3" s="24"/>
      <c r="L3" s="25"/>
      <c r="M3" s="19"/>
    </row>
    <row r="4" spans="1:14" ht="15.4" thickBot="1" x14ac:dyDescent="0.45">
      <c r="A4" s="51" t="s">
        <v>1</v>
      </c>
      <c r="B4" s="24"/>
      <c r="C4" s="52" t="s">
        <v>17</v>
      </c>
      <c r="D4" s="24" t="s">
        <v>4</v>
      </c>
      <c r="E4" s="24"/>
      <c r="F4" s="24"/>
      <c r="G4" s="24"/>
      <c r="H4" s="24"/>
      <c r="I4" s="24"/>
      <c r="J4" s="24"/>
      <c r="K4" s="24"/>
      <c r="L4" s="25"/>
      <c r="M4" s="19"/>
    </row>
    <row r="5" spans="1:14" ht="44.25" customHeight="1" thickBot="1" x14ac:dyDescent="0.45">
      <c r="A5" s="53"/>
      <c r="B5" s="54" t="s">
        <v>2</v>
      </c>
      <c r="C5" s="55" t="s">
        <v>3</v>
      </c>
      <c r="D5" s="55" t="s">
        <v>6</v>
      </c>
      <c r="E5" s="55" t="s">
        <v>8</v>
      </c>
      <c r="F5" s="55" t="s">
        <v>9</v>
      </c>
      <c r="G5" s="55" t="s">
        <v>10</v>
      </c>
      <c r="H5" s="55" t="s">
        <v>11</v>
      </c>
      <c r="I5" s="55" t="s">
        <v>12</v>
      </c>
      <c r="J5" s="55" t="s">
        <v>13</v>
      </c>
      <c r="K5" s="55" t="s">
        <v>14</v>
      </c>
      <c r="L5" s="62" t="s">
        <v>15</v>
      </c>
      <c r="M5" s="11" t="s">
        <v>4</v>
      </c>
      <c r="N5" s="205" t="s">
        <v>31</v>
      </c>
    </row>
    <row r="6" spans="1:14" x14ac:dyDescent="0.4">
      <c r="A6" s="64"/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7"/>
      <c r="M6" s="11"/>
      <c r="N6" s="205"/>
    </row>
    <row r="7" spans="1:14" x14ac:dyDescent="0.4">
      <c r="A7" s="105" t="s">
        <v>16</v>
      </c>
      <c r="B7" s="106" t="s">
        <v>23</v>
      </c>
      <c r="C7" s="251"/>
      <c r="D7" s="252"/>
      <c r="E7" s="57"/>
      <c r="F7" s="57"/>
      <c r="G7" s="57"/>
      <c r="H7" s="57"/>
      <c r="I7" s="57"/>
      <c r="J7" s="57"/>
      <c r="K7" s="58"/>
      <c r="L7" s="63"/>
      <c r="M7" s="11"/>
      <c r="N7" s="205"/>
    </row>
    <row r="8" spans="1:14" x14ac:dyDescent="0.4">
      <c r="A8" s="56"/>
      <c r="B8" s="322">
        <v>44083</v>
      </c>
      <c r="C8" s="66"/>
      <c r="D8" s="66"/>
      <c r="E8" s="59"/>
      <c r="F8" s="59"/>
      <c r="G8" s="59"/>
      <c r="H8" s="59"/>
      <c r="I8" s="59"/>
      <c r="J8" s="68"/>
      <c r="K8" s="69">
        <f t="shared" ref="K8:K27" si="0">IF(G8="TLX",ROUND(N8/32*I8,2),ROUND(N8*I8,2))</f>
        <v>0</v>
      </c>
      <c r="L8" s="70">
        <f t="shared" ref="L8:L18" si="1">SUM(J8+K8)</f>
        <v>0</v>
      </c>
      <c r="M8" s="19"/>
      <c r="N8" s="206">
        <f t="shared" ref="N8:N73" si="2">SUM(E8+F8/60)</f>
        <v>0</v>
      </c>
    </row>
    <row r="9" spans="1:14" x14ac:dyDescent="0.4">
      <c r="A9" s="56"/>
      <c r="B9" s="66"/>
      <c r="C9" s="66"/>
      <c r="D9" s="66"/>
      <c r="E9" s="59"/>
      <c r="F9" s="59"/>
      <c r="G9" s="59"/>
      <c r="H9" s="59"/>
      <c r="I9" s="59"/>
      <c r="J9" s="68"/>
      <c r="K9" s="69">
        <f t="shared" si="0"/>
        <v>0</v>
      </c>
      <c r="L9" s="70">
        <f t="shared" si="1"/>
        <v>0</v>
      </c>
      <c r="M9" s="19"/>
      <c r="N9" s="206">
        <f t="shared" si="2"/>
        <v>0</v>
      </c>
    </row>
    <row r="10" spans="1:14" x14ac:dyDescent="0.4">
      <c r="A10" s="56"/>
      <c r="B10" s="66"/>
      <c r="C10" s="66"/>
      <c r="D10" s="66"/>
      <c r="E10" s="59"/>
      <c r="F10" s="59"/>
      <c r="G10" s="59"/>
      <c r="H10" s="59"/>
      <c r="I10" s="59"/>
      <c r="J10" s="59"/>
      <c r="K10" s="69">
        <f t="shared" si="0"/>
        <v>0</v>
      </c>
      <c r="L10" s="70">
        <f t="shared" si="1"/>
        <v>0</v>
      </c>
      <c r="M10" s="19"/>
      <c r="N10" s="206">
        <f t="shared" si="2"/>
        <v>0</v>
      </c>
    </row>
    <row r="11" spans="1:14" x14ac:dyDescent="0.4">
      <c r="A11" s="56"/>
      <c r="B11" s="66"/>
      <c r="C11" s="66"/>
      <c r="D11" s="66"/>
      <c r="E11" s="59"/>
      <c r="F11" s="59"/>
      <c r="G11" s="59"/>
      <c r="H11" s="59"/>
      <c r="I11" s="59"/>
      <c r="J11" s="59"/>
      <c r="K11" s="69">
        <f t="shared" si="0"/>
        <v>0</v>
      </c>
      <c r="L11" s="70">
        <f t="shared" si="1"/>
        <v>0</v>
      </c>
      <c r="M11" s="19"/>
      <c r="N11" s="206">
        <f t="shared" si="2"/>
        <v>0</v>
      </c>
    </row>
    <row r="12" spans="1:14" x14ac:dyDescent="0.4">
      <c r="A12" s="56"/>
      <c r="B12" s="66"/>
      <c r="C12" s="66"/>
      <c r="D12" s="66"/>
      <c r="E12" s="67"/>
      <c r="F12" s="67"/>
      <c r="G12" s="59"/>
      <c r="H12" s="59"/>
      <c r="I12" s="59"/>
      <c r="J12" s="59"/>
      <c r="K12" s="69">
        <f t="shared" si="0"/>
        <v>0</v>
      </c>
      <c r="L12" s="70">
        <f t="shared" si="1"/>
        <v>0</v>
      </c>
      <c r="M12" s="19"/>
      <c r="N12" s="206">
        <f t="shared" si="2"/>
        <v>0</v>
      </c>
    </row>
    <row r="13" spans="1:14" x14ac:dyDescent="0.4">
      <c r="A13" s="56"/>
      <c r="B13" s="66"/>
      <c r="C13" s="66"/>
      <c r="D13" s="66"/>
      <c r="E13" s="67"/>
      <c r="F13" s="67"/>
      <c r="G13" s="59"/>
      <c r="H13" s="59"/>
      <c r="I13" s="59"/>
      <c r="J13" s="59"/>
      <c r="K13" s="69">
        <f>IF(G13="TLX",ROUND(N13/32*I13,2),ROUND(N13*I13,2))</f>
        <v>0</v>
      </c>
      <c r="L13" s="70">
        <f>SUM(J13+K13)</f>
        <v>0</v>
      </c>
      <c r="M13" s="19"/>
      <c r="N13" s="206">
        <f>SUM(E13+F13/60)</f>
        <v>0</v>
      </c>
    </row>
    <row r="14" spans="1:14" x14ac:dyDescent="0.4">
      <c r="A14" s="56"/>
      <c r="B14" s="66"/>
      <c r="C14" s="66"/>
      <c r="D14" s="66"/>
      <c r="E14" s="67"/>
      <c r="F14" s="67"/>
      <c r="G14" s="59"/>
      <c r="H14" s="59"/>
      <c r="I14" s="59"/>
      <c r="J14" s="59"/>
      <c r="K14" s="69">
        <f>IF(G14="TLX",ROUND(N14/32*I14,2),ROUND(N14*I14,2))</f>
        <v>0</v>
      </c>
      <c r="L14" s="70">
        <f>SUM(J14+K14)</f>
        <v>0</v>
      </c>
      <c r="M14" s="19"/>
      <c r="N14" s="206">
        <f>SUM(E14+F14/60)</f>
        <v>0</v>
      </c>
    </row>
    <row r="15" spans="1:14" x14ac:dyDescent="0.4">
      <c r="A15" s="56"/>
      <c r="B15" s="66"/>
      <c r="C15" s="66"/>
      <c r="D15" s="66"/>
      <c r="E15" s="67"/>
      <c r="F15" s="67"/>
      <c r="G15" s="59"/>
      <c r="H15" s="59"/>
      <c r="I15" s="59"/>
      <c r="J15" s="59"/>
      <c r="K15" s="69">
        <f>IF(G15="TLX",ROUND(N15/32*I15,2),ROUND(N15*I15,2))</f>
        <v>0</v>
      </c>
      <c r="L15" s="70">
        <f>SUM(J15+K15)</f>
        <v>0</v>
      </c>
      <c r="M15" s="19"/>
      <c r="N15" s="206">
        <f>SUM(E15+F15/60)</f>
        <v>0</v>
      </c>
    </row>
    <row r="16" spans="1:14" x14ac:dyDescent="0.4">
      <c r="A16" s="56"/>
      <c r="B16" s="66"/>
      <c r="C16" s="66"/>
      <c r="D16" s="66"/>
      <c r="E16" s="67"/>
      <c r="F16" s="67"/>
      <c r="G16" s="59"/>
      <c r="H16" s="59"/>
      <c r="I16" s="59"/>
      <c r="J16" s="59"/>
      <c r="K16" s="69">
        <f>IF(G16="TLX",ROUND(N16/32*I16,2),ROUND(N16*I16,2))</f>
        <v>0</v>
      </c>
      <c r="L16" s="70">
        <f>SUM(J16+K16)</f>
        <v>0</v>
      </c>
      <c r="M16" s="19"/>
      <c r="N16" s="206">
        <f>SUM(E16+F16/60)</f>
        <v>0</v>
      </c>
    </row>
    <row r="17" spans="1:14" x14ac:dyDescent="0.4">
      <c r="A17" s="56"/>
      <c r="B17" s="66"/>
      <c r="C17" s="66"/>
      <c r="D17" s="66"/>
      <c r="E17" s="67"/>
      <c r="F17" s="67"/>
      <c r="G17" s="59"/>
      <c r="H17" s="59"/>
      <c r="I17" s="59"/>
      <c r="J17" s="59"/>
      <c r="K17" s="69">
        <f>IF(G17="TLX",ROUND(N17/32*I17,2),ROUND(N17*I17,2))</f>
        <v>0</v>
      </c>
      <c r="L17" s="70">
        <f>SUM(J17+K17)</f>
        <v>0</v>
      </c>
      <c r="M17" s="19"/>
      <c r="N17" s="206">
        <f>SUM(E17+F17/60)</f>
        <v>0</v>
      </c>
    </row>
    <row r="18" spans="1:14" x14ac:dyDescent="0.4">
      <c r="A18" s="56"/>
      <c r="B18" s="66"/>
      <c r="C18" s="66"/>
      <c r="D18" s="66"/>
      <c r="E18" s="59"/>
      <c r="F18" s="59"/>
      <c r="G18" s="59"/>
      <c r="H18" s="59"/>
      <c r="I18" s="59"/>
      <c r="J18" s="59"/>
      <c r="K18" s="69">
        <f t="shared" si="0"/>
        <v>0</v>
      </c>
      <c r="L18" s="70">
        <f t="shared" si="1"/>
        <v>0</v>
      </c>
      <c r="M18" s="19"/>
      <c r="N18" s="206">
        <f t="shared" si="2"/>
        <v>0</v>
      </c>
    </row>
    <row r="19" spans="1:14" x14ac:dyDescent="0.4">
      <c r="A19" s="56"/>
      <c r="B19" s="59"/>
      <c r="C19" s="66"/>
      <c r="D19" s="66"/>
      <c r="E19" s="59"/>
      <c r="F19" s="59"/>
      <c r="G19" s="59"/>
      <c r="H19" s="59"/>
      <c r="I19" s="59"/>
      <c r="J19" s="59"/>
      <c r="K19" s="69">
        <f t="shared" si="0"/>
        <v>0</v>
      </c>
      <c r="L19" s="70">
        <f t="shared" ref="L19:L27" si="3">SUM(J19+K19)</f>
        <v>0</v>
      </c>
      <c r="M19" s="19"/>
      <c r="N19" s="206">
        <f t="shared" si="2"/>
        <v>0</v>
      </c>
    </row>
    <row r="20" spans="1:14" x14ac:dyDescent="0.4">
      <c r="A20" s="158"/>
      <c r="B20" s="66"/>
      <c r="C20" s="66"/>
      <c r="D20" s="66"/>
      <c r="E20" s="59"/>
      <c r="F20" s="59"/>
      <c r="G20" s="59"/>
      <c r="H20" s="59"/>
      <c r="I20" s="59"/>
      <c r="J20" s="59"/>
      <c r="K20" s="69">
        <f t="shared" si="0"/>
        <v>0</v>
      </c>
      <c r="L20" s="70">
        <f t="shared" si="3"/>
        <v>0</v>
      </c>
      <c r="M20" s="19"/>
      <c r="N20" s="206">
        <f t="shared" si="2"/>
        <v>0</v>
      </c>
    </row>
    <row r="21" spans="1:14" x14ac:dyDescent="0.4">
      <c r="A21" s="56"/>
      <c r="B21" s="66"/>
      <c r="C21" s="66"/>
      <c r="D21" s="66"/>
      <c r="E21" s="59"/>
      <c r="F21" s="59"/>
      <c r="G21" s="59"/>
      <c r="H21" s="59"/>
      <c r="I21" s="59"/>
      <c r="J21" s="59"/>
      <c r="K21" s="69">
        <f t="shared" si="0"/>
        <v>0</v>
      </c>
      <c r="L21" s="70">
        <f t="shared" si="3"/>
        <v>0</v>
      </c>
      <c r="M21" s="19"/>
      <c r="N21" s="206">
        <f t="shared" si="2"/>
        <v>0</v>
      </c>
    </row>
    <row r="22" spans="1:14" x14ac:dyDescent="0.4">
      <c r="A22" s="56"/>
      <c r="B22" s="66"/>
      <c r="C22" s="66"/>
      <c r="D22" s="66"/>
      <c r="E22" s="59"/>
      <c r="F22" s="59"/>
      <c r="G22" s="59"/>
      <c r="H22" s="59"/>
      <c r="I22" s="59"/>
      <c r="J22" s="59"/>
      <c r="K22" s="123">
        <f t="shared" si="0"/>
        <v>0</v>
      </c>
      <c r="L22" s="138">
        <f t="shared" si="3"/>
        <v>0</v>
      </c>
      <c r="M22" s="19"/>
      <c r="N22" s="206">
        <f t="shared" si="2"/>
        <v>0</v>
      </c>
    </row>
    <row r="23" spans="1:14" x14ac:dyDescent="0.4">
      <c r="A23" s="56"/>
      <c r="B23" s="59"/>
      <c r="C23" s="66"/>
      <c r="D23" s="66"/>
      <c r="E23" s="59"/>
      <c r="F23" s="59"/>
      <c r="G23" s="59"/>
      <c r="H23" s="59"/>
      <c r="I23" s="59"/>
      <c r="J23" s="59"/>
      <c r="K23" s="123">
        <f t="shared" si="0"/>
        <v>0</v>
      </c>
      <c r="L23" s="138">
        <f t="shared" si="3"/>
        <v>0</v>
      </c>
      <c r="M23" s="19"/>
      <c r="N23" s="206">
        <f t="shared" si="2"/>
        <v>0</v>
      </c>
    </row>
    <row r="24" spans="1:14" x14ac:dyDescent="0.4">
      <c r="A24" s="56"/>
      <c r="B24" s="66"/>
      <c r="C24" s="66"/>
      <c r="D24" s="66"/>
      <c r="E24" s="59"/>
      <c r="F24" s="59"/>
      <c r="G24" s="59"/>
      <c r="H24" s="59"/>
      <c r="I24" s="59"/>
      <c r="J24" s="59"/>
      <c r="K24" s="123">
        <f>IF(G24="TLX",ROUND(N24/32*I24,2),ROUND(N24*I24,2))</f>
        <v>0</v>
      </c>
      <c r="L24" s="138">
        <f t="shared" si="3"/>
        <v>0</v>
      </c>
      <c r="M24" s="19"/>
      <c r="N24" s="206">
        <f t="shared" si="2"/>
        <v>0</v>
      </c>
    </row>
    <row r="25" spans="1:14" x14ac:dyDescent="0.4">
      <c r="A25" s="56"/>
      <c r="B25" s="66"/>
      <c r="C25" s="66"/>
      <c r="D25" s="66"/>
      <c r="E25" s="59"/>
      <c r="F25" s="59"/>
      <c r="G25" s="59"/>
      <c r="H25" s="59"/>
      <c r="I25" s="59"/>
      <c r="J25" s="59"/>
      <c r="K25" s="69">
        <f t="shared" si="0"/>
        <v>0</v>
      </c>
      <c r="L25" s="70">
        <f t="shared" si="3"/>
        <v>0</v>
      </c>
      <c r="M25" s="19"/>
      <c r="N25" s="206">
        <f t="shared" si="2"/>
        <v>0</v>
      </c>
    </row>
    <row r="26" spans="1:14" x14ac:dyDescent="0.4">
      <c r="A26" s="56"/>
      <c r="B26" s="66"/>
      <c r="C26" s="66"/>
      <c r="D26" s="66"/>
      <c r="E26" s="59"/>
      <c r="F26" s="59"/>
      <c r="G26" s="59"/>
      <c r="H26" s="59"/>
      <c r="I26" s="59"/>
      <c r="J26" s="59"/>
      <c r="K26" s="69">
        <f t="shared" si="0"/>
        <v>0</v>
      </c>
      <c r="L26" s="70">
        <f t="shared" si="3"/>
        <v>0</v>
      </c>
      <c r="M26" s="19"/>
      <c r="N26" s="206">
        <f t="shared" si="2"/>
        <v>0</v>
      </c>
    </row>
    <row r="27" spans="1:14" ht="15.4" thickBot="1" x14ac:dyDescent="0.45">
      <c r="A27" s="56"/>
      <c r="B27" s="66"/>
      <c r="C27" s="66"/>
      <c r="D27" s="66"/>
      <c r="E27" s="59"/>
      <c r="F27" s="59"/>
      <c r="G27" s="59"/>
      <c r="H27" s="59"/>
      <c r="I27" s="59"/>
      <c r="J27" s="59"/>
      <c r="K27" s="69">
        <f t="shared" si="0"/>
        <v>0</v>
      </c>
      <c r="L27" s="70">
        <f t="shared" si="3"/>
        <v>0</v>
      </c>
      <c r="M27" s="19"/>
      <c r="N27" s="206">
        <f t="shared" si="2"/>
        <v>0</v>
      </c>
    </row>
    <row r="28" spans="1:14" ht="15.4" thickBot="1" x14ac:dyDescent="0.45">
      <c r="A28" s="60"/>
      <c r="B28" s="72"/>
      <c r="C28" s="72"/>
      <c r="D28" s="72"/>
      <c r="E28" s="61"/>
      <c r="F28" s="61"/>
      <c r="G28" s="61"/>
      <c r="H28" s="61"/>
      <c r="I28" s="61"/>
      <c r="J28" s="61"/>
      <c r="K28" s="150" t="s">
        <v>18</v>
      </c>
      <c r="L28" s="100">
        <f>SUM(L8:L27)</f>
        <v>0</v>
      </c>
      <c r="M28" s="19"/>
      <c r="N28" s="206">
        <f t="shared" si="2"/>
        <v>0</v>
      </c>
    </row>
    <row r="29" spans="1:14" x14ac:dyDescent="0.4">
      <c r="A29" s="198">
        <v>2</v>
      </c>
      <c r="B29" s="101" t="s">
        <v>21</v>
      </c>
      <c r="C29" s="189"/>
      <c r="D29" s="84"/>
      <c r="E29" s="81"/>
      <c r="F29" s="81"/>
      <c r="G29" s="81"/>
      <c r="H29" s="81"/>
      <c r="I29" s="81"/>
      <c r="J29" s="81"/>
      <c r="K29" s="85"/>
      <c r="L29" s="86"/>
      <c r="M29" s="19"/>
      <c r="N29" s="206">
        <f t="shared" si="2"/>
        <v>0</v>
      </c>
    </row>
    <row r="30" spans="1:14" x14ac:dyDescent="0.4">
      <c r="A30" s="56"/>
      <c r="B30" s="66" t="s">
        <v>77</v>
      </c>
      <c r="C30" s="66"/>
      <c r="D30" s="66"/>
      <c r="E30" s="59"/>
      <c r="F30" s="59"/>
      <c r="G30" s="59"/>
      <c r="H30" s="59"/>
      <c r="I30" s="59"/>
      <c r="J30" s="59"/>
      <c r="K30" s="69">
        <f t="shared" ref="K30:K38" si="4">IF(G30="TLX",ROUND(N30/32*I30,2),ROUND(N30*I30,2))</f>
        <v>0</v>
      </c>
      <c r="L30" s="70">
        <f t="shared" ref="L30:L43" si="5">SUM(J30+K30)</f>
        <v>0</v>
      </c>
      <c r="M30" s="19"/>
      <c r="N30" s="206">
        <f t="shared" si="2"/>
        <v>0</v>
      </c>
    </row>
    <row r="31" spans="1:14" x14ac:dyDescent="0.4">
      <c r="A31" s="56"/>
      <c r="B31" s="66"/>
      <c r="C31" s="66"/>
      <c r="D31" s="66"/>
      <c r="E31" s="59"/>
      <c r="F31" s="59"/>
      <c r="G31" s="59"/>
      <c r="H31" s="59"/>
      <c r="I31" s="59"/>
      <c r="J31" s="59"/>
      <c r="K31" s="69">
        <f t="shared" si="4"/>
        <v>0</v>
      </c>
      <c r="L31" s="70">
        <f t="shared" si="5"/>
        <v>0</v>
      </c>
      <c r="M31" s="19"/>
      <c r="N31" s="206">
        <f t="shared" si="2"/>
        <v>0</v>
      </c>
    </row>
    <row r="32" spans="1:14" x14ac:dyDescent="0.4">
      <c r="A32" s="56"/>
      <c r="B32" s="66"/>
      <c r="C32" s="66"/>
      <c r="D32" s="66"/>
      <c r="E32" s="59"/>
      <c r="F32" s="59"/>
      <c r="G32" s="59"/>
      <c r="H32" s="59"/>
      <c r="I32" s="59"/>
      <c r="J32" s="59"/>
      <c r="K32" s="69">
        <f t="shared" si="4"/>
        <v>0</v>
      </c>
      <c r="L32" s="70">
        <f t="shared" si="5"/>
        <v>0</v>
      </c>
      <c r="M32" s="19"/>
      <c r="N32" s="206">
        <f t="shared" si="2"/>
        <v>0</v>
      </c>
    </row>
    <row r="33" spans="1:14" x14ac:dyDescent="0.4">
      <c r="A33" s="56"/>
      <c r="B33" s="66"/>
      <c r="C33" s="66"/>
      <c r="D33" s="66"/>
      <c r="E33" s="59"/>
      <c r="F33" s="59"/>
      <c r="G33" s="59"/>
      <c r="H33" s="59"/>
      <c r="I33" s="59"/>
      <c r="J33" s="59"/>
      <c r="K33" s="69">
        <f t="shared" si="4"/>
        <v>0</v>
      </c>
      <c r="L33" s="70">
        <f t="shared" si="5"/>
        <v>0</v>
      </c>
      <c r="M33" s="19"/>
      <c r="N33" s="206">
        <f t="shared" si="2"/>
        <v>0</v>
      </c>
    </row>
    <row r="34" spans="1:14" x14ac:dyDescent="0.4">
      <c r="A34" s="56"/>
      <c r="B34" s="66"/>
      <c r="C34" s="66"/>
      <c r="D34" s="66"/>
      <c r="E34" s="59"/>
      <c r="F34" s="59"/>
      <c r="G34" s="59"/>
      <c r="H34" s="59"/>
      <c r="I34" s="59"/>
      <c r="J34" s="59"/>
      <c r="K34" s="69">
        <f t="shared" si="4"/>
        <v>0</v>
      </c>
      <c r="L34" s="70">
        <f>SUM(J34+K34)</f>
        <v>0</v>
      </c>
      <c r="M34" s="19"/>
      <c r="N34" s="206">
        <f>SUM(E34+F34/60)</f>
        <v>0</v>
      </c>
    </row>
    <row r="35" spans="1:14" x14ac:dyDescent="0.4">
      <c r="A35" s="56"/>
      <c r="B35" s="66"/>
      <c r="C35" s="66"/>
      <c r="D35" s="66"/>
      <c r="E35" s="59"/>
      <c r="F35" s="59"/>
      <c r="G35" s="59"/>
      <c r="H35" s="59"/>
      <c r="I35" s="59"/>
      <c r="J35" s="59"/>
      <c r="K35" s="69">
        <f t="shared" si="4"/>
        <v>0</v>
      </c>
      <c r="L35" s="70">
        <f>SUM(J35+K35)</f>
        <v>0</v>
      </c>
      <c r="M35" s="19"/>
      <c r="N35" s="206">
        <f>SUM(E35+F35/60)</f>
        <v>0</v>
      </c>
    </row>
    <row r="36" spans="1:14" x14ac:dyDescent="0.4">
      <c r="A36" s="56"/>
      <c r="B36" s="66"/>
      <c r="C36" s="66"/>
      <c r="D36" s="66"/>
      <c r="E36" s="59"/>
      <c r="F36" s="59"/>
      <c r="G36" s="59"/>
      <c r="H36" s="59"/>
      <c r="I36" s="59"/>
      <c r="J36" s="59"/>
      <c r="K36" s="69">
        <f t="shared" si="4"/>
        <v>0</v>
      </c>
      <c r="L36" s="70">
        <f>SUM(J36+K36)</f>
        <v>0</v>
      </c>
      <c r="M36" s="19"/>
      <c r="N36" s="206">
        <f>SUM(E36+F36/60)</f>
        <v>0</v>
      </c>
    </row>
    <row r="37" spans="1:14" x14ac:dyDescent="0.4">
      <c r="A37" s="56"/>
      <c r="B37" s="66"/>
      <c r="C37" s="66"/>
      <c r="D37" s="66"/>
      <c r="E37" s="59"/>
      <c r="F37" s="59"/>
      <c r="G37" s="59"/>
      <c r="H37" s="59"/>
      <c r="I37" s="59"/>
      <c r="J37" s="59"/>
      <c r="K37" s="69">
        <f t="shared" si="4"/>
        <v>0</v>
      </c>
      <c r="L37" s="70">
        <f>SUM(J37+K37)</f>
        <v>0</v>
      </c>
      <c r="M37" s="19"/>
      <c r="N37" s="206">
        <f>SUM(E37+F37/60)</f>
        <v>0</v>
      </c>
    </row>
    <row r="38" spans="1:14" x14ac:dyDescent="0.4">
      <c r="A38" s="56"/>
      <c r="B38" s="66"/>
      <c r="C38" s="79"/>
      <c r="D38" s="66"/>
      <c r="E38" s="59"/>
      <c r="F38" s="59"/>
      <c r="G38" s="59"/>
      <c r="H38" s="59"/>
      <c r="I38" s="59"/>
      <c r="J38" s="59"/>
      <c r="K38" s="69">
        <f t="shared" si="4"/>
        <v>0</v>
      </c>
      <c r="L38" s="70">
        <f>SUM(J38+K38)</f>
        <v>0</v>
      </c>
      <c r="M38" s="19"/>
      <c r="N38" s="206">
        <f>SUM(E38+F38/60)</f>
        <v>0</v>
      </c>
    </row>
    <row r="39" spans="1:14" x14ac:dyDescent="0.4">
      <c r="A39" s="56"/>
      <c r="B39" s="66"/>
      <c r="C39" s="66"/>
      <c r="D39" s="66"/>
      <c r="E39" s="59"/>
      <c r="F39" s="59"/>
      <c r="G39" s="59"/>
      <c r="H39" s="59"/>
      <c r="I39" s="59"/>
      <c r="J39" s="59"/>
      <c r="K39" s="69">
        <f t="shared" ref="K39:K49" si="6">IF(G39="TLX",ROUND(N39/32*I39,2),ROUND(N39*I39,2))</f>
        <v>0</v>
      </c>
      <c r="L39" s="70">
        <f t="shared" si="5"/>
        <v>0</v>
      </c>
      <c r="M39" s="19"/>
      <c r="N39" s="206">
        <f t="shared" si="2"/>
        <v>0</v>
      </c>
    </row>
    <row r="40" spans="1:14" x14ac:dyDescent="0.4">
      <c r="A40" s="56"/>
      <c r="B40" s="66"/>
      <c r="C40" s="66"/>
      <c r="D40" s="66"/>
      <c r="E40" s="59"/>
      <c r="F40" s="59"/>
      <c r="G40" s="59"/>
      <c r="H40" s="59"/>
      <c r="I40" s="59"/>
      <c r="J40" s="59"/>
      <c r="K40" s="69">
        <f t="shared" si="6"/>
        <v>0</v>
      </c>
      <c r="L40" s="70">
        <f t="shared" si="5"/>
        <v>0</v>
      </c>
      <c r="M40" s="19"/>
      <c r="N40" s="206">
        <f t="shared" si="2"/>
        <v>0</v>
      </c>
    </row>
    <row r="41" spans="1:14" x14ac:dyDescent="0.4">
      <c r="A41" s="56"/>
      <c r="B41" s="66"/>
      <c r="C41" s="66"/>
      <c r="D41" s="66"/>
      <c r="E41" s="59"/>
      <c r="F41" s="59"/>
      <c r="G41" s="59"/>
      <c r="H41" s="59"/>
      <c r="I41" s="59"/>
      <c r="J41" s="59"/>
      <c r="K41" s="69">
        <f t="shared" si="6"/>
        <v>0</v>
      </c>
      <c r="L41" s="70">
        <f t="shared" si="5"/>
        <v>0</v>
      </c>
      <c r="M41" s="19"/>
      <c r="N41" s="206">
        <f t="shared" si="2"/>
        <v>0</v>
      </c>
    </row>
    <row r="42" spans="1:14" x14ac:dyDescent="0.4">
      <c r="A42" s="56"/>
      <c r="B42" s="66"/>
      <c r="C42" s="66"/>
      <c r="D42" s="66"/>
      <c r="E42" s="59"/>
      <c r="F42" s="59"/>
      <c r="G42" s="59"/>
      <c r="H42" s="59"/>
      <c r="I42" s="59"/>
      <c r="J42" s="59"/>
      <c r="K42" s="69">
        <f t="shared" si="6"/>
        <v>0</v>
      </c>
      <c r="L42" s="70">
        <f t="shared" si="5"/>
        <v>0</v>
      </c>
      <c r="M42" s="19"/>
      <c r="N42" s="206">
        <f t="shared" si="2"/>
        <v>0</v>
      </c>
    </row>
    <row r="43" spans="1:14" x14ac:dyDescent="0.4">
      <c r="A43" s="56"/>
      <c r="B43" s="66"/>
      <c r="C43" s="79"/>
      <c r="D43" s="66"/>
      <c r="E43" s="59"/>
      <c r="F43" s="59"/>
      <c r="G43" s="59"/>
      <c r="H43" s="59"/>
      <c r="I43" s="59"/>
      <c r="J43" s="59"/>
      <c r="K43" s="69">
        <f t="shared" si="6"/>
        <v>0</v>
      </c>
      <c r="L43" s="70">
        <f t="shared" si="5"/>
        <v>0</v>
      </c>
      <c r="M43" s="19"/>
      <c r="N43" s="206">
        <f t="shared" si="2"/>
        <v>0</v>
      </c>
    </row>
    <row r="44" spans="1:14" x14ac:dyDescent="0.4">
      <c r="A44" s="56"/>
      <c r="B44" s="66"/>
      <c r="C44" s="66"/>
      <c r="D44" s="66"/>
      <c r="E44" s="59"/>
      <c r="F44" s="59"/>
      <c r="G44" s="59"/>
      <c r="H44" s="59"/>
      <c r="I44" s="59"/>
      <c r="J44" s="59"/>
      <c r="K44" s="69">
        <f>IF(G44="TLX",ROUND(N44/32*I44,2),ROUND(N44*I44,2))</f>
        <v>0</v>
      </c>
      <c r="L44" s="70">
        <f>SUM(J44+K44)</f>
        <v>0</v>
      </c>
      <c r="M44" s="19"/>
      <c r="N44" s="206">
        <f>SUM(E44+F44/60)</f>
        <v>0</v>
      </c>
    </row>
    <row r="45" spans="1:14" x14ac:dyDescent="0.4">
      <c r="A45" s="56"/>
      <c r="B45" s="66"/>
      <c r="C45" s="66"/>
      <c r="D45" s="66"/>
      <c r="E45" s="59"/>
      <c r="F45" s="59"/>
      <c r="G45" s="59"/>
      <c r="H45" s="59"/>
      <c r="I45" s="59"/>
      <c r="J45" s="59"/>
      <c r="K45" s="69">
        <f t="shared" si="6"/>
        <v>0</v>
      </c>
      <c r="L45" s="70">
        <f t="shared" ref="L45:L52" si="7">SUM(J45+K45)</f>
        <v>0</v>
      </c>
      <c r="M45" s="19"/>
      <c r="N45" s="206">
        <f t="shared" si="2"/>
        <v>0</v>
      </c>
    </row>
    <row r="46" spans="1:14" x14ac:dyDescent="0.4">
      <c r="A46" s="56"/>
      <c r="B46" s="66"/>
      <c r="C46" s="66"/>
      <c r="D46" s="66"/>
      <c r="E46" s="59"/>
      <c r="F46" s="59"/>
      <c r="G46" s="59"/>
      <c r="H46" s="59"/>
      <c r="I46" s="59"/>
      <c r="J46" s="59"/>
      <c r="K46" s="69">
        <f t="shared" si="6"/>
        <v>0</v>
      </c>
      <c r="L46" s="70">
        <f t="shared" si="7"/>
        <v>0</v>
      </c>
      <c r="M46" s="19"/>
      <c r="N46" s="206">
        <f t="shared" si="2"/>
        <v>0</v>
      </c>
    </row>
    <row r="47" spans="1:14" x14ac:dyDescent="0.4">
      <c r="A47" s="56"/>
      <c r="B47" s="66"/>
      <c r="C47" s="66"/>
      <c r="D47" s="66"/>
      <c r="E47" s="59"/>
      <c r="F47" s="59"/>
      <c r="G47" s="59"/>
      <c r="H47" s="59"/>
      <c r="I47" s="59"/>
      <c r="J47" s="59"/>
      <c r="K47" s="69">
        <f t="shared" si="6"/>
        <v>0</v>
      </c>
      <c r="L47" s="70">
        <f t="shared" si="7"/>
        <v>0</v>
      </c>
      <c r="M47" s="19"/>
      <c r="N47" s="206">
        <f t="shared" si="2"/>
        <v>0</v>
      </c>
    </row>
    <row r="48" spans="1:14" x14ac:dyDescent="0.4">
      <c r="A48" s="56"/>
      <c r="B48" s="66"/>
      <c r="C48" s="66"/>
      <c r="D48" s="66"/>
      <c r="E48" s="59"/>
      <c r="F48" s="59"/>
      <c r="G48" s="59"/>
      <c r="H48" s="59"/>
      <c r="I48" s="59"/>
      <c r="J48" s="59"/>
      <c r="K48" s="69">
        <f t="shared" si="6"/>
        <v>0</v>
      </c>
      <c r="L48" s="70">
        <f t="shared" si="7"/>
        <v>0</v>
      </c>
      <c r="M48" s="19"/>
      <c r="N48" s="206">
        <f t="shared" si="2"/>
        <v>0</v>
      </c>
    </row>
    <row r="49" spans="1:14" ht="15.4" thickBot="1" x14ac:dyDescent="0.45">
      <c r="A49" s="56"/>
      <c r="B49" s="66"/>
      <c r="C49" s="66"/>
      <c r="D49" s="66"/>
      <c r="E49" s="59"/>
      <c r="F49" s="59"/>
      <c r="G49" s="59"/>
      <c r="H49" s="59"/>
      <c r="I49" s="59"/>
      <c r="J49" s="59"/>
      <c r="K49" s="69">
        <f t="shared" si="6"/>
        <v>0</v>
      </c>
      <c r="L49" s="70">
        <f t="shared" si="7"/>
        <v>0</v>
      </c>
      <c r="M49" s="19"/>
      <c r="N49" s="206">
        <f t="shared" si="2"/>
        <v>0</v>
      </c>
    </row>
    <row r="50" spans="1:14" ht="15.4" thickBot="1" x14ac:dyDescent="0.45">
      <c r="A50" s="60"/>
      <c r="B50" s="72"/>
      <c r="C50" s="72"/>
      <c r="D50" s="72"/>
      <c r="E50" s="61"/>
      <c r="F50" s="61"/>
      <c r="G50" s="61"/>
      <c r="H50" s="61"/>
      <c r="I50" s="61"/>
      <c r="J50" s="61"/>
      <c r="K50" s="117" t="s">
        <v>18</v>
      </c>
      <c r="L50" s="100">
        <f>SUM(L30:L49)</f>
        <v>0</v>
      </c>
      <c r="M50" s="19"/>
      <c r="N50" s="206">
        <f t="shared" si="2"/>
        <v>0</v>
      </c>
    </row>
    <row r="51" spans="1:14" x14ac:dyDescent="0.4">
      <c r="A51" s="198">
        <v>3</v>
      </c>
      <c r="B51" s="101" t="s">
        <v>26</v>
      </c>
      <c r="C51" s="101"/>
      <c r="D51" s="84"/>
      <c r="E51" s="81"/>
      <c r="F51" s="81"/>
      <c r="G51" s="81"/>
      <c r="H51" s="81"/>
      <c r="I51" s="81"/>
      <c r="J51" s="81"/>
      <c r="K51" s="85"/>
      <c r="L51" s="86"/>
      <c r="M51" s="19"/>
      <c r="N51" s="206">
        <f t="shared" si="2"/>
        <v>0</v>
      </c>
    </row>
    <row r="52" spans="1:14" x14ac:dyDescent="0.4">
      <c r="A52" s="56"/>
      <c r="B52" s="114"/>
      <c r="C52" s="114"/>
      <c r="D52" s="114"/>
      <c r="E52" s="59"/>
      <c r="F52" s="59"/>
      <c r="G52" s="113"/>
      <c r="H52" s="59"/>
      <c r="I52" s="59"/>
      <c r="J52" s="59"/>
      <c r="K52" s="69">
        <f>IF(G52="TLX",ROUND(N52/32*I52,2),ROUND(N52*I52,2))</f>
        <v>0</v>
      </c>
      <c r="L52" s="70">
        <f t="shared" si="7"/>
        <v>0</v>
      </c>
      <c r="M52" s="19"/>
      <c r="N52" s="206">
        <f t="shared" si="2"/>
        <v>0</v>
      </c>
    </row>
    <row r="53" spans="1:14" x14ac:dyDescent="0.4">
      <c r="A53" s="56"/>
      <c r="B53" s="114"/>
      <c r="C53" s="114"/>
      <c r="D53" s="114"/>
      <c r="E53" s="59"/>
      <c r="F53" s="59"/>
      <c r="G53" s="113"/>
      <c r="H53" s="59"/>
      <c r="I53" s="59"/>
      <c r="J53" s="59"/>
      <c r="K53" s="69">
        <f>IF(G53="TLX",ROUND(N53/32*I53,2),ROUND(N53*I53,2))</f>
        <v>0</v>
      </c>
      <c r="L53" s="70">
        <f t="shared" ref="L53:L61" si="8">SUM(J53+K53)</f>
        <v>0</v>
      </c>
      <c r="M53" s="19"/>
      <c r="N53" s="206">
        <f t="shared" si="2"/>
        <v>0</v>
      </c>
    </row>
    <row r="54" spans="1:14" x14ac:dyDescent="0.4">
      <c r="A54" s="56"/>
      <c r="B54" s="66"/>
      <c r="C54" s="66"/>
      <c r="D54" s="66"/>
      <c r="E54" s="59"/>
      <c r="F54" s="59"/>
      <c r="G54" s="59"/>
      <c r="H54" s="59"/>
      <c r="I54" s="59"/>
      <c r="J54" s="59"/>
      <c r="K54" s="69">
        <f>IF(G54="TLX",ROUND(N54/32*I54,2),ROUND(N54*I54,2))</f>
        <v>0</v>
      </c>
      <c r="L54" s="70">
        <f t="shared" si="8"/>
        <v>0</v>
      </c>
      <c r="M54" s="19"/>
      <c r="N54" s="206">
        <f t="shared" ref="N54:N61" si="9">SUM(E54+F54/60)</f>
        <v>0</v>
      </c>
    </row>
    <row r="55" spans="1:14" x14ac:dyDescent="0.4">
      <c r="A55" s="56"/>
      <c r="B55" s="59"/>
      <c r="C55" s="66"/>
      <c r="D55" s="66"/>
      <c r="E55" s="59"/>
      <c r="F55" s="59"/>
      <c r="G55" s="59"/>
      <c r="H55" s="59"/>
      <c r="I55" s="59"/>
      <c r="J55" s="59"/>
      <c r="K55" s="69">
        <f>IF(G55="TLX",ROUND(N55/32*I55,2),ROUND(N55*I55,2))</f>
        <v>0</v>
      </c>
      <c r="L55" s="70">
        <f t="shared" si="8"/>
        <v>0</v>
      </c>
      <c r="M55" s="19"/>
      <c r="N55" s="206">
        <f t="shared" si="9"/>
        <v>0</v>
      </c>
    </row>
    <row r="56" spans="1:14" x14ac:dyDescent="0.4">
      <c r="A56" s="56"/>
      <c r="B56" s="66"/>
      <c r="C56" s="66"/>
      <c r="D56" s="66"/>
      <c r="E56" s="59"/>
      <c r="F56" s="59"/>
      <c r="G56" s="59"/>
      <c r="H56" s="59"/>
      <c r="I56" s="59"/>
      <c r="J56" s="59"/>
      <c r="K56" s="69">
        <f>IF(G56="TLX",ROUND(N56/32*I56,2),ROUND(N56*I56,2))</f>
        <v>0</v>
      </c>
      <c r="L56" s="70">
        <f t="shared" si="8"/>
        <v>0</v>
      </c>
      <c r="M56" s="19"/>
      <c r="N56" s="206">
        <f t="shared" si="9"/>
        <v>0</v>
      </c>
    </row>
    <row r="57" spans="1:14" x14ac:dyDescent="0.4">
      <c r="A57" s="56"/>
      <c r="B57" s="59"/>
      <c r="C57" s="66"/>
      <c r="D57" s="66"/>
      <c r="E57" s="59"/>
      <c r="F57" s="59"/>
      <c r="G57" s="59"/>
      <c r="H57" s="59"/>
      <c r="I57" s="59"/>
      <c r="J57" s="59"/>
      <c r="K57" s="69">
        <f>IF(G57="TLX",ROUND(N57/32*I57,2),ROUND(N57*I57,2))</f>
        <v>0</v>
      </c>
      <c r="L57" s="70">
        <f t="shared" si="8"/>
        <v>0</v>
      </c>
      <c r="M57" s="19"/>
      <c r="N57" s="206">
        <f t="shared" si="9"/>
        <v>0</v>
      </c>
    </row>
    <row r="58" spans="1:14" x14ac:dyDescent="0.4">
      <c r="A58" s="56"/>
      <c r="B58" s="66"/>
      <c r="C58" s="66"/>
      <c r="D58" s="66"/>
      <c r="E58" s="59"/>
      <c r="F58" s="59"/>
      <c r="G58" s="59"/>
      <c r="H58" s="59"/>
      <c r="I58" s="59"/>
      <c r="J58" s="59"/>
      <c r="K58" s="69">
        <f>IF(G58="TLX",ROUND(N58/32*I58,2),ROUND(N58*I58,2))</f>
        <v>0</v>
      </c>
      <c r="L58" s="70">
        <f t="shared" si="8"/>
        <v>0</v>
      </c>
      <c r="M58" s="19"/>
      <c r="N58" s="206">
        <f t="shared" si="9"/>
        <v>0</v>
      </c>
    </row>
    <row r="59" spans="1:14" x14ac:dyDescent="0.4">
      <c r="A59" s="56"/>
      <c r="B59" s="59"/>
      <c r="C59" s="66"/>
      <c r="D59" s="66"/>
      <c r="E59" s="59"/>
      <c r="F59" s="59"/>
      <c r="G59" s="59"/>
      <c r="H59" s="59"/>
      <c r="I59" s="59"/>
      <c r="J59" s="59"/>
      <c r="K59" s="69">
        <f>IF(G59="TLX",ROUND(N59/32*I59,2),ROUND(N59*I59,2))</f>
        <v>0</v>
      </c>
      <c r="L59" s="70">
        <f t="shared" si="8"/>
        <v>0</v>
      </c>
      <c r="M59" s="19"/>
      <c r="N59" s="206">
        <f t="shared" si="9"/>
        <v>0</v>
      </c>
    </row>
    <row r="60" spans="1:14" x14ac:dyDescent="0.4">
      <c r="A60" s="56"/>
      <c r="B60" s="66"/>
      <c r="C60" s="66"/>
      <c r="D60" s="66"/>
      <c r="E60" s="59"/>
      <c r="F60" s="59"/>
      <c r="G60" s="59"/>
      <c r="H60" s="59"/>
      <c r="I60" s="59"/>
      <c r="J60" s="59"/>
      <c r="K60" s="69">
        <f>IF(G60="TLX",ROUND(N60/32*I60,2),ROUND(N60*I60,2))</f>
        <v>0</v>
      </c>
      <c r="L60" s="70">
        <f t="shared" si="8"/>
        <v>0</v>
      </c>
      <c r="M60" s="19"/>
      <c r="N60" s="206">
        <f t="shared" si="9"/>
        <v>0</v>
      </c>
    </row>
    <row r="61" spans="1:14" x14ac:dyDescent="0.4">
      <c r="A61" s="56"/>
      <c r="B61" s="59"/>
      <c r="C61" s="66"/>
      <c r="D61" s="66"/>
      <c r="E61" s="59"/>
      <c r="F61" s="59"/>
      <c r="G61" s="59"/>
      <c r="H61" s="59"/>
      <c r="I61" s="59"/>
      <c r="J61" s="59"/>
      <c r="K61" s="69">
        <f>IF(G61="TLX",ROUND(N61/32*I61,2),ROUND(N61*I61,2))</f>
        <v>0</v>
      </c>
      <c r="L61" s="70">
        <f t="shared" si="8"/>
        <v>0</v>
      </c>
      <c r="M61" s="19"/>
      <c r="N61" s="206">
        <f t="shared" si="9"/>
        <v>0</v>
      </c>
    </row>
    <row r="62" spans="1:14" x14ac:dyDescent="0.4">
      <c r="A62" s="56"/>
      <c r="B62" s="59"/>
      <c r="C62" s="66"/>
      <c r="D62" s="66"/>
      <c r="E62" s="59"/>
      <c r="F62" s="59"/>
      <c r="G62" s="59"/>
      <c r="H62" s="59"/>
      <c r="I62" s="59"/>
      <c r="J62" s="59"/>
      <c r="K62" s="69">
        <f>IF(G62="TLX",ROUND(N62/32*I62,2),ROUND(N62*I62,2))</f>
        <v>0</v>
      </c>
      <c r="L62" s="70">
        <f t="shared" ref="L62:L76" si="10">SUM(J62+K62)</f>
        <v>0</v>
      </c>
      <c r="M62" s="19"/>
      <c r="N62" s="206">
        <f t="shared" si="2"/>
        <v>0</v>
      </c>
    </row>
    <row r="63" spans="1:14" x14ac:dyDescent="0.4">
      <c r="A63" s="56"/>
      <c r="B63" s="59"/>
      <c r="C63" s="66"/>
      <c r="D63" s="66"/>
      <c r="E63" s="59"/>
      <c r="F63" s="59"/>
      <c r="G63" s="59"/>
      <c r="H63" s="59"/>
      <c r="I63" s="59"/>
      <c r="J63" s="59"/>
      <c r="K63" s="69">
        <f t="shared" ref="K63:K90" si="11">IF(G63="TLX",ROUND(N63/32*I63,2),ROUND(N63*I63,2))</f>
        <v>0</v>
      </c>
      <c r="L63" s="70">
        <f t="shared" si="10"/>
        <v>0</v>
      </c>
      <c r="M63" s="19"/>
      <c r="N63" s="206">
        <f t="shared" si="2"/>
        <v>0</v>
      </c>
    </row>
    <row r="64" spans="1:14" x14ac:dyDescent="0.4">
      <c r="A64" s="56"/>
      <c r="B64" s="59"/>
      <c r="C64" s="66"/>
      <c r="D64" s="66"/>
      <c r="E64" s="59"/>
      <c r="F64" s="59"/>
      <c r="G64" s="59"/>
      <c r="H64" s="59"/>
      <c r="I64" s="59"/>
      <c r="J64" s="59"/>
      <c r="K64" s="69">
        <f t="shared" si="11"/>
        <v>0</v>
      </c>
      <c r="L64" s="70">
        <f t="shared" si="10"/>
        <v>0</v>
      </c>
      <c r="M64" s="19"/>
      <c r="N64" s="206">
        <f t="shared" si="2"/>
        <v>0</v>
      </c>
    </row>
    <row r="65" spans="1:14" x14ac:dyDescent="0.4">
      <c r="A65" s="56"/>
      <c r="B65" s="66"/>
      <c r="C65" s="66"/>
      <c r="D65" s="66"/>
      <c r="E65" s="59"/>
      <c r="F65" s="59"/>
      <c r="G65" s="59"/>
      <c r="H65" s="59"/>
      <c r="I65" s="59"/>
      <c r="J65" s="59"/>
      <c r="K65" s="69">
        <f t="shared" si="11"/>
        <v>0</v>
      </c>
      <c r="L65" s="70">
        <f t="shared" si="10"/>
        <v>0</v>
      </c>
      <c r="M65" s="19"/>
      <c r="N65" s="206">
        <f t="shared" si="2"/>
        <v>0</v>
      </c>
    </row>
    <row r="66" spans="1:14" x14ac:dyDescent="0.4">
      <c r="A66" s="56"/>
      <c r="B66" s="66"/>
      <c r="C66" s="66"/>
      <c r="D66" s="66"/>
      <c r="E66" s="59"/>
      <c r="F66" s="59"/>
      <c r="G66" s="59"/>
      <c r="H66" s="59"/>
      <c r="I66" s="59"/>
      <c r="J66" s="59"/>
      <c r="K66" s="69">
        <f t="shared" si="11"/>
        <v>0</v>
      </c>
      <c r="L66" s="70">
        <f t="shared" si="10"/>
        <v>0</v>
      </c>
      <c r="M66" s="19"/>
      <c r="N66" s="206">
        <f t="shared" si="2"/>
        <v>0</v>
      </c>
    </row>
    <row r="67" spans="1:14" x14ac:dyDescent="0.4">
      <c r="A67" s="56"/>
      <c r="B67" s="66"/>
      <c r="C67" s="66"/>
      <c r="D67" s="66"/>
      <c r="E67" s="59"/>
      <c r="F67" s="59"/>
      <c r="G67" s="59"/>
      <c r="H67" s="59"/>
      <c r="I67" s="59"/>
      <c r="J67" s="59"/>
      <c r="K67" s="69">
        <f t="shared" si="11"/>
        <v>0</v>
      </c>
      <c r="L67" s="70">
        <f t="shared" si="10"/>
        <v>0</v>
      </c>
      <c r="M67" s="19"/>
      <c r="N67" s="206">
        <f t="shared" si="2"/>
        <v>0</v>
      </c>
    </row>
    <row r="68" spans="1:14" x14ac:dyDescent="0.4">
      <c r="A68" s="56"/>
      <c r="B68" s="66"/>
      <c r="C68" s="66"/>
      <c r="D68" s="66"/>
      <c r="E68" s="59"/>
      <c r="F68" s="59"/>
      <c r="G68" s="59"/>
      <c r="H68" s="59"/>
      <c r="I68" s="59"/>
      <c r="J68" s="59"/>
      <c r="K68" s="69">
        <f t="shared" si="11"/>
        <v>0</v>
      </c>
      <c r="L68" s="70">
        <f t="shared" si="10"/>
        <v>0</v>
      </c>
      <c r="M68" s="19"/>
      <c r="N68" s="206">
        <f t="shared" si="2"/>
        <v>0</v>
      </c>
    </row>
    <row r="69" spans="1:14" x14ac:dyDescent="0.4">
      <c r="A69" s="56"/>
      <c r="B69" s="66"/>
      <c r="C69" s="79"/>
      <c r="D69" s="66"/>
      <c r="E69" s="59"/>
      <c r="F69" s="59"/>
      <c r="G69" s="59"/>
      <c r="H69" s="59"/>
      <c r="I69" s="59"/>
      <c r="J69" s="59"/>
      <c r="K69" s="69">
        <f t="shared" si="11"/>
        <v>0</v>
      </c>
      <c r="L69" s="70">
        <f t="shared" si="10"/>
        <v>0</v>
      </c>
      <c r="M69" s="19"/>
      <c r="N69" s="206">
        <f t="shared" si="2"/>
        <v>0</v>
      </c>
    </row>
    <row r="70" spans="1:14" x14ac:dyDescent="0.4">
      <c r="A70" s="56"/>
      <c r="B70" s="66"/>
      <c r="C70" s="66"/>
      <c r="D70" s="66"/>
      <c r="E70" s="59"/>
      <c r="F70" s="59"/>
      <c r="G70" s="59"/>
      <c r="H70" s="59"/>
      <c r="I70" s="59"/>
      <c r="J70" s="59"/>
      <c r="K70" s="69">
        <f t="shared" si="11"/>
        <v>0</v>
      </c>
      <c r="L70" s="70">
        <f t="shared" si="10"/>
        <v>0</v>
      </c>
      <c r="M70" s="19"/>
      <c r="N70" s="206">
        <f t="shared" si="2"/>
        <v>0</v>
      </c>
    </row>
    <row r="71" spans="1:14" ht="15.4" thickBot="1" x14ac:dyDescent="0.45">
      <c r="A71" s="88"/>
      <c r="B71" s="109"/>
      <c r="C71" s="109"/>
      <c r="D71" s="109"/>
      <c r="E71" s="89"/>
      <c r="F71" s="89"/>
      <c r="G71" s="89"/>
      <c r="H71" s="89"/>
      <c r="I71" s="89"/>
      <c r="J71" s="89"/>
      <c r="K71" s="69">
        <f t="shared" si="11"/>
        <v>0</v>
      </c>
      <c r="L71" s="70">
        <f t="shared" si="10"/>
        <v>0</v>
      </c>
      <c r="M71" s="19"/>
      <c r="N71" s="206">
        <f t="shared" si="2"/>
        <v>0</v>
      </c>
    </row>
    <row r="72" spans="1:14" ht="15.4" thickBot="1" x14ac:dyDescent="0.45">
      <c r="A72" s="110"/>
      <c r="B72" s="111"/>
      <c r="C72" s="111"/>
      <c r="D72" s="111"/>
      <c r="E72" s="112"/>
      <c r="F72" s="112"/>
      <c r="G72" s="112"/>
      <c r="H72" s="112"/>
      <c r="I72" s="112"/>
      <c r="J72" s="112"/>
      <c r="K72" s="151" t="s">
        <v>18</v>
      </c>
      <c r="L72" s="100">
        <f>SUM(L52:L71)</f>
        <v>0</v>
      </c>
      <c r="M72" s="19"/>
      <c r="N72" s="206">
        <f t="shared" si="2"/>
        <v>0</v>
      </c>
    </row>
    <row r="73" spans="1:14" x14ac:dyDescent="0.4">
      <c r="A73" s="198">
        <v>4</v>
      </c>
      <c r="B73" s="102" t="s">
        <v>25</v>
      </c>
      <c r="C73" s="102"/>
      <c r="D73" s="84"/>
      <c r="E73" s="81"/>
      <c r="F73" s="81"/>
      <c r="G73" s="81"/>
      <c r="H73" s="81"/>
      <c r="I73" s="81"/>
      <c r="J73" s="81"/>
      <c r="K73" s="85"/>
      <c r="L73" s="86"/>
      <c r="M73" s="19"/>
      <c r="N73" s="206">
        <f t="shared" si="2"/>
        <v>0</v>
      </c>
    </row>
    <row r="74" spans="1:14" x14ac:dyDescent="0.4">
      <c r="A74" s="56"/>
      <c r="B74" s="66"/>
      <c r="C74" s="66"/>
      <c r="D74" s="66"/>
      <c r="E74" s="59"/>
      <c r="F74" s="59"/>
      <c r="G74" s="59"/>
      <c r="H74" s="59"/>
      <c r="I74" s="59"/>
      <c r="J74" s="59"/>
      <c r="K74" s="69">
        <f t="shared" si="11"/>
        <v>0</v>
      </c>
      <c r="L74" s="70">
        <f t="shared" si="10"/>
        <v>0</v>
      </c>
      <c r="M74" s="19"/>
      <c r="N74" s="206">
        <f t="shared" ref="N74:N155" si="12">SUM(E74+F74/60)</f>
        <v>0</v>
      </c>
    </row>
    <row r="75" spans="1:14" x14ac:dyDescent="0.4">
      <c r="A75" s="56"/>
      <c r="B75" s="66"/>
      <c r="C75" s="66"/>
      <c r="D75" s="66"/>
      <c r="E75" s="59"/>
      <c r="F75" s="59"/>
      <c r="G75" s="59"/>
      <c r="H75" s="59"/>
      <c r="I75" s="59"/>
      <c r="J75" s="59"/>
      <c r="K75" s="69">
        <f t="shared" si="11"/>
        <v>0</v>
      </c>
      <c r="L75" s="70">
        <f t="shared" si="10"/>
        <v>0</v>
      </c>
      <c r="M75" s="19"/>
      <c r="N75" s="206">
        <f t="shared" si="12"/>
        <v>0</v>
      </c>
    </row>
    <row r="76" spans="1:14" x14ac:dyDescent="0.4">
      <c r="A76" s="56"/>
      <c r="B76" s="66"/>
      <c r="C76" s="66"/>
      <c r="D76" s="66"/>
      <c r="E76" s="59"/>
      <c r="F76" s="59"/>
      <c r="G76" s="59"/>
      <c r="H76" s="59"/>
      <c r="I76" s="59"/>
      <c r="J76" s="59"/>
      <c r="K76" s="69">
        <f t="shared" si="11"/>
        <v>0</v>
      </c>
      <c r="L76" s="70">
        <f t="shared" si="10"/>
        <v>0</v>
      </c>
      <c r="M76" s="19"/>
      <c r="N76" s="206">
        <f t="shared" si="12"/>
        <v>0</v>
      </c>
    </row>
    <row r="77" spans="1:14" x14ac:dyDescent="0.4">
      <c r="A77" s="56"/>
      <c r="B77" s="66"/>
      <c r="C77" s="66"/>
      <c r="D77" s="66"/>
      <c r="E77" s="59"/>
      <c r="F77" s="59"/>
      <c r="G77" s="59"/>
      <c r="H77" s="59"/>
      <c r="I77" s="59"/>
      <c r="J77" s="59"/>
      <c r="K77" s="69">
        <f t="shared" si="11"/>
        <v>0</v>
      </c>
      <c r="L77" s="70">
        <f t="shared" ref="L77:L90" si="13">SUM(J77+K77)</f>
        <v>0</v>
      </c>
      <c r="M77" s="19"/>
      <c r="N77" s="206">
        <f t="shared" si="12"/>
        <v>0</v>
      </c>
    </row>
    <row r="78" spans="1:14" x14ac:dyDescent="0.4">
      <c r="A78" s="56"/>
      <c r="B78" s="66"/>
      <c r="C78" s="66"/>
      <c r="D78" s="66"/>
      <c r="E78" s="59"/>
      <c r="F78" s="59"/>
      <c r="G78" s="59"/>
      <c r="H78" s="59"/>
      <c r="I78" s="59"/>
      <c r="J78" s="59"/>
      <c r="K78" s="69">
        <f t="shared" ref="K78:K83" si="14">IF(G78="TLX",ROUND(N78/32*I78,2),ROUND(N78*I78,2))</f>
        <v>0</v>
      </c>
      <c r="L78" s="70">
        <f t="shared" si="13"/>
        <v>0</v>
      </c>
      <c r="M78" s="19"/>
      <c r="N78" s="206">
        <f t="shared" ref="N78:N83" si="15">SUM(E78+F78/60)</f>
        <v>0</v>
      </c>
    </row>
    <row r="79" spans="1:14" x14ac:dyDescent="0.4">
      <c r="A79" s="56"/>
      <c r="B79" s="66"/>
      <c r="C79" s="66"/>
      <c r="D79" s="66"/>
      <c r="E79" s="59"/>
      <c r="F79" s="59"/>
      <c r="G79" s="59"/>
      <c r="H79" s="59"/>
      <c r="I79" s="59"/>
      <c r="J79" s="59"/>
      <c r="K79" s="69">
        <f t="shared" si="14"/>
        <v>0</v>
      </c>
      <c r="L79" s="70">
        <f t="shared" si="13"/>
        <v>0</v>
      </c>
      <c r="M79" s="19"/>
      <c r="N79" s="206">
        <f t="shared" si="15"/>
        <v>0</v>
      </c>
    </row>
    <row r="80" spans="1:14" x14ac:dyDescent="0.4">
      <c r="A80" s="56"/>
      <c r="B80" s="66"/>
      <c r="C80" s="66"/>
      <c r="D80" s="66"/>
      <c r="E80" s="59"/>
      <c r="F80" s="59"/>
      <c r="G80" s="59"/>
      <c r="H80" s="59"/>
      <c r="I80" s="59"/>
      <c r="J80" s="59"/>
      <c r="K80" s="69">
        <f t="shared" si="14"/>
        <v>0</v>
      </c>
      <c r="L80" s="70">
        <f t="shared" si="13"/>
        <v>0</v>
      </c>
      <c r="M80" s="19"/>
      <c r="N80" s="206">
        <f t="shared" si="15"/>
        <v>0</v>
      </c>
    </row>
    <row r="81" spans="1:14" x14ac:dyDescent="0.4">
      <c r="A81" s="56"/>
      <c r="B81" s="66"/>
      <c r="C81" s="66"/>
      <c r="D81" s="66"/>
      <c r="E81" s="59"/>
      <c r="F81" s="59"/>
      <c r="G81" s="59"/>
      <c r="H81" s="59"/>
      <c r="I81" s="59"/>
      <c r="J81" s="59"/>
      <c r="K81" s="69">
        <f t="shared" si="14"/>
        <v>0</v>
      </c>
      <c r="L81" s="70">
        <f t="shared" si="13"/>
        <v>0</v>
      </c>
      <c r="M81" s="19"/>
      <c r="N81" s="206">
        <f t="shared" si="15"/>
        <v>0</v>
      </c>
    </row>
    <row r="82" spans="1:14" x14ac:dyDescent="0.4">
      <c r="A82" s="56"/>
      <c r="B82" s="66"/>
      <c r="C82" s="66"/>
      <c r="D82" s="66"/>
      <c r="E82" s="59"/>
      <c r="F82" s="59"/>
      <c r="G82" s="59"/>
      <c r="H82" s="59"/>
      <c r="I82" s="59"/>
      <c r="J82" s="59"/>
      <c r="K82" s="69">
        <f t="shared" si="14"/>
        <v>0</v>
      </c>
      <c r="L82" s="70">
        <f t="shared" si="13"/>
        <v>0</v>
      </c>
      <c r="M82" s="19"/>
      <c r="N82" s="206">
        <f t="shared" si="15"/>
        <v>0</v>
      </c>
    </row>
    <row r="83" spans="1:14" x14ac:dyDescent="0.4">
      <c r="A83" s="56"/>
      <c r="B83" s="66"/>
      <c r="C83" s="66"/>
      <c r="D83" s="66"/>
      <c r="E83" s="59"/>
      <c r="F83" s="59"/>
      <c r="G83" s="59"/>
      <c r="H83" s="59"/>
      <c r="I83" s="59"/>
      <c r="J83" s="59"/>
      <c r="K83" s="69">
        <f t="shared" si="14"/>
        <v>0</v>
      </c>
      <c r="L83" s="70">
        <f t="shared" si="13"/>
        <v>0</v>
      </c>
      <c r="M83" s="19"/>
      <c r="N83" s="206">
        <f t="shared" si="15"/>
        <v>0</v>
      </c>
    </row>
    <row r="84" spans="1:14" x14ac:dyDescent="0.4">
      <c r="A84" s="56"/>
      <c r="B84" s="66"/>
      <c r="C84" s="66"/>
      <c r="D84" s="66"/>
      <c r="E84" s="59"/>
      <c r="F84" s="59"/>
      <c r="G84" s="59"/>
      <c r="H84" s="59"/>
      <c r="I84" s="59"/>
      <c r="J84" s="59"/>
      <c r="K84" s="69">
        <f t="shared" si="11"/>
        <v>0</v>
      </c>
      <c r="L84" s="70">
        <f t="shared" si="13"/>
        <v>0</v>
      </c>
      <c r="M84" s="19"/>
      <c r="N84" s="206">
        <f t="shared" si="12"/>
        <v>0</v>
      </c>
    </row>
    <row r="85" spans="1:14" x14ac:dyDescent="0.4">
      <c r="A85" s="56"/>
      <c r="B85" s="66"/>
      <c r="C85" s="66"/>
      <c r="D85" s="66"/>
      <c r="E85" s="59"/>
      <c r="F85" s="59"/>
      <c r="G85" s="59"/>
      <c r="H85" s="59"/>
      <c r="I85" s="59"/>
      <c r="J85" s="59"/>
      <c r="K85" s="69">
        <f t="shared" si="11"/>
        <v>0</v>
      </c>
      <c r="L85" s="70">
        <f t="shared" si="13"/>
        <v>0</v>
      </c>
      <c r="M85" s="19"/>
      <c r="N85" s="206">
        <f t="shared" si="12"/>
        <v>0</v>
      </c>
    </row>
    <row r="86" spans="1:14" x14ac:dyDescent="0.4">
      <c r="A86" s="56"/>
      <c r="B86" s="66"/>
      <c r="C86" s="66"/>
      <c r="D86" s="66"/>
      <c r="E86" s="59"/>
      <c r="F86" s="59"/>
      <c r="G86" s="59"/>
      <c r="H86" s="59"/>
      <c r="I86" s="59"/>
      <c r="J86" s="59"/>
      <c r="K86" s="69">
        <f t="shared" si="11"/>
        <v>0</v>
      </c>
      <c r="L86" s="70">
        <f t="shared" si="13"/>
        <v>0</v>
      </c>
      <c r="M86" s="19"/>
      <c r="N86" s="206">
        <f t="shared" si="12"/>
        <v>0</v>
      </c>
    </row>
    <row r="87" spans="1:14" x14ac:dyDescent="0.4">
      <c r="A87" s="56"/>
      <c r="B87" s="66"/>
      <c r="C87" s="66"/>
      <c r="D87" s="66"/>
      <c r="E87" s="59"/>
      <c r="F87" s="59"/>
      <c r="G87" s="59"/>
      <c r="H87" s="59"/>
      <c r="I87" s="59"/>
      <c r="J87" s="59"/>
      <c r="K87" s="69">
        <f t="shared" si="11"/>
        <v>0</v>
      </c>
      <c r="L87" s="70">
        <f t="shared" si="13"/>
        <v>0</v>
      </c>
      <c r="M87" s="19"/>
      <c r="N87" s="206">
        <f t="shared" si="12"/>
        <v>0</v>
      </c>
    </row>
    <row r="88" spans="1:14" x14ac:dyDescent="0.4">
      <c r="A88" s="56"/>
      <c r="B88" s="66"/>
      <c r="C88" s="79"/>
      <c r="D88" s="66"/>
      <c r="E88" s="59"/>
      <c r="F88" s="59"/>
      <c r="G88" s="59"/>
      <c r="H88" s="59"/>
      <c r="I88" s="59"/>
      <c r="J88" s="59"/>
      <c r="K88" s="69">
        <f t="shared" si="11"/>
        <v>0</v>
      </c>
      <c r="L88" s="70">
        <f t="shared" si="13"/>
        <v>0</v>
      </c>
      <c r="M88" s="19"/>
      <c r="N88" s="206">
        <f t="shared" si="12"/>
        <v>0</v>
      </c>
    </row>
    <row r="89" spans="1:14" x14ac:dyDescent="0.4">
      <c r="A89" s="56"/>
      <c r="B89" s="66"/>
      <c r="C89" s="66"/>
      <c r="D89" s="66"/>
      <c r="E89" s="59"/>
      <c r="F89" s="59"/>
      <c r="G89" s="59"/>
      <c r="H89" s="59"/>
      <c r="I89" s="59"/>
      <c r="J89" s="59"/>
      <c r="K89" s="69">
        <f t="shared" si="11"/>
        <v>0</v>
      </c>
      <c r="L89" s="70">
        <f t="shared" si="13"/>
        <v>0</v>
      </c>
      <c r="M89" s="19"/>
      <c r="N89" s="206">
        <f t="shared" si="12"/>
        <v>0</v>
      </c>
    </row>
    <row r="90" spans="1:14" x14ac:dyDescent="0.4">
      <c r="A90" s="56"/>
      <c r="B90" s="109"/>
      <c r="C90" s="109"/>
      <c r="D90" s="109"/>
      <c r="E90" s="89"/>
      <c r="F90" s="89"/>
      <c r="G90" s="89"/>
      <c r="H90" s="89"/>
      <c r="I90" s="89"/>
      <c r="J90" s="59"/>
      <c r="K90" s="69">
        <f t="shared" si="11"/>
        <v>0</v>
      </c>
      <c r="L90" s="70">
        <f t="shared" si="13"/>
        <v>0</v>
      </c>
      <c r="M90" s="19"/>
      <c r="N90" s="206">
        <f t="shared" si="12"/>
        <v>0</v>
      </c>
    </row>
    <row r="91" spans="1:14" x14ac:dyDescent="0.4">
      <c r="A91" s="56"/>
      <c r="B91" s="66"/>
      <c r="C91" s="66"/>
      <c r="D91" s="66"/>
      <c r="E91" s="59"/>
      <c r="F91" s="59"/>
      <c r="G91" s="59"/>
      <c r="H91" s="59"/>
      <c r="I91" s="59"/>
      <c r="J91" s="59"/>
      <c r="K91" s="69">
        <f t="shared" ref="K91:K99" si="16">IF(G91="TLX",ROUND(N91/32*I91,2),ROUND(N91*I91,2))</f>
        <v>0</v>
      </c>
      <c r="L91" s="70">
        <f t="shared" ref="L91:L99" si="17">SUM(J91+K91)</f>
        <v>0</v>
      </c>
      <c r="M91" s="19"/>
      <c r="N91" s="206">
        <f t="shared" si="12"/>
        <v>0</v>
      </c>
    </row>
    <row r="92" spans="1:14" x14ac:dyDescent="0.4">
      <c r="A92" s="56"/>
      <c r="B92" s="66"/>
      <c r="C92" s="66"/>
      <c r="D92" s="66"/>
      <c r="E92" s="59"/>
      <c r="F92" s="59"/>
      <c r="G92" s="59"/>
      <c r="H92" s="59"/>
      <c r="I92" s="59"/>
      <c r="J92" s="59"/>
      <c r="K92" s="69">
        <f t="shared" si="16"/>
        <v>0</v>
      </c>
      <c r="L92" s="70">
        <f t="shared" si="17"/>
        <v>0</v>
      </c>
      <c r="M92" s="19"/>
      <c r="N92" s="206">
        <f t="shared" si="12"/>
        <v>0</v>
      </c>
    </row>
    <row r="93" spans="1:14" ht="15.4" thickBot="1" x14ac:dyDescent="0.45">
      <c r="A93" s="56"/>
      <c r="B93" s="66"/>
      <c r="C93" s="66"/>
      <c r="D93" s="66"/>
      <c r="E93" s="59"/>
      <c r="F93" s="59"/>
      <c r="G93" s="59"/>
      <c r="H93" s="59"/>
      <c r="I93" s="59"/>
      <c r="J93" s="59"/>
      <c r="K93" s="69">
        <f t="shared" si="16"/>
        <v>0</v>
      </c>
      <c r="L93" s="70">
        <f t="shared" si="17"/>
        <v>0</v>
      </c>
      <c r="M93" s="19"/>
      <c r="N93" s="206">
        <f t="shared" si="12"/>
        <v>0</v>
      </c>
    </row>
    <row r="94" spans="1:14" ht="15.4" thickBot="1" x14ac:dyDescent="0.45">
      <c r="A94" s="110"/>
      <c r="B94" s="111"/>
      <c r="C94" s="111"/>
      <c r="D94" s="111"/>
      <c r="E94" s="112"/>
      <c r="F94" s="112"/>
      <c r="G94" s="112"/>
      <c r="H94" s="112"/>
      <c r="I94" s="112"/>
      <c r="J94" s="112"/>
      <c r="K94" s="152" t="s">
        <v>18</v>
      </c>
      <c r="L94" s="100">
        <f>SUM(L74:L93)</f>
        <v>0</v>
      </c>
      <c r="M94" s="19"/>
      <c r="N94" s="206">
        <f t="shared" si="12"/>
        <v>0</v>
      </c>
    </row>
    <row r="95" spans="1:14" x14ac:dyDescent="0.4">
      <c r="A95" s="199">
        <v>5</v>
      </c>
      <c r="B95" s="166" t="s">
        <v>20</v>
      </c>
      <c r="C95" s="332" t="s">
        <v>61</v>
      </c>
      <c r="D95" s="333"/>
      <c r="E95" s="81"/>
      <c r="F95" s="81"/>
      <c r="G95" s="81"/>
      <c r="H95" s="81"/>
      <c r="I95" s="81"/>
      <c r="J95" s="81"/>
      <c r="K95" s="85"/>
      <c r="L95" s="86"/>
      <c r="M95" s="19"/>
      <c r="N95" s="206">
        <f t="shared" si="12"/>
        <v>0</v>
      </c>
    </row>
    <row r="96" spans="1:14" x14ac:dyDescent="0.4">
      <c r="A96" s="56"/>
      <c r="B96" s="114"/>
      <c r="C96" s="114"/>
      <c r="D96" s="114"/>
      <c r="E96" s="59"/>
      <c r="F96" s="59"/>
      <c r="G96" s="113"/>
      <c r="H96" s="59"/>
      <c r="I96" s="59"/>
      <c r="J96" s="59"/>
      <c r="K96" s="69">
        <f>IF(G96="TLX",ROUND(N96/32*I96,2),ROUND(N96*I96,2))</f>
        <v>0</v>
      </c>
      <c r="L96" s="70">
        <f>SUM(J96+K96)</f>
        <v>0</v>
      </c>
      <c r="M96" s="19"/>
      <c r="N96" s="206">
        <f t="shared" si="12"/>
        <v>0</v>
      </c>
    </row>
    <row r="97" spans="1:16" x14ac:dyDescent="0.4">
      <c r="A97" s="56"/>
      <c r="B97" s="114"/>
      <c r="C97" s="114"/>
      <c r="D97" s="114"/>
      <c r="E97" s="59"/>
      <c r="F97" s="59"/>
      <c r="G97" s="113"/>
      <c r="H97" s="59"/>
      <c r="I97" s="59"/>
      <c r="J97" s="59"/>
      <c r="K97" s="69">
        <f>IF(G97="TLX",ROUND(N97/32*I97,2),ROUND(N97*I97,2))</f>
        <v>0</v>
      </c>
      <c r="L97" s="70">
        <f>SUM(J97+K97)</f>
        <v>0</v>
      </c>
      <c r="M97" s="19"/>
      <c r="N97" s="206">
        <f t="shared" si="12"/>
        <v>0</v>
      </c>
    </row>
    <row r="98" spans="1:16" x14ac:dyDescent="0.4">
      <c r="A98" s="120"/>
      <c r="B98" s="66"/>
      <c r="C98" s="66"/>
      <c r="D98" s="66"/>
      <c r="E98" s="122"/>
      <c r="F98" s="122"/>
      <c r="G98" s="122"/>
      <c r="H98" s="122"/>
      <c r="I98" s="122"/>
      <c r="J98" s="122"/>
      <c r="K98" s="123">
        <f t="shared" si="16"/>
        <v>0</v>
      </c>
      <c r="L98" s="119">
        <f t="shared" si="17"/>
        <v>0</v>
      </c>
      <c r="M98" s="19"/>
      <c r="N98" s="206">
        <f t="shared" si="12"/>
        <v>0</v>
      </c>
    </row>
    <row r="99" spans="1:16" x14ac:dyDescent="0.4">
      <c r="A99" s="129"/>
      <c r="B99" s="66"/>
      <c r="C99" s="66"/>
      <c r="D99" s="66"/>
      <c r="E99" s="81"/>
      <c r="F99" s="81"/>
      <c r="G99" s="81"/>
      <c r="H99" s="81"/>
      <c r="I99" s="81"/>
      <c r="J99" s="169"/>
      <c r="K99" s="123">
        <f t="shared" si="16"/>
        <v>0</v>
      </c>
      <c r="L99" s="119">
        <f t="shared" si="17"/>
        <v>0</v>
      </c>
      <c r="M99" s="19"/>
      <c r="N99" s="206">
        <f t="shared" si="12"/>
        <v>0</v>
      </c>
      <c r="O99" s="171"/>
    </row>
    <row r="100" spans="1:16" ht="15.4" x14ac:dyDescent="0.45">
      <c r="A100" s="168"/>
      <c r="B100" s="66"/>
      <c r="C100" s="66"/>
      <c r="D100" s="66"/>
      <c r="E100" s="59"/>
      <c r="F100" s="59"/>
      <c r="G100" s="59"/>
      <c r="H100" s="59"/>
      <c r="I100" s="59"/>
      <c r="J100" s="169"/>
      <c r="K100" s="154">
        <f t="shared" ref="K100:K109" si="18">IF(G100="TLX",ROUND(N100/32*I100,2),ROUND(N100*I100,2))</f>
        <v>0</v>
      </c>
      <c r="L100" s="119">
        <f t="shared" ref="L100:L109" si="19">SUM(J100+K100)</f>
        <v>0</v>
      </c>
      <c r="M100" s="19"/>
      <c r="N100" s="206">
        <f t="shared" si="12"/>
        <v>0</v>
      </c>
      <c r="O100" s="172"/>
    </row>
    <row r="101" spans="1:16" ht="15" customHeight="1" x14ac:dyDescent="0.45">
      <c r="A101" s="137"/>
      <c r="B101" s="66"/>
      <c r="C101" s="66"/>
      <c r="D101" s="66"/>
      <c r="E101" s="59"/>
      <c r="F101" s="59"/>
      <c r="G101" s="59"/>
      <c r="H101" s="59"/>
      <c r="I101" s="59"/>
      <c r="J101" s="122"/>
      <c r="K101" s="123">
        <f t="shared" si="18"/>
        <v>0</v>
      </c>
      <c r="L101" s="119">
        <f t="shared" si="19"/>
        <v>0</v>
      </c>
      <c r="M101" s="19"/>
      <c r="N101" s="206">
        <f t="shared" si="12"/>
        <v>0</v>
      </c>
      <c r="O101" s="172"/>
    </row>
    <row r="102" spans="1:16" ht="15.4" x14ac:dyDescent="0.45">
      <c r="A102" s="137"/>
      <c r="B102" s="66"/>
      <c r="C102" s="66"/>
      <c r="D102" s="66"/>
      <c r="E102" s="59"/>
      <c r="F102" s="59"/>
      <c r="G102" s="59"/>
      <c r="H102" s="59"/>
      <c r="I102" s="59"/>
      <c r="J102" s="122"/>
      <c r="K102" s="123">
        <f t="shared" si="18"/>
        <v>0</v>
      </c>
      <c r="L102" s="119">
        <f t="shared" si="19"/>
        <v>0</v>
      </c>
      <c r="M102" s="19"/>
      <c r="N102" s="206">
        <f t="shared" si="12"/>
        <v>0</v>
      </c>
      <c r="O102" s="172"/>
    </row>
    <row r="103" spans="1:16" x14ac:dyDescent="0.4">
      <c r="A103" s="137"/>
      <c r="B103" s="66"/>
      <c r="C103" s="66"/>
      <c r="D103" s="66"/>
      <c r="E103" s="59"/>
      <c r="F103" s="59"/>
      <c r="G103" s="59"/>
      <c r="H103" s="59"/>
      <c r="I103" s="59"/>
      <c r="J103" s="122"/>
      <c r="K103" s="123">
        <f t="shared" si="18"/>
        <v>0</v>
      </c>
      <c r="L103" s="119">
        <f t="shared" si="19"/>
        <v>0</v>
      </c>
      <c r="M103" s="19"/>
      <c r="N103" s="206">
        <f t="shared" si="12"/>
        <v>0</v>
      </c>
      <c r="O103" s="173"/>
    </row>
    <row r="104" spans="1:16" x14ac:dyDescent="0.4">
      <c r="A104" s="83"/>
      <c r="B104" s="66"/>
      <c r="C104" s="66"/>
      <c r="D104" s="66"/>
      <c r="E104" s="59"/>
      <c r="F104" s="59"/>
      <c r="G104" s="59"/>
      <c r="H104" s="59"/>
      <c r="I104" s="59"/>
      <c r="J104" s="81"/>
      <c r="K104" s="85">
        <f t="shared" si="18"/>
        <v>0</v>
      </c>
      <c r="L104" s="70">
        <f t="shared" si="19"/>
        <v>0</v>
      </c>
      <c r="M104" s="19"/>
      <c r="N104" s="206">
        <f t="shared" si="12"/>
        <v>0</v>
      </c>
      <c r="O104" s="174"/>
      <c r="P104" s="175"/>
    </row>
    <row r="105" spans="1:16" x14ac:dyDescent="0.4">
      <c r="A105" s="56"/>
      <c r="B105" s="66"/>
      <c r="C105" s="66"/>
      <c r="D105" s="66"/>
      <c r="E105" s="59"/>
      <c r="F105" s="59"/>
      <c r="G105" s="59"/>
      <c r="H105" s="59"/>
      <c r="I105" s="59"/>
      <c r="J105" s="59"/>
      <c r="K105" s="69">
        <f>IF(G105="TLX",ROUND(N105/32*I105,2),ROUND(N105*I105,2))</f>
        <v>0</v>
      </c>
      <c r="L105" s="70">
        <f>SUM(J105+K105)</f>
        <v>0</v>
      </c>
      <c r="M105" s="19"/>
      <c r="N105" s="206">
        <f>SUM(E105+F105/60)</f>
        <v>0</v>
      </c>
      <c r="O105" s="174"/>
      <c r="P105" s="175"/>
    </row>
    <row r="106" spans="1:16" x14ac:dyDescent="0.4">
      <c r="A106" s="56"/>
      <c r="B106" s="66"/>
      <c r="C106" s="66"/>
      <c r="D106" s="66"/>
      <c r="E106" s="59"/>
      <c r="F106" s="59"/>
      <c r="G106" s="59"/>
      <c r="H106" s="59"/>
      <c r="I106" s="59"/>
      <c r="J106" s="59"/>
      <c r="K106" s="69">
        <f>IF(G106="TLX",ROUND(N106/32*I106,2),ROUND(N106*I106,2))</f>
        <v>0</v>
      </c>
      <c r="L106" s="70">
        <f>SUM(J106+K106)</f>
        <v>0</v>
      </c>
      <c r="M106" s="19"/>
      <c r="N106" s="206">
        <f>SUM(E106+F106/60)</f>
        <v>0</v>
      </c>
      <c r="O106" s="174"/>
      <c r="P106" s="176"/>
    </row>
    <row r="107" spans="1:16" x14ac:dyDescent="0.4">
      <c r="A107" s="56"/>
      <c r="B107" s="66"/>
      <c r="C107" s="66"/>
      <c r="D107" s="66"/>
      <c r="E107" s="59"/>
      <c r="F107" s="59"/>
      <c r="G107" s="59"/>
      <c r="H107" s="59"/>
      <c r="I107" s="59"/>
      <c r="J107" s="59"/>
      <c r="K107" s="69">
        <f t="shared" si="18"/>
        <v>0</v>
      </c>
      <c r="L107" s="70">
        <f t="shared" si="19"/>
        <v>0</v>
      </c>
      <c r="M107" s="19"/>
      <c r="N107" s="206">
        <f t="shared" si="12"/>
        <v>0</v>
      </c>
      <c r="O107" s="174"/>
      <c r="P107" s="175"/>
    </row>
    <row r="108" spans="1:16" x14ac:dyDescent="0.4">
      <c r="A108" s="56"/>
      <c r="B108" s="66"/>
      <c r="C108" s="66"/>
      <c r="D108" s="66"/>
      <c r="E108" s="59"/>
      <c r="F108" s="59"/>
      <c r="G108" s="59"/>
      <c r="H108" s="59"/>
      <c r="I108" s="59"/>
      <c r="J108" s="59"/>
      <c r="K108" s="69">
        <f t="shared" si="18"/>
        <v>0</v>
      </c>
      <c r="L108" s="70">
        <f t="shared" si="19"/>
        <v>0</v>
      </c>
      <c r="M108" s="19"/>
      <c r="N108" s="206">
        <f t="shared" si="12"/>
        <v>0</v>
      </c>
      <c r="O108" s="174"/>
      <c r="P108" s="176"/>
    </row>
    <row r="109" spans="1:16" x14ac:dyDescent="0.4">
      <c r="A109" s="56"/>
      <c r="B109" s="66"/>
      <c r="C109" s="66"/>
      <c r="D109" s="66"/>
      <c r="E109" s="59"/>
      <c r="F109" s="59"/>
      <c r="G109" s="59"/>
      <c r="H109" s="59"/>
      <c r="I109" s="59"/>
      <c r="J109" s="59"/>
      <c r="K109" s="69">
        <f t="shared" si="18"/>
        <v>0</v>
      </c>
      <c r="L109" s="70">
        <f t="shared" si="19"/>
        <v>0</v>
      </c>
      <c r="M109" s="19"/>
      <c r="N109" s="206">
        <f t="shared" si="12"/>
        <v>0</v>
      </c>
      <c r="O109" s="174"/>
      <c r="P109" s="175"/>
    </row>
    <row r="110" spans="1:16" x14ac:dyDescent="0.4">
      <c r="A110" s="56"/>
      <c r="B110" s="59"/>
      <c r="C110" s="160"/>
      <c r="D110" s="66"/>
      <c r="E110" s="59"/>
      <c r="F110" s="59"/>
      <c r="G110" s="59"/>
      <c r="H110" s="59"/>
      <c r="I110" s="59"/>
      <c r="J110" s="59"/>
      <c r="K110" s="69">
        <f t="shared" ref="K110:K115" si="20">IF(G110="TLX",ROUND(N110/32*I110,2),ROUND(N110*I110,2))</f>
        <v>0</v>
      </c>
      <c r="L110" s="70">
        <f t="shared" ref="L110:L115" si="21">SUM(J110+K110)</f>
        <v>0</v>
      </c>
      <c r="M110" s="19"/>
      <c r="N110" s="206">
        <f t="shared" si="12"/>
        <v>0</v>
      </c>
      <c r="O110" s="174"/>
      <c r="P110" s="175"/>
    </row>
    <row r="111" spans="1:16" x14ac:dyDescent="0.4">
      <c r="A111" s="56"/>
      <c r="B111" s="66"/>
      <c r="C111" s="66"/>
      <c r="D111" s="66"/>
      <c r="E111" s="59"/>
      <c r="F111" s="59"/>
      <c r="G111" s="59"/>
      <c r="H111" s="59"/>
      <c r="I111" s="59"/>
      <c r="J111" s="59"/>
      <c r="K111" s="69">
        <f t="shared" si="20"/>
        <v>0</v>
      </c>
      <c r="L111" s="70">
        <f t="shared" si="21"/>
        <v>0</v>
      </c>
      <c r="M111" s="19"/>
      <c r="N111" s="206">
        <f t="shared" si="12"/>
        <v>0</v>
      </c>
      <c r="O111" s="174"/>
      <c r="P111" s="175"/>
    </row>
    <row r="112" spans="1:16" x14ac:dyDescent="0.4">
      <c r="A112" s="56"/>
      <c r="B112" s="66"/>
      <c r="C112" s="66"/>
      <c r="D112" s="66"/>
      <c r="E112" s="59"/>
      <c r="F112" s="59"/>
      <c r="G112" s="59"/>
      <c r="H112" s="59"/>
      <c r="I112" s="59"/>
      <c r="J112" s="59"/>
      <c r="K112" s="69">
        <f t="shared" si="20"/>
        <v>0</v>
      </c>
      <c r="L112" s="70">
        <f t="shared" si="21"/>
        <v>0</v>
      </c>
      <c r="M112" s="19"/>
      <c r="N112" s="206">
        <f t="shared" si="12"/>
        <v>0</v>
      </c>
    </row>
    <row r="113" spans="1:14" x14ac:dyDescent="0.4">
      <c r="A113" s="56"/>
      <c r="B113" s="66"/>
      <c r="C113" s="66"/>
      <c r="D113" s="66"/>
      <c r="E113" s="59"/>
      <c r="F113" s="59"/>
      <c r="G113" s="59"/>
      <c r="H113" s="59"/>
      <c r="I113" s="59"/>
      <c r="J113" s="59"/>
      <c r="K113" s="69">
        <f t="shared" si="20"/>
        <v>0</v>
      </c>
      <c r="L113" s="70">
        <f t="shared" si="21"/>
        <v>0</v>
      </c>
      <c r="M113" s="19"/>
      <c r="N113" s="206">
        <f t="shared" si="12"/>
        <v>0</v>
      </c>
    </row>
    <row r="114" spans="1:14" x14ac:dyDescent="0.4">
      <c r="A114" s="56"/>
      <c r="B114" s="59"/>
      <c r="C114" s="160"/>
      <c r="D114" s="66"/>
      <c r="E114" s="59"/>
      <c r="F114" s="59"/>
      <c r="G114" s="59"/>
      <c r="H114" s="59"/>
      <c r="I114" s="59"/>
      <c r="J114" s="59"/>
      <c r="K114" s="69">
        <f t="shared" si="20"/>
        <v>0</v>
      </c>
      <c r="L114" s="70">
        <f t="shared" si="21"/>
        <v>0</v>
      </c>
      <c r="M114" s="19"/>
      <c r="N114" s="206">
        <f t="shared" si="12"/>
        <v>0</v>
      </c>
    </row>
    <row r="115" spans="1:14" ht="15.4" thickBot="1" x14ac:dyDescent="0.45">
      <c r="A115" s="56"/>
      <c r="B115" s="66"/>
      <c r="C115" s="66"/>
      <c r="D115" s="66"/>
      <c r="E115" s="59"/>
      <c r="F115" s="59"/>
      <c r="G115" s="59"/>
      <c r="H115" s="59"/>
      <c r="I115" s="59"/>
      <c r="J115" s="59"/>
      <c r="K115" s="69">
        <f t="shared" si="20"/>
        <v>0</v>
      </c>
      <c r="L115" s="70">
        <f t="shared" si="21"/>
        <v>0</v>
      </c>
      <c r="M115" s="19"/>
      <c r="N115" s="206">
        <f t="shared" si="12"/>
        <v>0</v>
      </c>
    </row>
    <row r="116" spans="1:14" ht="15.4" thickBot="1" x14ac:dyDescent="0.45">
      <c r="A116" s="60"/>
      <c r="B116" s="72"/>
      <c r="C116" s="61"/>
      <c r="D116" s="72"/>
      <c r="E116" s="61"/>
      <c r="F116" s="61"/>
      <c r="G116" s="61"/>
      <c r="H116" s="61"/>
      <c r="I116" s="61"/>
      <c r="J116" s="61"/>
      <c r="K116" s="151" t="s">
        <v>18</v>
      </c>
      <c r="L116" s="100">
        <f>SUM(L96:L115)</f>
        <v>0</v>
      </c>
      <c r="M116" s="19"/>
      <c r="N116" s="206">
        <f t="shared" si="12"/>
        <v>0</v>
      </c>
    </row>
    <row r="117" spans="1:14" hidden="1" x14ac:dyDescent="0.4">
      <c r="A117" s="83"/>
      <c r="B117" s="84"/>
      <c r="C117" s="81"/>
      <c r="D117" s="84"/>
      <c r="E117" s="81"/>
      <c r="F117" s="81"/>
      <c r="G117" s="81"/>
      <c r="H117" s="81"/>
      <c r="I117" s="81"/>
      <c r="J117" s="81"/>
      <c r="K117" s="107"/>
      <c r="L117" s="108"/>
      <c r="M117" s="19"/>
      <c r="N117" s="206">
        <f t="shared" si="12"/>
        <v>0</v>
      </c>
    </row>
    <row r="118" spans="1:14" x14ac:dyDescent="0.4">
      <c r="A118" s="200">
        <v>6</v>
      </c>
      <c r="B118" s="103" t="s">
        <v>22</v>
      </c>
      <c r="C118" s="330"/>
      <c r="D118" s="331"/>
      <c r="E118" s="59"/>
      <c r="F118" s="59"/>
      <c r="G118" s="59"/>
      <c r="H118" s="59"/>
      <c r="I118" s="59"/>
      <c r="J118" s="59"/>
      <c r="K118" s="71"/>
      <c r="L118" s="87"/>
      <c r="M118" s="19"/>
      <c r="N118" s="206">
        <f t="shared" si="12"/>
        <v>0</v>
      </c>
    </row>
    <row r="119" spans="1:14" x14ac:dyDescent="0.4">
      <c r="A119" s="56"/>
      <c r="B119" s="66"/>
      <c r="C119" s="66"/>
      <c r="D119" s="66"/>
      <c r="E119" s="59"/>
      <c r="F119" s="59"/>
      <c r="G119" s="59"/>
      <c r="H119" s="59"/>
      <c r="I119" s="59"/>
      <c r="J119" s="59"/>
      <c r="K119" s="69">
        <f>IF(G119="TLX",ROUND(N119/32*I119,2),ROUND(N119*I119,2))</f>
        <v>0</v>
      </c>
      <c r="L119" s="70">
        <f t="shared" ref="L119:L138" si="22">SUM(J119+K119)</f>
        <v>0</v>
      </c>
      <c r="M119" s="19"/>
      <c r="N119" s="206">
        <f t="shared" si="12"/>
        <v>0</v>
      </c>
    </row>
    <row r="120" spans="1:14" x14ac:dyDescent="0.4">
      <c r="A120" s="56"/>
      <c r="B120" s="66"/>
      <c r="C120" s="66"/>
      <c r="D120" s="66"/>
      <c r="E120" s="59"/>
      <c r="F120" s="59"/>
      <c r="G120" s="59"/>
      <c r="H120" s="59"/>
      <c r="I120" s="59"/>
      <c r="J120" s="59"/>
      <c r="K120" s="69">
        <f>IF(G120="TLX",ROUND(N120/32*I120,2),ROUND(N120*I120,2))</f>
        <v>0</v>
      </c>
      <c r="L120" s="70">
        <f t="shared" si="22"/>
        <v>0</v>
      </c>
      <c r="M120" s="19"/>
      <c r="N120" s="206">
        <f t="shared" si="12"/>
        <v>0</v>
      </c>
    </row>
    <row r="121" spans="1:14" x14ac:dyDescent="0.4">
      <c r="A121" s="56"/>
      <c r="B121" s="66"/>
      <c r="C121" s="66"/>
      <c r="D121" s="66"/>
      <c r="E121" s="59"/>
      <c r="F121" s="59"/>
      <c r="G121" s="59"/>
      <c r="H121" s="59"/>
      <c r="I121" s="59"/>
      <c r="J121" s="59"/>
      <c r="K121" s="69">
        <f>IF(G121="TLX",ROUND(N121/32*I121,2),ROUND(N121*I121,2))</f>
        <v>0</v>
      </c>
      <c r="L121" s="70">
        <f t="shared" si="22"/>
        <v>0</v>
      </c>
      <c r="M121" s="19"/>
      <c r="N121" s="206">
        <f t="shared" ref="N121:N131" si="23">SUM(E121+F121/60)</f>
        <v>0</v>
      </c>
    </row>
    <row r="122" spans="1:14" x14ac:dyDescent="0.4">
      <c r="A122" s="56"/>
      <c r="B122" s="66"/>
      <c r="C122" s="66"/>
      <c r="D122" s="66"/>
      <c r="E122" s="59"/>
      <c r="F122" s="59"/>
      <c r="G122" s="59"/>
      <c r="H122" s="59"/>
      <c r="I122" s="59"/>
      <c r="J122" s="59"/>
      <c r="K122" s="69">
        <f>IF(G122="TLX",ROUND(N122/32*I122,2),ROUND(N122*I122,2))</f>
        <v>0</v>
      </c>
      <c r="L122" s="70">
        <f t="shared" si="22"/>
        <v>0</v>
      </c>
      <c r="M122" s="19"/>
      <c r="N122" s="206">
        <f t="shared" si="23"/>
        <v>0</v>
      </c>
    </row>
    <row r="123" spans="1:14" x14ac:dyDescent="0.4">
      <c r="A123" s="56"/>
      <c r="B123" s="66"/>
      <c r="C123" s="66"/>
      <c r="D123" s="66"/>
      <c r="E123" s="59"/>
      <c r="F123" s="59"/>
      <c r="G123" s="59"/>
      <c r="H123" s="59"/>
      <c r="I123" s="59"/>
      <c r="J123" s="59"/>
      <c r="K123" s="69">
        <f>IF(G123="TLX",ROUND(N123/32*I123,2),ROUND(N123*I123,2))</f>
        <v>0</v>
      </c>
      <c r="L123" s="70">
        <f t="shared" si="22"/>
        <v>0</v>
      </c>
      <c r="M123" s="19"/>
      <c r="N123" s="206">
        <f t="shared" si="23"/>
        <v>0</v>
      </c>
    </row>
    <row r="124" spans="1:14" x14ac:dyDescent="0.4">
      <c r="A124" s="56"/>
      <c r="B124" s="66"/>
      <c r="C124" s="66"/>
      <c r="D124" s="66"/>
      <c r="E124" s="59"/>
      <c r="F124" s="59"/>
      <c r="G124" s="59"/>
      <c r="H124" s="59"/>
      <c r="I124" s="59"/>
      <c r="J124" s="59"/>
      <c r="K124" s="69">
        <f>IF(G124="TLX",ROUND(N124/32*I124,2),ROUND(N124*I124,2))</f>
        <v>0</v>
      </c>
      <c r="L124" s="70">
        <f t="shared" si="22"/>
        <v>0</v>
      </c>
      <c r="M124" s="19"/>
      <c r="N124" s="206">
        <f t="shared" si="23"/>
        <v>0</v>
      </c>
    </row>
    <row r="125" spans="1:14" x14ac:dyDescent="0.4">
      <c r="A125" s="56"/>
      <c r="B125" s="66"/>
      <c r="C125" s="66"/>
      <c r="D125" s="66"/>
      <c r="E125" s="59"/>
      <c r="F125" s="59"/>
      <c r="G125" s="59"/>
      <c r="H125" s="59"/>
      <c r="I125" s="59"/>
      <c r="J125" s="59"/>
      <c r="K125" s="69">
        <f>IF(G125="TLX",ROUND(N125/32*I125,2),ROUND(N125*I125,2))</f>
        <v>0</v>
      </c>
      <c r="L125" s="70">
        <f t="shared" si="22"/>
        <v>0</v>
      </c>
      <c r="M125" s="19"/>
      <c r="N125" s="206">
        <f t="shared" si="23"/>
        <v>0</v>
      </c>
    </row>
    <row r="126" spans="1:14" x14ac:dyDescent="0.4">
      <c r="A126" s="56"/>
      <c r="B126" s="66"/>
      <c r="C126" s="66"/>
      <c r="D126" s="66"/>
      <c r="E126" s="59"/>
      <c r="F126" s="59"/>
      <c r="G126" s="59"/>
      <c r="H126" s="59"/>
      <c r="I126" s="59"/>
      <c r="J126" s="59"/>
      <c r="K126" s="69">
        <f>IF(G126="TLX",ROUND(N126/32*I126,2),ROUND(N126*I126,2))</f>
        <v>0</v>
      </c>
      <c r="L126" s="70">
        <f t="shared" si="22"/>
        <v>0</v>
      </c>
      <c r="M126" s="19"/>
      <c r="N126" s="206">
        <f t="shared" si="23"/>
        <v>0</v>
      </c>
    </row>
    <row r="127" spans="1:14" x14ac:dyDescent="0.4">
      <c r="A127" s="56"/>
      <c r="B127" s="66"/>
      <c r="C127" s="66"/>
      <c r="D127" s="66"/>
      <c r="E127" s="59"/>
      <c r="F127" s="59"/>
      <c r="G127" s="59"/>
      <c r="H127" s="59"/>
      <c r="I127" s="59"/>
      <c r="J127" s="59"/>
      <c r="K127" s="69">
        <f>IF(G127="TLX",ROUND(N127/32*I127,2),ROUND(N127*I127,2))</f>
        <v>0</v>
      </c>
      <c r="L127" s="70">
        <f t="shared" si="22"/>
        <v>0</v>
      </c>
      <c r="M127" s="19"/>
      <c r="N127" s="206">
        <f t="shared" si="23"/>
        <v>0</v>
      </c>
    </row>
    <row r="128" spans="1:14" x14ac:dyDescent="0.4">
      <c r="A128" s="56"/>
      <c r="B128" s="66"/>
      <c r="C128" s="66"/>
      <c r="D128" s="66"/>
      <c r="E128" s="59"/>
      <c r="F128" s="59"/>
      <c r="G128" s="59"/>
      <c r="H128" s="59"/>
      <c r="I128" s="59"/>
      <c r="J128" s="59"/>
      <c r="K128" s="69">
        <f>IF(G128="TLX",ROUND(N128/32*I128,2),ROUND(N128*I128,2))</f>
        <v>0</v>
      </c>
      <c r="L128" s="70">
        <f t="shared" si="22"/>
        <v>0</v>
      </c>
      <c r="M128" s="19"/>
      <c r="N128" s="206">
        <f t="shared" si="23"/>
        <v>0</v>
      </c>
    </row>
    <row r="129" spans="1:14" x14ac:dyDescent="0.4">
      <c r="A129" s="56"/>
      <c r="B129" s="66"/>
      <c r="C129" s="66"/>
      <c r="D129" s="66"/>
      <c r="E129" s="59"/>
      <c r="F129" s="59"/>
      <c r="G129" s="59"/>
      <c r="H129" s="59"/>
      <c r="I129" s="59"/>
      <c r="J129" s="59"/>
      <c r="K129" s="69">
        <f>IF(G129="TLX",ROUND(N129/32*I129,2),ROUND(N129*I129,2))</f>
        <v>0</v>
      </c>
      <c r="L129" s="70">
        <f t="shared" si="22"/>
        <v>0</v>
      </c>
      <c r="M129" s="19"/>
      <c r="N129" s="206">
        <f t="shared" si="23"/>
        <v>0</v>
      </c>
    </row>
    <row r="130" spans="1:14" x14ac:dyDescent="0.4">
      <c r="A130" s="56"/>
      <c r="B130" s="66"/>
      <c r="C130" s="66"/>
      <c r="D130" s="66"/>
      <c r="E130" s="59"/>
      <c r="F130" s="59"/>
      <c r="G130" s="59"/>
      <c r="H130" s="59"/>
      <c r="I130" s="59"/>
      <c r="J130" s="59"/>
      <c r="K130" s="69">
        <f>IF(G130="TLX",ROUND(N130/32*I130,2),ROUND(N130*I130,2))</f>
        <v>0</v>
      </c>
      <c r="L130" s="70">
        <f t="shared" si="22"/>
        <v>0</v>
      </c>
      <c r="M130" s="19"/>
      <c r="N130" s="206">
        <f t="shared" si="23"/>
        <v>0</v>
      </c>
    </row>
    <row r="131" spans="1:14" x14ac:dyDescent="0.4">
      <c r="A131" s="56"/>
      <c r="B131" s="66"/>
      <c r="C131" s="66"/>
      <c r="D131" s="66"/>
      <c r="E131" s="59"/>
      <c r="F131" s="59"/>
      <c r="G131" s="59"/>
      <c r="H131" s="59"/>
      <c r="I131" s="59"/>
      <c r="J131" s="59"/>
      <c r="K131" s="69">
        <f>IF(G131="TLX",ROUND(N131/32*I131,2),ROUND(N131*I131,2))</f>
        <v>0</v>
      </c>
      <c r="L131" s="70">
        <f t="shared" si="22"/>
        <v>0</v>
      </c>
      <c r="M131" s="19"/>
      <c r="N131" s="206">
        <f t="shared" si="23"/>
        <v>0</v>
      </c>
    </row>
    <row r="132" spans="1:14" x14ac:dyDescent="0.4">
      <c r="A132" s="56"/>
      <c r="B132" s="66"/>
      <c r="C132" s="66"/>
      <c r="D132" s="66"/>
      <c r="E132" s="59"/>
      <c r="F132" s="59"/>
      <c r="G132" s="59"/>
      <c r="H132" s="59"/>
      <c r="I132" s="59"/>
      <c r="J132" s="59"/>
      <c r="K132" s="69">
        <f t="shared" ref="K132:K138" si="24">IF(G132="TLX",ROUND(N132/32*I132,2),ROUND(N132*I132,2))</f>
        <v>0</v>
      </c>
      <c r="L132" s="70">
        <f t="shared" si="22"/>
        <v>0</v>
      </c>
      <c r="M132" s="19"/>
      <c r="N132" s="206">
        <f t="shared" si="12"/>
        <v>0</v>
      </c>
    </row>
    <row r="133" spans="1:14" x14ac:dyDescent="0.4">
      <c r="A133" s="120"/>
      <c r="B133" s="121"/>
      <c r="C133" s="121"/>
      <c r="D133" s="121"/>
      <c r="E133" s="122"/>
      <c r="F133" s="122"/>
      <c r="G133" s="122"/>
      <c r="H133" s="122"/>
      <c r="I133" s="122"/>
      <c r="J133" s="122"/>
      <c r="K133" s="123">
        <f t="shared" si="24"/>
        <v>0</v>
      </c>
      <c r="L133" s="138">
        <f t="shared" si="22"/>
        <v>0</v>
      </c>
      <c r="M133" s="19"/>
      <c r="N133" s="206">
        <f t="shared" si="12"/>
        <v>0</v>
      </c>
    </row>
    <row r="134" spans="1:14" x14ac:dyDescent="0.4">
      <c r="A134" s="120"/>
      <c r="B134" s="121"/>
      <c r="C134" s="121"/>
      <c r="D134" s="121"/>
      <c r="E134" s="122"/>
      <c r="F134" s="122"/>
      <c r="G134" s="122"/>
      <c r="H134" s="122"/>
      <c r="I134" s="122"/>
      <c r="J134" s="122"/>
      <c r="K134" s="123">
        <f t="shared" si="24"/>
        <v>0</v>
      </c>
      <c r="L134" s="138">
        <f t="shared" si="22"/>
        <v>0</v>
      </c>
      <c r="M134" s="19"/>
      <c r="N134" s="206">
        <f t="shared" si="12"/>
        <v>0</v>
      </c>
    </row>
    <row r="135" spans="1:14" x14ac:dyDescent="0.4">
      <c r="A135" s="120"/>
      <c r="B135" s="181"/>
      <c r="C135" s="181"/>
      <c r="D135" s="181"/>
      <c r="E135" s="122"/>
      <c r="F135" s="122"/>
      <c r="G135" s="122"/>
      <c r="H135" s="122"/>
      <c r="I135" s="122"/>
      <c r="J135" s="122"/>
      <c r="K135" s="123">
        <f t="shared" si="24"/>
        <v>0</v>
      </c>
      <c r="L135" s="138">
        <f t="shared" si="22"/>
        <v>0</v>
      </c>
      <c r="M135" s="19"/>
      <c r="N135" s="206">
        <f t="shared" si="12"/>
        <v>0</v>
      </c>
    </row>
    <row r="136" spans="1:14" x14ac:dyDescent="0.4">
      <c r="A136" s="120"/>
      <c r="B136" s="121"/>
      <c r="C136" s="121"/>
      <c r="D136" s="121"/>
      <c r="E136" s="122"/>
      <c r="F136" s="122"/>
      <c r="G136" s="122"/>
      <c r="H136" s="122"/>
      <c r="I136" s="122"/>
      <c r="J136" s="122"/>
      <c r="K136" s="123">
        <f t="shared" si="24"/>
        <v>0</v>
      </c>
      <c r="L136" s="138">
        <f t="shared" si="22"/>
        <v>0</v>
      </c>
      <c r="M136" s="19"/>
      <c r="N136" s="206">
        <f t="shared" si="12"/>
        <v>0</v>
      </c>
    </row>
    <row r="137" spans="1:14" x14ac:dyDescent="0.4">
      <c r="A137" s="168"/>
      <c r="B137" s="84"/>
      <c r="C137" s="84"/>
      <c r="D137" s="84"/>
      <c r="E137" s="81"/>
      <c r="F137" s="81"/>
      <c r="G137" s="81"/>
      <c r="H137" s="81"/>
      <c r="I137" s="81"/>
      <c r="J137" s="169"/>
      <c r="K137" s="180">
        <f t="shared" si="24"/>
        <v>0</v>
      </c>
      <c r="L137" s="159">
        <f t="shared" si="22"/>
        <v>0</v>
      </c>
      <c r="M137" s="19"/>
      <c r="N137" s="206">
        <f t="shared" si="12"/>
        <v>0</v>
      </c>
    </row>
    <row r="138" spans="1:14" ht="15.4" thickBot="1" x14ac:dyDescent="0.45">
      <c r="A138" s="178"/>
      <c r="B138" s="66"/>
      <c r="C138" s="66"/>
      <c r="D138" s="66"/>
      <c r="E138" s="59"/>
      <c r="F138" s="59"/>
      <c r="G138" s="59"/>
      <c r="H138" s="59"/>
      <c r="I138" s="59"/>
      <c r="J138" s="136"/>
      <c r="K138" s="170">
        <f t="shared" si="24"/>
        <v>0</v>
      </c>
      <c r="L138" s="179">
        <f t="shared" si="22"/>
        <v>0</v>
      </c>
      <c r="M138" s="19"/>
      <c r="N138" s="206">
        <f t="shared" si="12"/>
        <v>0</v>
      </c>
    </row>
    <row r="139" spans="1:14" ht="15.4" thickBot="1" x14ac:dyDescent="0.45">
      <c r="A139" s="110"/>
      <c r="B139" s="111"/>
      <c r="C139" s="111"/>
      <c r="D139" s="111"/>
      <c r="E139" s="112"/>
      <c r="F139" s="112"/>
      <c r="G139" s="112"/>
      <c r="H139" s="112"/>
      <c r="I139" s="112"/>
      <c r="J139" s="112"/>
      <c r="K139" s="152" t="s">
        <v>18</v>
      </c>
      <c r="L139" s="100">
        <f>SUM(L119:L138)</f>
        <v>0</v>
      </c>
      <c r="M139" s="19"/>
      <c r="N139" s="206">
        <f t="shared" si="12"/>
        <v>0</v>
      </c>
    </row>
    <row r="140" spans="1:14" x14ac:dyDescent="0.4">
      <c r="A140" s="201">
        <v>7</v>
      </c>
      <c r="B140" s="182" t="s">
        <v>19</v>
      </c>
      <c r="C140" s="183"/>
      <c r="D140" s="184"/>
      <c r="E140" s="65"/>
      <c r="F140" s="65"/>
      <c r="G140" s="65"/>
      <c r="H140" s="65"/>
      <c r="I140" s="65"/>
      <c r="J140" s="65"/>
      <c r="K140" s="185"/>
      <c r="L140" s="186"/>
      <c r="M140" s="19"/>
      <c r="N140" s="206">
        <f t="shared" si="12"/>
        <v>0</v>
      </c>
    </row>
    <row r="141" spans="1:14" x14ac:dyDescent="0.4">
      <c r="A141" s="56"/>
      <c r="B141" s="66"/>
      <c r="C141" s="66"/>
      <c r="D141" s="66"/>
      <c r="E141" s="59"/>
      <c r="F141" s="59"/>
      <c r="G141" s="59"/>
      <c r="H141" s="59"/>
      <c r="I141" s="59"/>
      <c r="J141" s="59"/>
      <c r="K141" s="85">
        <f t="shared" ref="K141:K147" si="25">IF(G141="TLX",ROUND(N141/32*I141,2),ROUND(N141*I141,2))</f>
        <v>0</v>
      </c>
      <c r="L141" s="86">
        <f t="shared" ref="L141:L147" si="26">SUM(J141+K141)</f>
        <v>0</v>
      </c>
      <c r="M141" s="19"/>
      <c r="N141" s="206">
        <f t="shared" si="12"/>
        <v>0</v>
      </c>
    </row>
    <row r="142" spans="1:14" x14ac:dyDescent="0.4">
      <c r="A142" s="56"/>
      <c r="B142" s="66"/>
      <c r="C142" s="66"/>
      <c r="D142" s="66"/>
      <c r="E142" s="59"/>
      <c r="F142" s="59"/>
      <c r="G142" s="59"/>
      <c r="H142" s="59"/>
      <c r="I142" s="59"/>
      <c r="J142" s="59"/>
      <c r="K142" s="69">
        <f t="shared" si="25"/>
        <v>0</v>
      </c>
      <c r="L142" s="70">
        <f t="shared" si="26"/>
        <v>0</v>
      </c>
      <c r="M142" s="19"/>
      <c r="N142" s="206">
        <f t="shared" si="12"/>
        <v>0</v>
      </c>
    </row>
    <row r="143" spans="1:14" x14ac:dyDescent="0.4">
      <c r="A143" s="56"/>
      <c r="B143" s="66"/>
      <c r="C143" s="66"/>
      <c r="D143" s="66"/>
      <c r="E143" s="59"/>
      <c r="F143" s="59"/>
      <c r="G143" s="59"/>
      <c r="H143" s="59"/>
      <c r="I143" s="59"/>
      <c r="J143" s="59"/>
      <c r="K143" s="69">
        <f t="shared" si="25"/>
        <v>0</v>
      </c>
      <c r="L143" s="70">
        <f t="shared" si="26"/>
        <v>0</v>
      </c>
      <c r="M143" s="19"/>
      <c r="N143" s="206">
        <f t="shared" si="12"/>
        <v>0</v>
      </c>
    </row>
    <row r="144" spans="1:14" x14ac:dyDescent="0.4">
      <c r="A144" s="56"/>
      <c r="B144" s="66"/>
      <c r="C144" s="66"/>
      <c r="D144" s="66"/>
      <c r="E144" s="59"/>
      <c r="F144" s="59"/>
      <c r="G144" s="59"/>
      <c r="H144" s="59"/>
      <c r="I144" s="59"/>
      <c r="J144" s="59"/>
      <c r="K144" s="69">
        <f t="shared" si="25"/>
        <v>0</v>
      </c>
      <c r="L144" s="70">
        <f t="shared" si="26"/>
        <v>0</v>
      </c>
      <c r="M144" s="19"/>
      <c r="N144" s="206">
        <f t="shared" si="12"/>
        <v>0</v>
      </c>
    </row>
    <row r="145" spans="1:18" x14ac:dyDescent="0.4">
      <c r="A145" s="56"/>
      <c r="B145" s="66"/>
      <c r="C145" s="66"/>
      <c r="D145" s="66"/>
      <c r="E145" s="59"/>
      <c r="F145" s="59"/>
      <c r="G145" s="59"/>
      <c r="H145" s="59"/>
      <c r="I145" s="59"/>
      <c r="J145" s="59"/>
      <c r="K145" s="69">
        <f t="shared" si="25"/>
        <v>0</v>
      </c>
      <c r="L145" s="70">
        <f t="shared" si="26"/>
        <v>0</v>
      </c>
      <c r="M145" s="19"/>
      <c r="N145" s="206">
        <f t="shared" si="12"/>
        <v>0</v>
      </c>
    </row>
    <row r="146" spans="1:18" x14ac:dyDescent="0.4">
      <c r="A146" s="56"/>
      <c r="B146" s="66"/>
      <c r="C146" s="66"/>
      <c r="D146" s="66"/>
      <c r="E146" s="59"/>
      <c r="F146" s="59"/>
      <c r="G146" s="59"/>
      <c r="H146" s="59"/>
      <c r="I146" s="59"/>
      <c r="J146" s="59"/>
      <c r="K146" s="69">
        <f t="shared" si="25"/>
        <v>0</v>
      </c>
      <c r="L146" s="70">
        <f t="shared" si="26"/>
        <v>0</v>
      </c>
      <c r="M146" s="19"/>
      <c r="N146" s="206">
        <f t="shared" si="12"/>
        <v>0</v>
      </c>
    </row>
    <row r="147" spans="1:18" x14ac:dyDescent="0.4">
      <c r="A147" s="56"/>
      <c r="B147" s="66"/>
      <c r="C147" s="66"/>
      <c r="D147" s="66"/>
      <c r="E147" s="59"/>
      <c r="F147" s="59"/>
      <c r="G147" s="59"/>
      <c r="H147" s="59"/>
      <c r="I147" s="59"/>
      <c r="J147" s="59"/>
      <c r="K147" s="69">
        <f t="shared" si="25"/>
        <v>0</v>
      </c>
      <c r="L147" s="70">
        <f t="shared" si="26"/>
        <v>0</v>
      </c>
      <c r="M147" s="19"/>
      <c r="N147" s="206">
        <f t="shared" si="12"/>
        <v>0</v>
      </c>
      <c r="O147" s="165"/>
    </row>
    <row r="148" spans="1:18" x14ac:dyDescent="0.4">
      <c r="A148" s="56"/>
      <c r="B148" s="66"/>
      <c r="C148" s="66"/>
      <c r="D148" s="66"/>
      <c r="E148" s="59"/>
      <c r="F148" s="59"/>
      <c r="G148" s="59"/>
      <c r="H148" s="59"/>
      <c r="I148" s="59"/>
      <c r="J148" s="59"/>
      <c r="K148" s="69">
        <f t="shared" ref="K148:K155" si="27">IF(G148="TLX",ROUND(N148/32*I148,2),ROUND(N148*I148,2))</f>
        <v>0</v>
      </c>
      <c r="L148" s="70">
        <f t="shared" ref="L148:L155" si="28">SUM(J148+K148)</f>
        <v>0</v>
      </c>
      <c r="M148" s="19"/>
      <c r="N148" s="206">
        <f t="shared" si="12"/>
        <v>0</v>
      </c>
      <c r="O148" s="165"/>
    </row>
    <row r="149" spans="1:18" x14ac:dyDescent="0.4">
      <c r="A149" s="56"/>
      <c r="B149" s="66"/>
      <c r="C149" s="66"/>
      <c r="D149" s="66"/>
      <c r="E149" s="59"/>
      <c r="F149" s="59"/>
      <c r="G149" s="59"/>
      <c r="H149" s="59"/>
      <c r="I149" s="59"/>
      <c r="J149" s="59"/>
      <c r="K149" s="69">
        <f t="shared" si="27"/>
        <v>0</v>
      </c>
      <c r="L149" s="70">
        <f t="shared" si="28"/>
        <v>0</v>
      </c>
      <c r="M149" s="19"/>
      <c r="N149" s="206">
        <f t="shared" si="12"/>
        <v>0</v>
      </c>
      <c r="O149" s="165"/>
    </row>
    <row r="150" spans="1:18" x14ac:dyDescent="0.4">
      <c r="A150" s="56"/>
      <c r="B150" s="66"/>
      <c r="C150" s="66"/>
      <c r="D150" s="66"/>
      <c r="E150" s="59"/>
      <c r="F150" s="59"/>
      <c r="G150" s="59"/>
      <c r="H150" s="59"/>
      <c r="I150" s="59"/>
      <c r="J150" s="59"/>
      <c r="K150" s="69">
        <f t="shared" si="27"/>
        <v>0</v>
      </c>
      <c r="L150" s="70">
        <f t="shared" si="28"/>
        <v>0</v>
      </c>
      <c r="M150" s="19"/>
      <c r="N150" s="206">
        <f t="shared" si="12"/>
        <v>0</v>
      </c>
      <c r="O150" s="165"/>
    </row>
    <row r="151" spans="1:18" x14ac:dyDescent="0.4">
      <c r="A151" s="56"/>
      <c r="B151" s="66"/>
      <c r="C151" s="66"/>
      <c r="D151" s="66"/>
      <c r="E151" s="59"/>
      <c r="F151" s="59"/>
      <c r="G151" s="59"/>
      <c r="H151" s="59"/>
      <c r="I151" s="59"/>
      <c r="J151" s="59"/>
      <c r="K151" s="69">
        <f t="shared" si="27"/>
        <v>0</v>
      </c>
      <c r="L151" s="70">
        <f t="shared" si="28"/>
        <v>0</v>
      </c>
      <c r="M151" s="19"/>
      <c r="N151" s="206">
        <f t="shared" si="12"/>
        <v>0</v>
      </c>
      <c r="O151" s="165"/>
    </row>
    <row r="152" spans="1:18" x14ac:dyDescent="0.4">
      <c r="A152" s="56"/>
      <c r="B152" s="66"/>
      <c r="C152" s="66"/>
      <c r="D152" s="66"/>
      <c r="E152" s="59"/>
      <c r="F152" s="59"/>
      <c r="G152" s="59"/>
      <c r="H152" s="59"/>
      <c r="I152" s="59"/>
      <c r="J152" s="59"/>
      <c r="K152" s="69">
        <f t="shared" si="27"/>
        <v>0</v>
      </c>
      <c r="L152" s="70">
        <f t="shared" si="28"/>
        <v>0</v>
      </c>
      <c r="M152" s="19"/>
      <c r="N152" s="206">
        <f t="shared" si="12"/>
        <v>0</v>
      </c>
      <c r="O152" s="165"/>
    </row>
    <row r="153" spans="1:18" x14ac:dyDescent="0.4">
      <c r="A153" s="56"/>
      <c r="B153" s="66"/>
      <c r="C153" s="66"/>
      <c r="D153" s="66"/>
      <c r="E153" s="59"/>
      <c r="F153" s="59"/>
      <c r="G153" s="59"/>
      <c r="H153" s="59"/>
      <c r="I153" s="59"/>
      <c r="J153" s="59"/>
      <c r="K153" s="69">
        <f t="shared" si="27"/>
        <v>0</v>
      </c>
      <c r="L153" s="70">
        <f t="shared" si="28"/>
        <v>0</v>
      </c>
      <c r="M153" s="19"/>
      <c r="N153" s="206">
        <f t="shared" si="12"/>
        <v>0</v>
      </c>
      <c r="O153" s="165"/>
    </row>
    <row r="154" spans="1:18" x14ac:dyDescent="0.4">
      <c r="A154" s="56"/>
      <c r="B154" s="66"/>
      <c r="C154" s="66"/>
      <c r="D154" s="66"/>
      <c r="E154" s="59"/>
      <c r="F154" s="59"/>
      <c r="G154" s="59"/>
      <c r="H154" s="59"/>
      <c r="I154" s="59"/>
      <c r="J154" s="59"/>
      <c r="K154" s="69">
        <f t="shared" si="27"/>
        <v>0</v>
      </c>
      <c r="L154" s="70">
        <f t="shared" si="28"/>
        <v>0</v>
      </c>
      <c r="M154" s="19"/>
      <c r="N154" s="206">
        <f t="shared" si="12"/>
        <v>0</v>
      </c>
      <c r="O154" s="165"/>
    </row>
    <row r="155" spans="1:18" x14ac:dyDescent="0.4">
      <c r="A155" s="56"/>
      <c r="B155" s="66"/>
      <c r="C155" s="66"/>
      <c r="D155" s="66"/>
      <c r="E155" s="59"/>
      <c r="F155" s="59"/>
      <c r="G155" s="59"/>
      <c r="H155" s="59"/>
      <c r="I155" s="59"/>
      <c r="J155" s="59"/>
      <c r="K155" s="69">
        <f t="shared" si="27"/>
        <v>0</v>
      </c>
      <c r="L155" s="70">
        <f t="shared" si="28"/>
        <v>0</v>
      </c>
      <c r="M155" s="19"/>
      <c r="N155" s="206">
        <f t="shared" si="12"/>
        <v>0</v>
      </c>
      <c r="O155" s="165"/>
    </row>
    <row r="156" spans="1:18" x14ac:dyDescent="0.4">
      <c r="A156" s="56"/>
      <c r="B156" s="66"/>
      <c r="C156" s="66"/>
      <c r="D156" s="66"/>
      <c r="E156" s="59"/>
      <c r="F156" s="59"/>
      <c r="G156" s="122"/>
      <c r="H156" s="122"/>
      <c r="I156" s="122"/>
      <c r="J156" s="188"/>
      <c r="K156" s="69">
        <f>IF(G156="TLX",ROUND(N156/32*I156,2),ROUND(N156*I156,2))</f>
        <v>0</v>
      </c>
      <c r="L156" s="70">
        <f>SUM(J156+K156)</f>
        <v>0</v>
      </c>
      <c r="M156" s="164"/>
      <c r="N156" s="206">
        <f t="shared" ref="N156:N197" si="29">SUM(E156+F156/60)</f>
        <v>0</v>
      </c>
      <c r="O156" s="165"/>
      <c r="P156" s="165"/>
      <c r="Q156" s="165"/>
      <c r="R156" s="165"/>
    </row>
    <row r="157" spans="1:18" x14ac:dyDescent="0.4">
      <c r="A157" s="137"/>
      <c r="B157" s="121"/>
      <c r="C157" s="121"/>
      <c r="D157" s="121"/>
      <c r="E157" s="122"/>
      <c r="F157" s="128"/>
      <c r="G157" s="122"/>
      <c r="H157" s="122"/>
      <c r="I157" s="122"/>
      <c r="J157" s="187"/>
      <c r="K157" s="123">
        <f>IF(G157="TLX",ROUND(N157/32*I157,2),ROUND(N157*I157,2))</f>
        <v>0</v>
      </c>
      <c r="L157" s="138">
        <f>SUM(J157+K157)</f>
        <v>0</v>
      </c>
      <c r="M157" s="164"/>
      <c r="N157" s="206">
        <f t="shared" si="29"/>
        <v>0</v>
      </c>
      <c r="O157" s="165"/>
      <c r="P157" s="165"/>
      <c r="Q157" s="165"/>
      <c r="R157" s="165"/>
    </row>
    <row r="158" spans="1:18" x14ac:dyDescent="0.4">
      <c r="A158" s="137"/>
      <c r="B158" s="153"/>
      <c r="C158" s="126"/>
      <c r="D158" s="121"/>
      <c r="E158" s="122"/>
      <c r="F158" s="122"/>
      <c r="G158" s="122"/>
      <c r="H158" s="122"/>
      <c r="I158" s="122"/>
      <c r="J158" s="122"/>
      <c r="K158" s="123">
        <f>IF(G158="TLX",ROUND(N158/32*I158,2),ROUND(N158*I158,2))</f>
        <v>0</v>
      </c>
      <c r="L158" s="138">
        <f>SUM(J158+K158)</f>
        <v>0</v>
      </c>
      <c r="M158" s="164"/>
      <c r="N158" s="206">
        <f t="shared" si="29"/>
        <v>0</v>
      </c>
      <c r="O158" s="165"/>
      <c r="P158" s="165"/>
      <c r="Q158" s="165"/>
      <c r="R158" s="165"/>
    </row>
    <row r="159" spans="1:18" ht="15.4" thickBot="1" x14ac:dyDescent="0.45">
      <c r="A159" s="83"/>
      <c r="B159" s="84"/>
      <c r="C159" s="84"/>
      <c r="D159" s="84"/>
      <c r="E159" s="81"/>
      <c r="F159" s="81"/>
      <c r="G159" s="81"/>
      <c r="H159" s="81"/>
      <c r="I159" s="81"/>
      <c r="J159" s="81"/>
      <c r="K159" s="85">
        <f>IF(G159="TLX",ROUND(N159/32*I159,2),ROUND(N159*I159,2))</f>
        <v>0</v>
      </c>
      <c r="L159" s="86">
        <f>SUM(J159+K159)</f>
        <v>0</v>
      </c>
      <c r="M159" s="19"/>
      <c r="N159" s="206">
        <f t="shared" si="29"/>
        <v>0</v>
      </c>
    </row>
    <row r="160" spans="1:18" ht="15.4" thickBot="1" x14ac:dyDescent="0.45">
      <c r="A160" s="60"/>
      <c r="B160" s="61"/>
      <c r="C160" s="72"/>
      <c r="D160" s="72"/>
      <c r="E160" s="61"/>
      <c r="F160" s="61"/>
      <c r="G160" s="61"/>
      <c r="H160" s="61"/>
      <c r="I160" s="61"/>
      <c r="J160" s="61"/>
      <c r="K160" s="152" t="s">
        <v>18</v>
      </c>
      <c r="L160" s="134">
        <f>SUM(K141:K159)</f>
        <v>0</v>
      </c>
      <c r="M160" s="19"/>
      <c r="N160" s="206">
        <f t="shared" si="29"/>
        <v>0</v>
      </c>
    </row>
    <row r="161" spans="1:14" x14ac:dyDescent="0.4">
      <c r="A161" s="199">
        <v>8</v>
      </c>
      <c r="B161" s="166" t="s">
        <v>24</v>
      </c>
      <c r="C161" s="328" t="s">
        <v>62</v>
      </c>
      <c r="D161" s="329"/>
      <c r="E161" s="81"/>
      <c r="F161" s="81"/>
      <c r="G161" s="81"/>
      <c r="H161" s="81"/>
      <c r="I161" s="81"/>
      <c r="J161" s="81"/>
      <c r="K161" s="69"/>
      <c r="L161" s="70"/>
      <c r="M161" s="19"/>
      <c r="N161" s="206">
        <f t="shared" si="29"/>
        <v>0</v>
      </c>
    </row>
    <row r="162" spans="1:14" x14ac:dyDescent="0.4">
      <c r="A162" s="120"/>
      <c r="B162" s="253"/>
      <c r="C162" s="254"/>
      <c r="D162" s="254"/>
      <c r="E162" s="89"/>
      <c r="F162" s="89"/>
      <c r="G162" s="255"/>
      <c r="H162" s="89"/>
      <c r="I162" s="256"/>
      <c r="J162" s="122"/>
      <c r="K162" s="69">
        <f>IF(G162="TLX",ROUND(N162/32*I162,2),ROUND(N162*I162,2))</f>
        <v>0</v>
      </c>
      <c r="L162" s="70">
        <f>SUM(J162+K162)</f>
        <v>0</v>
      </c>
      <c r="M162" s="19"/>
      <c r="N162" s="206">
        <f t="shared" si="29"/>
        <v>0</v>
      </c>
    </row>
    <row r="163" spans="1:14" x14ac:dyDescent="0.4">
      <c r="A163" s="120"/>
      <c r="B163" s="84"/>
      <c r="C163" s="84"/>
      <c r="D163" s="84"/>
      <c r="E163" s="81"/>
      <c r="F163" s="81"/>
      <c r="G163" s="81"/>
      <c r="H163" s="81"/>
      <c r="I163" s="81"/>
      <c r="J163" s="122"/>
      <c r="K163" s="69">
        <f>IF(G163="TLX",ROUND(N163/32*I163,2),ROUND(N163*I163,2))</f>
        <v>0</v>
      </c>
      <c r="L163" s="70">
        <f>SUM(J163+K163)</f>
        <v>0</v>
      </c>
      <c r="M163" s="19"/>
      <c r="N163" s="206">
        <f t="shared" si="29"/>
        <v>0</v>
      </c>
    </row>
    <row r="164" spans="1:14" x14ac:dyDescent="0.4">
      <c r="A164" s="120"/>
      <c r="B164" s="66"/>
      <c r="C164" s="66"/>
      <c r="D164" s="66"/>
      <c r="E164" s="59"/>
      <c r="F164" s="59"/>
      <c r="G164" s="59"/>
      <c r="H164" s="59"/>
      <c r="I164" s="59"/>
      <c r="J164" s="122"/>
      <c r="K164" s="123">
        <f t="shared" ref="K164:K169" si="30">IF(G164="TLX",ROUND(N164/32*I164,2),ROUND(N164*I164,2))</f>
        <v>0</v>
      </c>
      <c r="L164" s="123">
        <f t="shared" ref="L164:L169" si="31">SUM(J164+K164)</f>
        <v>0</v>
      </c>
      <c r="M164" s="19"/>
      <c r="N164" s="206">
        <f t="shared" si="29"/>
        <v>0</v>
      </c>
    </row>
    <row r="165" spans="1:14" x14ac:dyDescent="0.4">
      <c r="A165" s="83"/>
      <c r="B165" s="66"/>
      <c r="C165" s="66"/>
      <c r="D165" s="66"/>
      <c r="E165" s="59"/>
      <c r="F165" s="59"/>
      <c r="G165" s="59"/>
      <c r="H165" s="59"/>
      <c r="I165" s="59"/>
      <c r="J165" s="81"/>
      <c r="K165" s="85">
        <f t="shared" si="30"/>
        <v>0</v>
      </c>
      <c r="L165" s="86">
        <f t="shared" si="31"/>
        <v>0</v>
      </c>
      <c r="M165" s="19"/>
      <c r="N165" s="206">
        <f t="shared" si="29"/>
        <v>0</v>
      </c>
    </row>
    <row r="166" spans="1:14" x14ac:dyDescent="0.4">
      <c r="A166" s="56"/>
      <c r="B166" s="66"/>
      <c r="C166" s="66"/>
      <c r="D166" s="66"/>
      <c r="E166" s="59"/>
      <c r="F166" s="59"/>
      <c r="G166" s="59"/>
      <c r="H166" s="59"/>
      <c r="I166" s="59"/>
      <c r="J166" s="59"/>
      <c r="K166" s="69">
        <f t="shared" si="30"/>
        <v>0</v>
      </c>
      <c r="L166" s="70">
        <f t="shared" si="31"/>
        <v>0</v>
      </c>
      <c r="M166" s="19"/>
      <c r="N166" s="206">
        <f t="shared" si="29"/>
        <v>0</v>
      </c>
    </row>
    <row r="167" spans="1:14" x14ac:dyDescent="0.4">
      <c r="A167" s="56"/>
      <c r="B167" s="66"/>
      <c r="C167" s="66"/>
      <c r="D167" s="66"/>
      <c r="E167" s="59"/>
      <c r="F167" s="59"/>
      <c r="G167" s="59"/>
      <c r="H167" s="59"/>
      <c r="I167" s="59"/>
      <c r="J167" s="59"/>
      <c r="K167" s="69">
        <f t="shared" si="30"/>
        <v>0</v>
      </c>
      <c r="L167" s="70">
        <f t="shared" si="31"/>
        <v>0</v>
      </c>
      <c r="M167" s="19"/>
      <c r="N167" s="206">
        <f t="shared" si="29"/>
        <v>0</v>
      </c>
    </row>
    <row r="168" spans="1:14" x14ac:dyDescent="0.4">
      <c r="A168" s="56"/>
      <c r="B168" s="59"/>
      <c r="C168" s="66"/>
      <c r="D168" s="66"/>
      <c r="E168" s="59"/>
      <c r="F168" s="59"/>
      <c r="G168" s="59"/>
      <c r="H168" s="59"/>
      <c r="I168" s="59"/>
      <c r="J168" s="59"/>
      <c r="K168" s="69">
        <f t="shared" si="30"/>
        <v>0</v>
      </c>
      <c r="L168" s="70">
        <f t="shared" si="31"/>
        <v>0</v>
      </c>
      <c r="M168" s="19"/>
      <c r="N168" s="206">
        <f t="shared" si="29"/>
        <v>0</v>
      </c>
    </row>
    <row r="169" spans="1:14" x14ac:dyDescent="0.4">
      <c r="A169" s="56"/>
      <c r="B169" s="59"/>
      <c r="C169" s="66"/>
      <c r="D169" s="66"/>
      <c r="E169" s="59"/>
      <c r="F169" s="59"/>
      <c r="G169" s="59"/>
      <c r="H169" s="59"/>
      <c r="I169" s="59"/>
      <c r="J169" s="59"/>
      <c r="K169" s="69">
        <f t="shared" si="30"/>
        <v>0</v>
      </c>
      <c r="L169" s="70">
        <f t="shared" si="31"/>
        <v>0</v>
      </c>
      <c r="M169" s="19"/>
      <c r="N169" s="206">
        <f t="shared" si="29"/>
        <v>0</v>
      </c>
    </row>
    <row r="170" spans="1:14" x14ac:dyDescent="0.4">
      <c r="A170" s="56"/>
      <c r="B170" s="114"/>
      <c r="C170" s="66"/>
      <c r="D170" s="66"/>
      <c r="E170" s="59"/>
      <c r="F170" s="59"/>
      <c r="G170" s="59"/>
      <c r="H170" s="59"/>
      <c r="I170" s="59"/>
      <c r="J170" s="59"/>
      <c r="K170" s="69">
        <f t="shared" ref="K170:K175" si="32">IF(G170="TLX",ROUND(N170/32*I170,2),ROUND(N170*I170,2))</f>
        <v>0</v>
      </c>
      <c r="L170" s="70">
        <f t="shared" ref="L170:L175" si="33">SUM(J170+K170)</f>
        <v>0</v>
      </c>
      <c r="M170" s="19"/>
      <c r="N170" s="206">
        <f t="shared" si="29"/>
        <v>0</v>
      </c>
    </row>
    <row r="171" spans="1:14" x14ac:dyDescent="0.4">
      <c r="A171" s="56"/>
      <c r="B171" s="113"/>
      <c r="C171" s="66"/>
      <c r="D171" s="66"/>
      <c r="E171" s="59"/>
      <c r="F171" s="59"/>
      <c r="G171" s="59"/>
      <c r="H171" s="59"/>
      <c r="I171" s="59"/>
      <c r="J171" s="59"/>
      <c r="K171" s="69">
        <f t="shared" si="32"/>
        <v>0</v>
      </c>
      <c r="L171" s="70">
        <f t="shared" si="33"/>
        <v>0</v>
      </c>
      <c r="M171" s="19"/>
      <c r="N171" s="206">
        <f t="shared" si="29"/>
        <v>0</v>
      </c>
    </row>
    <row r="172" spans="1:14" x14ac:dyDescent="0.4">
      <c r="A172" s="56"/>
      <c r="B172" s="122"/>
      <c r="C172" s="122"/>
      <c r="D172" s="121"/>
      <c r="E172" s="122"/>
      <c r="F172" s="122"/>
      <c r="G172" s="122"/>
      <c r="H172" s="122"/>
      <c r="I172" s="122"/>
      <c r="J172" s="59"/>
      <c r="K172" s="69">
        <f t="shared" si="32"/>
        <v>0</v>
      </c>
      <c r="L172" s="70">
        <f t="shared" si="33"/>
        <v>0</v>
      </c>
      <c r="M172" s="19"/>
      <c r="N172" s="206">
        <f t="shared" si="29"/>
        <v>0</v>
      </c>
    </row>
    <row r="173" spans="1:14" x14ac:dyDescent="0.4">
      <c r="A173" s="120"/>
      <c r="B173" s="124"/>
      <c r="C173" s="124"/>
      <c r="D173" s="125"/>
      <c r="E173" s="124"/>
      <c r="F173" s="124"/>
      <c r="G173" s="122"/>
      <c r="H173" s="122"/>
      <c r="I173" s="122"/>
      <c r="J173" s="122"/>
      <c r="K173" s="123">
        <f t="shared" si="32"/>
        <v>0</v>
      </c>
      <c r="L173" s="123">
        <f t="shared" si="33"/>
        <v>0</v>
      </c>
      <c r="M173" s="19"/>
      <c r="N173" s="206">
        <f t="shared" si="29"/>
        <v>0</v>
      </c>
    </row>
    <row r="174" spans="1:14" x14ac:dyDescent="0.4">
      <c r="A174" s="120"/>
      <c r="B174" s="66"/>
      <c r="C174" s="66"/>
      <c r="D174" s="66"/>
      <c r="E174" s="59"/>
      <c r="F174" s="59"/>
      <c r="G174" s="59"/>
      <c r="H174" s="59"/>
      <c r="I174" s="59"/>
      <c r="J174" s="122"/>
      <c r="K174" s="123">
        <f t="shared" si="32"/>
        <v>0</v>
      </c>
      <c r="L174" s="123">
        <f t="shared" si="33"/>
        <v>0</v>
      </c>
      <c r="M174" s="19"/>
      <c r="N174" s="206">
        <f t="shared" si="29"/>
        <v>0</v>
      </c>
    </row>
    <row r="175" spans="1:14" x14ac:dyDescent="0.4">
      <c r="A175" s="120"/>
      <c r="B175" s="66"/>
      <c r="C175" s="66"/>
      <c r="D175" s="66"/>
      <c r="E175" s="59"/>
      <c r="F175" s="59"/>
      <c r="G175" s="59"/>
      <c r="H175" s="59"/>
      <c r="I175" s="59"/>
      <c r="J175" s="122"/>
      <c r="K175" s="123">
        <f t="shared" si="32"/>
        <v>0</v>
      </c>
      <c r="L175" s="123">
        <f t="shared" si="33"/>
        <v>0</v>
      </c>
      <c r="M175" s="19"/>
      <c r="N175" s="206">
        <f t="shared" si="29"/>
        <v>0</v>
      </c>
    </row>
    <row r="176" spans="1:14" x14ac:dyDescent="0.4">
      <c r="A176" s="155"/>
      <c r="B176" s="66"/>
      <c r="C176" s="66"/>
      <c r="D176" s="66"/>
      <c r="E176" s="59"/>
      <c r="F176" s="59"/>
      <c r="G176" s="59"/>
      <c r="H176" s="59"/>
      <c r="I176" s="59"/>
      <c r="J176" s="136"/>
      <c r="K176" s="133">
        <f t="shared" ref="K176:K181" si="34">IF(G176="TLX",ROUND(N176/32*I176,2),ROUND(N176*I176,2))</f>
        <v>0</v>
      </c>
      <c r="L176" s="133">
        <f t="shared" ref="L176:L181" si="35">SUM(J176+K176)</f>
        <v>0</v>
      </c>
      <c r="M176" s="19"/>
      <c r="N176" s="206">
        <f t="shared" si="29"/>
        <v>0</v>
      </c>
    </row>
    <row r="177" spans="1:14" x14ac:dyDescent="0.4">
      <c r="A177" s="120"/>
      <c r="B177" s="124"/>
      <c r="C177" s="124"/>
      <c r="D177" s="121"/>
      <c r="E177" s="122"/>
      <c r="F177" s="122"/>
      <c r="G177" s="122"/>
      <c r="H177" s="122"/>
      <c r="I177" s="122"/>
      <c r="J177" s="122"/>
      <c r="K177" s="123">
        <f t="shared" si="34"/>
        <v>0</v>
      </c>
      <c r="L177" s="123">
        <f t="shared" si="35"/>
        <v>0</v>
      </c>
      <c r="M177" s="19"/>
      <c r="N177" s="206">
        <f t="shared" si="29"/>
        <v>0</v>
      </c>
    </row>
    <row r="178" spans="1:14" x14ac:dyDescent="0.4">
      <c r="A178" s="120"/>
      <c r="B178" s="121"/>
      <c r="C178" s="121"/>
      <c r="D178" s="121"/>
      <c r="E178" s="122"/>
      <c r="F178" s="122"/>
      <c r="G178" s="122"/>
      <c r="H178" s="122"/>
      <c r="I178" s="122"/>
      <c r="J178" s="122"/>
      <c r="K178" s="123">
        <f t="shared" si="34"/>
        <v>0</v>
      </c>
      <c r="L178" s="123">
        <f t="shared" si="35"/>
        <v>0</v>
      </c>
      <c r="M178" s="19"/>
      <c r="N178" s="206">
        <f t="shared" si="29"/>
        <v>0</v>
      </c>
    </row>
    <row r="179" spans="1:14" x14ac:dyDescent="0.4">
      <c r="A179" s="120"/>
      <c r="B179" s="124"/>
      <c r="C179" s="127"/>
      <c r="D179" s="121"/>
      <c r="E179" s="122"/>
      <c r="F179" s="122"/>
      <c r="G179" s="122"/>
      <c r="H179" s="122"/>
      <c r="I179" s="122"/>
      <c r="J179" s="122"/>
      <c r="K179" s="123">
        <f t="shared" si="34"/>
        <v>0</v>
      </c>
      <c r="L179" s="123">
        <f t="shared" si="35"/>
        <v>0</v>
      </c>
      <c r="M179" s="19"/>
      <c r="N179" s="206">
        <f t="shared" si="29"/>
        <v>0</v>
      </c>
    </row>
    <row r="180" spans="1:14" x14ac:dyDescent="0.4">
      <c r="A180" s="155"/>
      <c r="B180" s="135"/>
      <c r="C180" s="135"/>
      <c r="D180" s="135"/>
      <c r="E180" s="136"/>
      <c r="F180" s="136"/>
      <c r="G180" s="136"/>
      <c r="H180" s="136"/>
      <c r="I180" s="136"/>
      <c r="J180" s="136"/>
      <c r="K180" s="133">
        <f t="shared" si="34"/>
        <v>0</v>
      </c>
      <c r="L180" s="133">
        <f t="shared" si="35"/>
        <v>0</v>
      </c>
      <c r="M180" s="19"/>
      <c r="N180" s="206">
        <f t="shared" si="29"/>
        <v>0</v>
      </c>
    </row>
    <row r="181" spans="1:14" ht="15.4" thickBot="1" x14ac:dyDescent="0.45">
      <c r="A181" s="120"/>
      <c r="B181" s="121"/>
      <c r="C181" s="121"/>
      <c r="D181" s="121"/>
      <c r="E181" s="122"/>
      <c r="F181" s="122"/>
      <c r="G181" s="122"/>
      <c r="H181" s="122"/>
      <c r="I181" s="122"/>
      <c r="J181" s="122"/>
      <c r="K181" s="133">
        <f t="shared" si="34"/>
        <v>0</v>
      </c>
      <c r="L181" s="133">
        <f t="shared" si="35"/>
        <v>0</v>
      </c>
      <c r="M181" s="19"/>
      <c r="N181" s="206">
        <f t="shared" si="29"/>
        <v>0</v>
      </c>
    </row>
    <row r="182" spans="1:14" ht="15.4" thickBot="1" x14ac:dyDescent="0.45">
      <c r="A182" s="130"/>
      <c r="B182" s="177"/>
      <c r="C182" s="177"/>
      <c r="D182" s="167"/>
      <c r="E182" s="131"/>
      <c r="F182" s="131"/>
      <c r="G182" s="131"/>
      <c r="H182" s="131"/>
      <c r="I182" s="131"/>
      <c r="J182" s="132"/>
      <c r="K182" s="150" t="s">
        <v>18</v>
      </c>
      <c r="L182" s="100">
        <f>SUM(L162:L181)</f>
        <v>0</v>
      </c>
      <c r="M182" s="19"/>
      <c r="N182" s="206">
        <f t="shared" si="29"/>
        <v>0</v>
      </c>
    </row>
    <row r="183" spans="1:14" x14ac:dyDescent="0.4">
      <c r="A183" s="198">
        <v>9</v>
      </c>
      <c r="B183" s="101" t="s">
        <v>28</v>
      </c>
      <c r="C183" s="101"/>
      <c r="D183" s="101"/>
      <c r="E183" s="81"/>
      <c r="F183" s="81"/>
      <c r="G183" s="81"/>
      <c r="H183" s="81"/>
      <c r="I183" s="81"/>
      <c r="J183" s="81"/>
      <c r="K183" s="85"/>
      <c r="L183" s="86"/>
      <c r="M183" s="19"/>
      <c r="N183" s="206">
        <f t="shared" si="29"/>
        <v>0</v>
      </c>
    </row>
    <row r="184" spans="1:14" x14ac:dyDescent="0.4">
      <c r="A184" s="56"/>
      <c r="B184" s="66"/>
      <c r="C184" s="66"/>
      <c r="D184" s="66"/>
      <c r="E184" s="59"/>
      <c r="F184" s="59"/>
      <c r="G184" s="59"/>
      <c r="H184" s="59"/>
      <c r="I184" s="59"/>
      <c r="J184" s="59"/>
      <c r="K184" s="69">
        <f>IF(G184="TLX",ROUND(N184/32*I184,2),ROUND(N184*I184,2))</f>
        <v>0</v>
      </c>
      <c r="L184" s="70">
        <f>SUM(J184+K184)</f>
        <v>0</v>
      </c>
      <c r="M184" s="19"/>
      <c r="N184" s="206">
        <f t="shared" si="29"/>
        <v>0</v>
      </c>
    </row>
    <row r="185" spans="1:14" x14ac:dyDescent="0.4">
      <c r="A185" s="56"/>
      <c r="B185" s="66"/>
      <c r="C185" s="66"/>
      <c r="D185" s="66"/>
      <c r="E185" s="59"/>
      <c r="F185" s="59"/>
      <c r="G185" s="59"/>
      <c r="H185" s="59"/>
      <c r="I185" s="59"/>
      <c r="J185" s="59"/>
      <c r="K185" s="69">
        <f t="shared" ref="K185:K201" si="36">IF(G185="TLX",ROUND(N185/32*I185,2),ROUND(N185*I185,2))</f>
        <v>0</v>
      </c>
      <c r="L185" s="70">
        <f t="shared" ref="L185:L201" si="37">SUM(J185+K185)</f>
        <v>0</v>
      </c>
      <c r="M185" s="19"/>
      <c r="N185" s="206">
        <f t="shared" si="29"/>
        <v>0</v>
      </c>
    </row>
    <row r="186" spans="1:14" x14ac:dyDescent="0.4">
      <c r="A186" s="56"/>
      <c r="B186" s="66"/>
      <c r="C186" s="66"/>
      <c r="D186" s="66"/>
      <c r="E186" s="59"/>
      <c r="F186" s="59"/>
      <c r="G186" s="59"/>
      <c r="H186" s="59"/>
      <c r="I186" s="59"/>
      <c r="J186" s="59"/>
      <c r="K186" s="69">
        <f t="shared" si="36"/>
        <v>0</v>
      </c>
      <c r="L186" s="70">
        <f t="shared" si="37"/>
        <v>0</v>
      </c>
      <c r="M186" s="19"/>
      <c r="N186" s="206">
        <f t="shared" si="29"/>
        <v>0</v>
      </c>
    </row>
    <row r="187" spans="1:14" x14ac:dyDescent="0.4">
      <c r="A187" s="56"/>
      <c r="B187" s="66"/>
      <c r="C187" s="66"/>
      <c r="D187" s="66"/>
      <c r="E187" s="59"/>
      <c r="F187" s="59"/>
      <c r="G187" s="59"/>
      <c r="H187" s="59"/>
      <c r="I187" s="59"/>
      <c r="J187" s="59"/>
      <c r="K187" s="69">
        <f t="shared" si="36"/>
        <v>0</v>
      </c>
      <c r="L187" s="70">
        <f t="shared" si="37"/>
        <v>0</v>
      </c>
      <c r="M187" s="19"/>
      <c r="N187" s="206">
        <f t="shared" si="29"/>
        <v>0</v>
      </c>
    </row>
    <row r="188" spans="1:14" x14ac:dyDescent="0.4">
      <c r="A188" s="56"/>
      <c r="B188" s="66"/>
      <c r="C188" s="66"/>
      <c r="D188" s="66"/>
      <c r="E188" s="59"/>
      <c r="F188" s="59"/>
      <c r="G188" s="59"/>
      <c r="H188" s="59"/>
      <c r="I188" s="59"/>
      <c r="J188" s="59"/>
      <c r="K188" s="69">
        <f t="shared" si="36"/>
        <v>0</v>
      </c>
      <c r="L188" s="70">
        <f t="shared" si="37"/>
        <v>0</v>
      </c>
      <c r="M188" s="19"/>
      <c r="N188" s="206">
        <f t="shared" si="29"/>
        <v>0</v>
      </c>
    </row>
    <row r="189" spans="1:14" x14ac:dyDescent="0.4">
      <c r="A189" s="56"/>
      <c r="B189" s="66"/>
      <c r="C189" s="66"/>
      <c r="D189" s="66"/>
      <c r="E189" s="59"/>
      <c r="F189" s="59"/>
      <c r="G189" s="59"/>
      <c r="H189" s="59"/>
      <c r="I189" s="59"/>
      <c r="J189" s="59"/>
      <c r="K189" s="69">
        <f t="shared" si="36"/>
        <v>0</v>
      </c>
      <c r="L189" s="70">
        <f t="shared" si="37"/>
        <v>0</v>
      </c>
      <c r="M189" s="19"/>
      <c r="N189" s="206">
        <f t="shared" si="29"/>
        <v>0</v>
      </c>
    </row>
    <row r="190" spans="1:14" x14ac:dyDescent="0.4">
      <c r="A190" s="56"/>
      <c r="B190" s="66"/>
      <c r="C190" s="66"/>
      <c r="D190" s="66"/>
      <c r="E190" s="59"/>
      <c r="F190" s="59"/>
      <c r="G190" s="59"/>
      <c r="H190" s="59"/>
      <c r="I190" s="59"/>
      <c r="J190" s="59"/>
      <c r="K190" s="69">
        <f t="shared" si="36"/>
        <v>0</v>
      </c>
      <c r="L190" s="70">
        <f t="shared" si="37"/>
        <v>0</v>
      </c>
      <c r="M190" s="19"/>
      <c r="N190" s="206">
        <f t="shared" si="29"/>
        <v>0</v>
      </c>
    </row>
    <row r="191" spans="1:14" x14ac:dyDescent="0.4">
      <c r="A191" s="56"/>
      <c r="B191" s="66"/>
      <c r="C191" s="66"/>
      <c r="D191" s="66"/>
      <c r="E191" s="59"/>
      <c r="F191" s="59"/>
      <c r="G191" s="59"/>
      <c r="H191" s="59"/>
      <c r="I191" s="59"/>
      <c r="J191" s="59"/>
      <c r="K191" s="69">
        <f t="shared" si="36"/>
        <v>0</v>
      </c>
      <c r="L191" s="70">
        <f t="shared" si="37"/>
        <v>0</v>
      </c>
      <c r="M191" s="19"/>
      <c r="N191" s="206">
        <f t="shared" si="29"/>
        <v>0</v>
      </c>
    </row>
    <row r="192" spans="1:14" x14ac:dyDescent="0.4">
      <c r="A192" s="56"/>
      <c r="B192" s="66"/>
      <c r="C192" s="66"/>
      <c r="D192" s="66"/>
      <c r="E192" s="59"/>
      <c r="F192" s="59"/>
      <c r="G192" s="59"/>
      <c r="H192" s="59"/>
      <c r="I192" s="59"/>
      <c r="J192" s="59"/>
      <c r="K192" s="69">
        <f t="shared" si="36"/>
        <v>0</v>
      </c>
      <c r="L192" s="70">
        <f t="shared" si="37"/>
        <v>0</v>
      </c>
      <c r="M192" s="19"/>
      <c r="N192" s="206">
        <f t="shared" si="29"/>
        <v>0</v>
      </c>
    </row>
    <row r="193" spans="1:14" x14ac:dyDescent="0.4">
      <c r="A193" s="56"/>
      <c r="B193" s="66"/>
      <c r="C193" s="66"/>
      <c r="D193" s="66"/>
      <c r="E193" s="59"/>
      <c r="F193" s="59"/>
      <c r="G193" s="59"/>
      <c r="H193" s="59"/>
      <c r="I193" s="59"/>
      <c r="J193" s="59"/>
      <c r="K193" s="69">
        <f t="shared" si="36"/>
        <v>0</v>
      </c>
      <c r="L193" s="70">
        <f t="shared" si="37"/>
        <v>0</v>
      </c>
      <c r="M193" s="19"/>
      <c r="N193" s="206">
        <f t="shared" si="29"/>
        <v>0</v>
      </c>
    </row>
    <row r="194" spans="1:14" x14ac:dyDescent="0.4">
      <c r="A194" s="56"/>
      <c r="B194" s="66"/>
      <c r="C194" s="66"/>
      <c r="D194" s="66"/>
      <c r="E194" s="59"/>
      <c r="F194" s="59"/>
      <c r="G194" s="59"/>
      <c r="H194" s="59"/>
      <c r="I194" s="59"/>
      <c r="J194" s="59"/>
      <c r="K194" s="69">
        <f t="shared" si="36"/>
        <v>0</v>
      </c>
      <c r="L194" s="70">
        <f t="shared" si="37"/>
        <v>0</v>
      </c>
      <c r="M194" s="19"/>
      <c r="N194" s="206">
        <f t="shared" si="29"/>
        <v>0</v>
      </c>
    </row>
    <row r="195" spans="1:14" x14ac:dyDescent="0.4">
      <c r="A195" s="56"/>
      <c r="B195" s="66"/>
      <c r="C195" s="66"/>
      <c r="D195" s="66"/>
      <c r="E195" s="59"/>
      <c r="F195" s="59"/>
      <c r="G195" s="59"/>
      <c r="H195" s="59"/>
      <c r="I195" s="59"/>
      <c r="J195" s="59"/>
      <c r="K195" s="69">
        <f t="shared" si="36"/>
        <v>0</v>
      </c>
      <c r="L195" s="70">
        <f t="shared" si="37"/>
        <v>0</v>
      </c>
      <c r="M195" s="19"/>
      <c r="N195" s="206">
        <f t="shared" si="29"/>
        <v>0</v>
      </c>
    </row>
    <row r="196" spans="1:14" x14ac:dyDescent="0.4">
      <c r="A196" s="56"/>
      <c r="B196" s="66"/>
      <c r="C196" s="66"/>
      <c r="D196" s="66"/>
      <c r="E196" s="59"/>
      <c r="F196" s="59"/>
      <c r="G196" s="59"/>
      <c r="H196" s="59"/>
      <c r="I196" s="59"/>
      <c r="J196" s="59"/>
      <c r="K196" s="69">
        <f t="shared" si="36"/>
        <v>0</v>
      </c>
      <c r="L196" s="70">
        <f t="shared" si="37"/>
        <v>0</v>
      </c>
      <c r="M196" s="19"/>
      <c r="N196" s="206">
        <f t="shared" si="29"/>
        <v>0</v>
      </c>
    </row>
    <row r="197" spans="1:14" x14ac:dyDescent="0.4">
      <c r="A197" s="56"/>
      <c r="B197" s="66"/>
      <c r="C197" s="66"/>
      <c r="D197" s="66"/>
      <c r="E197" s="59"/>
      <c r="F197" s="59"/>
      <c r="G197" s="59"/>
      <c r="H197" s="59"/>
      <c r="I197" s="59"/>
      <c r="J197" s="59"/>
      <c r="K197" s="69">
        <f t="shared" si="36"/>
        <v>0</v>
      </c>
      <c r="L197" s="70">
        <f t="shared" si="37"/>
        <v>0</v>
      </c>
      <c r="M197" s="19"/>
      <c r="N197" s="206">
        <f t="shared" si="29"/>
        <v>0</v>
      </c>
    </row>
    <row r="198" spans="1:14" x14ac:dyDescent="0.4">
      <c r="A198" s="56"/>
      <c r="B198" s="66"/>
      <c r="C198" s="66"/>
      <c r="D198" s="66"/>
      <c r="E198" s="59"/>
      <c r="F198" s="59"/>
      <c r="G198" s="59"/>
      <c r="H198" s="59"/>
      <c r="I198" s="59"/>
      <c r="J198" s="59"/>
      <c r="K198" s="69">
        <f t="shared" si="36"/>
        <v>0</v>
      </c>
      <c r="L198" s="70">
        <f t="shared" si="37"/>
        <v>0</v>
      </c>
      <c r="M198" s="19"/>
      <c r="N198" s="206">
        <f t="shared" ref="N198:N235" si="38">SUM(E198+F198/60)</f>
        <v>0</v>
      </c>
    </row>
    <row r="199" spans="1:14" x14ac:dyDescent="0.4">
      <c r="A199" s="56"/>
      <c r="B199" s="66"/>
      <c r="C199" s="66"/>
      <c r="D199" s="66"/>
      <c r="E199" s="59"/>
      <c r="F199" s="59"/>
      <c r="G199" s="59"/>
      <c r="H199" s="59"/>
      <c r="I199" s="59"/>
      <c r="J199" s="59"/>
      <c r="K199" s="69">
        <f t="shared" si="36"/>
        <v>0</v>
      </c>
      <c r="L199" s="70">
        <f t="shared" si="37"/>
        <v>0</v>
      </c>
      <c r="M199" s="19"/>
      <c r="N199" s="206">
        <f t="shared" si="38"/>
        <v>0</v>
      </c>
    </row>
    <row r="200" spans="1:14" x14ac:dyDescent="0.4">
      <c r="A200" s="56"/>
      <c r="B200" s="66"/>
      <c r="C200" s="66"/>
      <c r="D200" s="66"/>
      <c r="E200" s="59"/>
      <c r="F200" s="59"/>
      <c r="G200" s="59"/>
      <c r="H200" s="59"/>
      <c r="I200" s="59"/>
      <c r="J200" s="59"/>
      <c r="K200" s="69">
        <f t="shared" si="36"/>
        <v>0</v>
      </c>
      <c r="L200" s="70">
        <f t="shared" si="37"/>
        <v>0</v>
      </c>
      <c r="M200" s="19"/>
      <c r="N200" s="206">
        <f t="shared" si="38"/>
        <v>0</v>
      </c>
    </row>
    <row r="201" spans="1:14" x14ac:dyDescent="0.4">
      <c r="A201" s="56"/>
      <c r="B201" s="66"/>
      <c r="C201" s="66"/>
      <c r="D201" s="66"/>
      <c r="E201" s="59"/>
      <c r="F201" s="59"/>
      <c r="G201" s="59"/>
      <c r="H201" s="59"/>
      <c r="I201" s="59"/>
      <c r="J201" s="59"/>
      <c r="K201" s="69">
        <f t="shared" si="36"/>
        <v>0</v>
      </c>
      <c r="L201" s="70">
        <f t="shared" si="37"/>
        <v>0</v>
      </c>
      <c r="M201" s="19"/>
      <c r="N201" s="206">
        <f t="shared" si="38"/>
        <v>0</v>
      </c>
    </row>
    <row r="202" spans="1:14" x14ac:dyDescent="0.4">
      <c r="A202" s="56"/>
      <c r="B202" s="66"/>
      <c r="C202" s="66"/>
      <c r="D202" s="66"/>
      <c r="E202" s="59"/>
      <c r="F202" s="59"/>
      <c r="G202" s="59"/>
      <c r="H202" s="59"/>
      <c r="I202" s="59"/>
      <c r="J202" s="59"/>
      <c r="K202" s="69">
        <f>IF(G202="TLX",ROUND(N202/32*I202,2),ROUND(N202*I202,2))</f>
        <v>0</v>
      </c>
      <c r="L202" s="70">
        <f>SUM(J202+K202)</f>
        <v>0</v>
      </c>
      <c r="M202" s="19"/>
      <c r="N202" s="206">
        <f t="shared" si="38"/>
        <v>0</v>
      </c>
    </row>
    <row r="203" spans="1:14" x14ac:dyDescent="0.4">
      <c r="A203" s="56"/>
      <c r="B203" s="66"/>
      <c r="C203" s="66"/>
      <c r="D203" s="66"/>
      <c r="E203" s="59"/>
      <c r="F203" s="59"/>
      <c r="G203" s="59"/>
      <c r="H203" s="59"/>
      <c r="I203" s="59"/>
      <c r="J203" s="59"/>
      <c r="K203" s="69">
        <f>IF(G203="TLX",ROUND(N203/32*I203,2),ROUND(N203*I203,2))</f>
        <v>0</v>
      </c>
      <c r="L203" s="70">
        <f>SUM(J203+K203)</f>
        <v>0</v>
      </c>
      <c r="M203" s="19"/>
      <c r="N203" s="206">
        <f t="shared" si="38"/>
        <v>0</v>
      </c>
    </row>
    <row r="204" spans="1:14" ht="15.4" thickBot="1" x14ac:dyDescent="0.45">
      <c r="A204" s="56"/>
      <c r="B204" s="66"/>
      <c r="C204" s="66"/>
      <c r="D204" s="66"/>
      <c r="E204" s="59"/>
      <c r="F204" s="59"/>
      <c r="G204" s="59"/>
      <c r="H204" s="59"/>
      <c r="I204" s="59"/>
      <c r="J204" s="59"/>
      <c r="K204" s="69">
        <f>IF(G204="TLX",ROUND(N204/32*I204,2),ROUND(N204*I204,2))</f>
        <v>0</v>
      </c>
      <c r="L204" s="70">
        <f>SUM(J204+K204)</f>
        <v>0</v>
      </c>
      <c r="M204" s="19"/>
      <c r="N204" s="206">
        <f t="shared" si="38"/>
        <v>0</v>
      </c>
    </row>
    <row r="205" spans="1:14" ht="15.4" thickBot="1" x14ac:dyDescent="0.45">
      <c r="A205" s="60"/>
      <c r="B205" s="72"/>
      <c r="C205" s="72"/>
      <c r="D205" s="72"/>
      <c r="E205" s="61"/>
      <c r="F205" s="61"/>
      <c r="G205" s="61"/>
      <c r="H205" s="61"/>
      <c r="I205" s="61"/>
      <c r="J205" s="61"/>
      <c r="K205" s="150" t="s">
        <v>18</v>
      </c>
      <c r="L205" s="100">
        <f>SUM(L184:L204)</f>
        <v>0</v>
      </c>
      <c r="M205" s="19"/>
      <c r="N205" s="206">
        <f t="shared" si="38"/>
        <v>0</v>
      </c>
    </row>
    <row r="206" spans="1:14" x14ac:dyDescent="0.4">
      <c r="A206" s="198">
        <v>10</v>
      </c>
      <c r="B206" s="101" t="s">
        <v>29</v>
      </c>
      <c r="C206" s="101"/>
      <c r="D206" s="84"/>
      <c r="E206" s="81"/>
      <c r="F206" s="81"/>
      <c r="G206" s="81"/>
      <c r="H206" s="81"/>
      <c r="I206" s="81"/>
      <c r="J206" s="81"/>
      <c r="K206" s="85"/>
      <c r="L206" s="108"/>
      <c r="M206" s="19"/>
      <c r="N206" s="206">
        <f t="shared" si="38"/>
        <v>0</v>
      </c>
    </row>
    <row r="207" spans="1:14" x14ac:dyDescent="0.4">
      <c r="A207" s="56"/>
      <c r="B207" s="66"/>
      <c r="C207" s="66"/>
      <c r="D207" s="66"/>
      <c r="E207" s="59"/>
      <c r="F207" s="59"/>
      <c r="G207" s="59"/>
      <c r="H207" s="59"/>
      <c r="I207" s="59"/>
      <c r="J207" s="59"/>
      <c r="K207" s="69">
        <f>IF(G207="TLX",ROUND(N207/32*I207,2),ROUND(N207*I207,2))</f>
        <v>0</v>
      </c>
      <c r="L207" s="70">
        <f>SUM(J207+K207)</f>
        <v>0</v>
      </c>
      <c r="M207" s="19"/>
      <c r="N207" s="206">
        <f t="shared" si="38"/>
        <v>0</v>
      </c>
    </row>
    <row r="208" spans="1:14" x14ac:dyDescent="0.4">
      <c r="A208" s="56"/>
      <c r="B208" s="66"/>
      <c r="C208" s="66"/>
      <c r="D208" s="66"/>
      <c r="E208" s="59"/>
      <c r="F208" s="59"/>
      <c r="G208" s="59"/>
      <c r="H208" s="59"/>
      <c r="I208" s="59"/>
      <c r="J208" s="59"/>
      <c r="K208" s="69">
        <f>IF(G208="TLX",ROUND(N208/32*I208,2),ROUND(N208*I208,2))</f>
        <v>0</v>
      </c>
      <c r="L208" s="70">
        <f>SUM(J208+K208)</f>
        <v>0</v>
      </c>
      <c r="M208" s="19"/>
      <c r="N208" s="206">
        <f t="shared" si="38"/>
        <v>0</v>
      </c>
    </row>
    <row r="209" spans="1:14" x14ac:dyDescent="0.4">
      <c r="A209" s="56"/>
      <c r="B209" s="66"/>
      <c r="C209" s="66"/>
      <c r="D209" s="66"/>
      <c r="E209" s="59"/>
      <c r="F209" s="59"/>
      <c r="G209" s="59"/>
      <c r="H209" s="59"/>
      <c r="I209" s="59"/>
      <c r="J209" s="59"/>
      <c r="K209" s="69">
        <f t="shared" ref="K209:K224" si="39">IF(G209="TLX",ROUND(N209/32*I209,2),ROUND(N209*I209,2))</f>
        <v>0</v>
      </c>
      <c r="L209" s="70">
        <f t="shared" ref="L209:L224" si="40">SUM(J209+K209)</f>
        <v>0</v>
      </c>
      <c r="M209" s="19"/>
      <c r="N209" s="206">
        <f t="shared" si="38"/>
        <v>0</v>
      </c>
    </row>
    <row r="210" spans="1:14" x14ac:dyDescent="0.4">
      <c r="A210" s="56"/>
      <c r="B210" s="66"/>
      <c r="C210" s="66"/>
      <c r="D210" s="66"/>
      <c r="E210" s="59"/>
      <c r="F210" s="59"/>
      <c r="G210" s="59"/>
      <c r="H210" s="59"/>
      <c r="I210" s="59"/>
      <c r="J210" s="59"/>
      <c r="K210" s="69">
        <f t="shared" si="39"/>
        <v>0</v>
      </c>
      <c r="L210" s="70">
        <f t="shared" si="40"/>
        <v>0</v>
      </c>
      <c r="M210" s="19"/>
      <c r="N210" s="206">
        <f t="shared" si="38"/>
        <v>0</v>
      </c>
    </row>
    <row r="211" spans="1:14" x14ac:dyDescent="0.4">
      <c r="A211" s="56"/>
      <c r="B211" s="66"/>
      <c r="C211" s="66"/>
      <c r="D211" s="66"/>
      <c r="E211" s="59"/>
      <c r="F211" s="59"/>
      <c r="G211" s="59"/>
      <c r="H211" s="59"/>
      <c r="I211" s="59"/>
      <c r="J211" s="59"/>
      <c r="K211" s="69">
        <f t="shared" si="39"/>
        <v>0</v>
      </c>
      <c r="L211" s="70">
        <f t="shared" si="40"/>
        <v>0</v>
      </c>
      <c r="M211" s="19"/>
      <c r="N211" s="206">
        <f t="shared" si="38"/>
        <v>0</v>
      </c>
    </row>
    <row r="212" spans="1:14" x14ac:dyDescent="0.4">
      <c r="A212" s="56"/>
      <c r="B212" s="66"/>
      <c r="C212" s="66"/>
      <c r="D212" s="66"/>
      <c r="E212" s="59"/>
      <c r="F212" s="59"/>
      <c r="G212" s="59"/>
      <c r="H212" s="59"/>
      <c r="I212" s="59"/>
      <c r="J212" s="59"/>
      <c r="K212" s="69">
        <f t="shared" si="39"/>
        <v>0</v>
      </c>
      <c r="L212" s="70">
        <f t="shared" si="40"/>
        <v>0</v>
      </c>
      <c r="M212" s="19"/>
      <c r="N212" s="206">
        <f t="shared" si="38"/>
        <v>0</v>
      </c>
    </row>
    <row r="213" spans="1:14" x14ac:dyDescent="0.4">
      <c r="A213" s="56"/>
      <c r="B213" s="66"/>
      <c r="C213" s="66"/>
      <c r="D213" s="66"/>
      <c r="E213" s="59"/>
      <c r="F213" s="59"/>
      <c r="G213" s="59"/>
      <c r="H213" s="59"/>
      <c r="I213" s="59"/>
      <c r="J213" s="59"/>
      <c r="K213" s="69">
        <f t="shared" si="39"/>
        <v>0</v>
      </c>
      <c r="L213" s="70">
        <f t="shared" si="40"/>
        <v>0</v>
      </c>
      <c r="M213" s="19"/>
      <c r="N213" s="206">
        <f t="shared" si="38"/>
        <v>0</v>
      </c>
    </row>
    <row r="214" spans="1:14" x14ac:dyDescent="0.4">
      <c r="A214" s="56"/>
      <c r="B214" s="66"/>
      <c r="C214" s="66"/>
      <c r="D214" s="66"/>
      <c r="E214" s="59"/>
      <c r="F214" s="59"/>
      <c r="G214" s="59"/>
      <c r="H214" s="59"/>
      <c r="I214" s="59"/>
      <c r="J214" s="59"/>
      <c r="K214" s="69">
        <f t="shared" si="39"/>
        <v>0</v>
      </c>
      <c r="L214" s="70">
        <f t="shared" si="40"/>
        <v>0</v>
      </c>
      <c r="M214" s="19"/>
      <c r="N214" s="206">
        <f t="shared" si="38"/>
        <v>0</v>
      </c>
    </row>
    <row r="215" spans="1:14" x14ac:dyDescent="0.4">
      <c r="A215" s="56"/>
      <c r="B215" s="66"/>
      <c r="C215" s="66"/>
      <c r="D215" s="66"/>
      <c r="E215" s="59"/>
      <c r="F215" s="59"/>
      <c r="G215" s="59"/>
      <c r="H215" s="59"/>
      <c r="I215" s="59"/>
      <c r="J215" s="59"/>
      <c r="K215" s="69">
        <f t="shared" si="39"/>
        <v>0</v>
      </c>
      <c r="L215" s="70">
        <f t="shared" si="40"/>
        <v>0</v>
      </c>
      <c r="M215" s="19"/>
      <c r="N215" s="206">
        <f t="shared" si="38"/>
        <v>0</v>
      </c>
    </row>
    <row r="216" spans="1:14" x14ac:dyDescent="0.4">
      <c r="A216" s="56"/>
      <c r="B216" s="66"/>
      <c r="C216" s="66"/>
      <c r="D216" s="66"/>
      <c r="E216" s="59"/>
      <c r="F216" s="59"/>
      <c r="G216" s="59"/>
      <c r="H216" s="59"/>
      <c r="I216" s="59"/>
      <c r="J216" s="59"/>
      <c r="K216" s="69">
        <f t="shared" si="39"/>
        <v>0</v>
      </c>
      <c r="L216" s="70">
        <f t="shared" si="40"/>
        <v>0</v>
      </c>
      <c r="M216" s="19"/>
      <c r="N216" s="206">
        <f t="shared" si="38"/>
        <v>0</v>
      </c>
    </row>
    <row r="217" spans="1:14" x14ac:dyDescent="0.4">
      <c r="A217" s="56"/>
      <c r="B217" s="66"/>
      <c r="C217" s="66"/>
      <c r="D217" s="66"/>
      <c r="E217" s="59"/>
      <c r="F217" s="59"/>
      <c r="G217" s="59"/>
      <c r="H217" s="59"/>
      <c r="I217" s="59"/>
      <c r="J217" s="59"/>
      <c r="K217" s="69">
        <f t="shared" si="39"/>
        <v>0</v>
      </c>
      <c r="L217" s="70">
        <f t="shared" si="40"/>
        <v>0</v>
      </c>
      <c r="M217" s="19"/>
      <c r="N217" s="206">
        <f t="shared" si="38"/>
        <v>0</v>
      </c>
    </row>
    <row r="218" spans="1:14" x14ac:dyDescent="0.4">
      <c r="A218" s="56"/>
      <c r="B218" s="66"/>
      <c r="C218" s="66"/>
      <c r="D218" s="66"/>
      <c r="E218" s="59"/>
      <c r="F218" s="59"/>
      <c r="G218" s="59"/>
      <c r="H218" s="59"/>
      <c r="I218" s="59"/>
      <c r="J218" s="59"/>
      <c r="K218" s="69">
        <f t="shared" si="39"/>
        <v>0</v>
      </c>
      <c r="L218" s="70">
        <f t="shared" si="40"/>
        <v>0</v>
      </c>
      <c r="M218" s="19"/>
      <c r="N218" s="206">
        <f t="shared" si="38"/>
        <v>0</v>
      </c>
    </row>
    <row r="219" spans="1:14" x14ac:dyDescent="0.4">
      <c r="A219" s="56"/>
      <c r="B219" s="66"/>
      <c r="C219" s="66"/>
      <c r="D219" s="66"/>
      <c r="E219" s="59"/>
      <c r="F219" s="59"/>
      <c r="G219" s="59"/>
      <c r="H219" s="59"/>
      <c r="I219" s="59"/>
      <c r="J219" s="59"/>
      <c r="K219" s="69">
        <f t="shared" si="39"/>
        <v>0</v>
      </c>
      <c r="L219" s="70">
        <f t="shared" si="40"/>
        <v>0</v>
      </c>
      <c r="M219" s="19"/>
      <c r="N219" s="206">
        <f t="shared" si="38"/>
        <v>0</v>
      </c>
    </row>
    <row r="220" spans="1:14" x14ac:dyDescent="0.4">
      <c r="A220" s="56"/>
      <c r="B220" s="66"/>
      <c r="C220" s="66"/>
      <c r="D220" s="66"/>
      <c r="E220" s="59"/>
      <c r="F220" s="59"/>
      <c r="G220" s="59"/>
      <c r="H220" s="59"/>
      <c r="I220" s="59"/>
      <c r="J220" s="59"/>
      <c r="K220" s="69">
        <f t="shared" si="39"/>
        <v>0</v>
      </c>
      <c r="L220" s="70">
        <f t="shared" si="40"/>
        <v>0</v>
      </c>
      <c r="M220" s="19"/>
      <c r="N220" s="206">
        <f t="shared" si="38"/>
        <v>0</v>
      </c>
    </row>
    <row r="221" spans="1:14" x14ac:dyDescent="0.4">
      <c r="A221" s="56"/>
      <c r="B221" s="66"/>
      <c r="C221" s="66"/>
      <c r="D221" s="66"/>
      <c r="E221" s="59"/>
      <c r="F221" s="59"/>
      <c r="G221" s="59"/>
      <c r="H221" s="59"/>
      <c r="I221" s="59"/>
      <c r="J221" s="59"/>
      <c r="K221" s="69">
        <f t="shared" si="39"/>
        <v>0</v>
      </c>
      <c r="L221" s="70">
        <f t="shared" si="40"/>
        <v>0</v>
      </c>
      <c r="M221" s="19"/>
      <c r="N221" s="206">
        <f t="shared" si="38"/>
        <v>0</v>
      </c>
    </row>
    <row r="222" spans="1:14" x14ac:dyDescent="0.4">
      <c r="A222" s="56"/>
      <c r="B222" s="66"/>
      <c r="C222" s="66"/>
      <c r="D222" s="66"/>
      <c r="E222" s="59"/>
      <c r="F222" s="59"/>
      <c r="G222" s="59"/>
      <c r="H222" s="59"/>
      <c r="I222" s="59"/>
      <c r="J222" s="59"/>
      <c r="K222" s="69">
        <f t="shared" si="39"/>
        <v>0</v>
      </c>
      <c r="L222" s="70">
        <f t="shared" si="40"/>
        <v>0</v>
      </c>
      <c r="M222" s="19"/>
      <c r="N222" s="206">
        <f t="shared" si="38"/>
        <v>0</v>
      </c>
    </row>
    <row r="223" spans="1:14" x14ac:dyDescent="0.4">
      <c r="A223" s="56"/>
      <c r="B223" s="66"/>
      <c r="C223" s="66"/>
      <c r="D223" s="66"/>
      <c r="E223" s="59"/>
      <c r="F223" s="59"/>
      <c r="G223" s="59"/>
      <c r="H223" s="59"/>
      <c r="I223" s="59"/>
      <c r="J223" s="59"/>
      <c r="K223" s="69">
        <f t="shared" si="39"/>
        <v>0</v>
      </c>
      <c r="L223" s="70">
        <f t="shared" si="40"/>
        <v>0</v>
      </c>
      <c r="M223" s="19"/>
      <c r="N223" s="206">
        <f t="shared" si="38"/>
        <v>0</v>
      </c>
    </row>
    <row r="224" spans="1:14" x14ac:dyDescent="0.4">
      <c r="A224" s="56"/>
      <c r="B224" s="66"/>
      <c r="C224" s="66"/>
      <c r="D224" s="66"/>
      <c r="E224" s="59"/>
      <c r="F224" s="59"/>
      <c r="G224" s="59"/>
      <c r="H224" s="59"/>
      <c r="I224" s="59"/>
      <c r="J224" s="59"/>
      <c r="K224" s="69">
        <f t="shared" si="39"/>
        <v>0</v>
      </c>
      <c r="L224" s="70">
        <f t="shared" si="40"/>
        <v>0</v>
      </c>
      <c r="M224" s="19"/>
      <c r="N224" s="206">
        <f t="shared" si="38"/>
        <v>0</v>
      </c>
    </row>
    <row r="225" spans="1:14" x14ac:dyDescent="0.4">
      <c r="A225" s="56"/>
      <c r="B225" s="66"/>
      <c r="C225" s="66"/>
      <c r="D225" s="66"/>
      <c r="E225" s="59"/>
      <c r="F225" s="59"/>
      <c r="G225" s="59"/>
      <c r="H225" s="59"/>
      <c r="I225" s="59"/>
      <c r="J225" s="59"/>
      <c r="K225" s="69">
        <f>IF(G225="TLX",ROUND(N225/32*I225,2),ROUND(N225*I225,2))</f>
        <v>0</v>
      </c>
      <c r="L225" s="70">
        <f>SUM(J225+K225)</f>
        <v>0</v>
      </c>
      <c r="M225" s="19"/>
      <c r="N225" s="206">
        <f t="shared" si="38"/>
        <v>0</v>
      </c>
    </row>
    <row r="226" spans="1:14" x14ac:dyDescent="0.4">
      <c r="A226" s="56"/>
      <c r="B226" s="66"/>
      <c r="C226" s="66"/>
      <c r="D226" s="66"/>
      <c r="E226" s="59"/>
      <c r="F226" s="59"/>
      <c r="G226" s="59"/>
      <c r="H226" s="59"/>
      <c r="I226" s="59"/>
      <c r="J226" s="59"/>
      <c r="K226" s="69">
        <f>IF(G226="TLX",ROUND(N226/32*I226,2),ROUND(N226*I226,2))</f>
        <v>0</v>
      </c>
      <c r="L226" s="70">
        <f>SUM(J226+K226)</f>
        <v>0</v>
      </c>
      <c r="M226" s="19"/>
      <c r="N226" s="206">
        <f t="shared" si="38"/>
        <v>0</v>
      </c>
    </row>
    <row r="227" spans="1:14" ht="15.4" thickBot="1" x14ac:dyDescent="0.45">
      <c r="A227" s="56"/>
      <c r="B227" s="66"/>
      <c r="C227" s="66"/>
      <c r="D227" s="66"/>
      <c r="E227" s="59"/>
      <c r="F227" s="59"/>
      <c r="G227" s="59"/>
      <c r="H227" s="59"/>
      <c r="I227" s="59"/>
      <c r="J227" s="59"/>
      <c r="K227" s="69">
        <f>IF(G227="TLX",ROUND(N227/32*I227,2),ROUND(N227*I227,2))</f>
        <v>0</v>
      </c>
      <c r="L227" s="70">
        <f>SUM(J227+K227)</f>
        <v>0</v>
      </c>
      <c r="M227" s="19"/>
      <c r="N227" s="206">
        <f t="shared" si="38"/>
        <v>0</v>
      </c>
    </row>
    <row r="228" spans="1:14" ht="15.4" thickBot="1" x14ac:dyDescent="0.45">
      <c r="A228" s="60"/>
      <c r="B228" s="61"/>
      <c r="C228" s="61"/>
      <c r="D228" s="118"/>
      <c r="E228" s="61"/>
      <c r="F228" s="61"/>
      <c r="G228" s="61"/>
      <c r="H228" s="61"/>
      <c r="I228" s="61"/>
      <c r="J228" s="61"/>
      <c r="K228" s="152" t="s">
        <v>18</v>
      </c>
      <c r="L228" s="134">
        <f>SUM(L207:L227)</f>
        <v>0</v>
      </c>
      <c r="M228" s="19"/>
      <c r="N228" s="206">
        <f t="shared" si="38"/>
        <v>0</v>
      </c>
    </row>
    <row r="229" spans="1:14" ht="15" customHeight="1" x14ac:dyDescent="0.4">
      <c r="A229" s="198">
        <v>11</v>
      </c>
      <c r="B229" s="166" t="s">
        <v>30</v>
      </c>
      <c r="C229" s="328"/>
      <c r="D229" s="329"/>
      <c r="E229" s="81"/>
      <c r="F229" s="81"/>
      <c r="G229" s="81"/>
      <c r="H229" s="81"/>
      <c r="I229" s="81"/>
      <c r="J229" s="81"/>
      <c r="K229" s="115"/>
      <c r="L229" s="116"/>
      <c r="M229" s="19"/>
      <c r="N229" s="206">
        <f t="shared" si="38"/>
        <v>0</v>
      </c>
    </row>
    <row r="230" spans="1:14" x14ac:dyDescent="0.4">
      <c r="A230" s="56"/>
      <c r="B230" s="66"/>
      <c r="C230" s="66"/>
      <c r="D230" s="66"/>
      <c r="E230" s="59"/>
      <c r="F230" s="59"/>
      <c r="G230" s="59"/>
      <c r="H230" s="59"/>
      <c r="I230" s="59"/>
      <c r="J230" s="59"/>
      <c r="K230" s="69">
        <f>IF(G230="TLX",ROUND(N230/32*I230,2),ROUND(N230*I230,2))</f>
        <v>0</v>
      </c>
      <c r="L230" s="70">
        <f>SUM(J230+K230)</f>
        <v>0</v>
      </c>
      <c r="M230" s="19"/>
      <c r="N230" s="206">
        <f t="shared" si="38"/>
        <v>0</v>
      </c>
    </row>
    <row r="231" spans="1:14" x14ac:dyDescent="0.4">
      <c r="A231" s="56"/>
      <c r="B231" s="66"/>
      <c r="C231" s="66"/>
      <c r="D231" s="66"/>
      <c r="E231" s="59"/>
      <c r="F231" s="59"/>
      <c r="G231" s="59"/>
      <c r="H231" s="59"/>
      <c r="I231" s="59"/>
      <c r="J231" s="59"/>
      <c r="K231" s="69">
        <f>IF(G231="TLX",ROUND(N231/32*I231,2),ROUND(N231*I231,2))</f>
        <v>0</v>
      </c>
      <c r="L231" s="70">
        <f>SUM(J231+K231)</f>
        <v>0</v>
      </c>
      <c r="M231" s="19"/>
      <c r="N231" s="206">
        <f t="shared" si="38"/>
        <v>0</v>
      </c>
    </row>
    <row r="232" spans="1:14" x14ac:dyDescent="0.4">
      <c r="A232" s="56"/>
      <c r="B232" s="66"/>
      <c r="C232" s="66"/>
      <c r="D232" s="66"/>
      <c r="E232" s="59"/>
      <c r="F232" s="59"/>
      <c r="G232" s="59"/>
      <c r="H232" s="59"/>
      <c r="I232" s="59"/>
      <c r="J232" s="59"/>
      <c r="K232" s="69">
        <f t="shared" ref="K232:K248" si="41">IF(G232="TLX",ROUND(N232/32*I232,2),ROUND(N232*I232,2))</f>
        <v>0</v>
      </c>
      <c r="L232" s="70">
        <f t="shared" ref="L232:L248" si="42">SUM(J232+K232)</f>
        <v>0</v>
      </c>
      <c r="M232" s="19"/>
      <c r="N232" s="206">
        <f t="shared" si="38"/>
        <v>0</v>
      </c>
    </row>
    <row r="233" spans="1:14" x14ac:dyDescent="0.4">
      <c r="A233" s="56"/>
      <c r="B233" s="66"/>
      <c r="C233" s="66"/>
      <c r="D233" s="66"/>
      <c r="E233" s="59"/>
      <c r="F233" s="59"/>
      <c r="G233" s="59"/>
      <c r="H233" s="59"/>
      <c r="I233" s="59"/>
      <c r="J233" s="59"/>
      <c r="K233" s="69">
        <f t="shared" si="41"/>
        <v>0</v>
      </c>
      <c r="L233" s="70">
        <f t="shared" si="42"/>
        <v>0</v>
      </c>
      <c r="M233" s="19"/>
      <c r="N233" s="206">
        <f t="shared" si="38"/>
        <v>0</v>
      </c>
    </row>
    <row r="234" spans="1:14" x14ac:dyDescent="0.4">
      <c r="A234" s="56"/>
      <c r="B234" s="66"/>
      <c r="C234" s="66"/>
      <c r="D234" s="66"/>
      <c r="E234" s="59"/>
      <c r="F234" s="59"/>
      <c r="G234" s="59"/>
      <c r="H234" s="59"/>
      <c r="I234" s="59"/>
      <c r="J234" s="59"/>
      <c r="K234" s="69">
        <f t="shared" si="41"/>
        <v>0</v>
      </c>
      <c r="L234" s="70">
        <f t="shared" si="42"/>
        <v>0</v>
      </c>
      <c r="M234" s="19"/>
      <c r="N234" s="206">
        <f t="shared" si="38"/>
        <v>0</v>
      </c>
    </row>
    <row r="235" spans="1:14" x14ac:dyDescent="0.4">
      <c r="A235" s="56"/>
      <c r="B235" s="66"/>
      <c r="C235" s="66"/>
      <c r="D235" s="66"/>
      <c r="E235" s="59"/>
      <c r="F235" s="59"/>
      <c r="G235" s="59"/>
      <c r="H235" s="59"/>
      <c r="I235" s="59"/>
      <c r="J235" s="59"/>
      <c r="K235" s="69">
        <f t="shared" si="41"/>
        <v>0</v>
      </c>
      <c r="L235" s="70">
        <f t="shared" si="42"/>
        <v>0</v>
      </c>
      <c r="M235" s="19"/>
      <c r="N235" s="206">
        <f t="shared" si="38"/>
        <v>0</v>
      </c>
    </row>
    <row r="236" spans="1:14" x14ac:dyDescent="0.4">
      <c r="A236" s="56"/>
      <c r="B236" s="66"/>
      <c r="C236" s="66"/>
      <c r="D236" s="66"/>
      <c r="E236" s="59"/>
      <c r="F236" s="59"/>
      <c r="G236" s="59"/>
      <c r="H236" s="59"/>
      <c r="I236" s="59"/>
      <c r="J236" s="59"/>
      <c r="K236" s="69">
        <f t="shared" si="41"/>
        <v>0</v>
      </c>
      <c r="L236" s="70">
        <f t="shared" si="42"/>
        <v>0</v>
      </c>
      <c r="M236" s="19"/>
      <c r="N236" s="206">
        <f t="shared" ref="N236:N272" si="43">SUM(E236+F236/60)</f>
        <v>0</v>
      </c>
    </row>
    <row r="237" spans="1:14" x14ac:dyDescent="0.4">
      <c r="A237" s="56"/>
      <c r="B237" s="66"/>
      <c r="C237" s="66"/>
      <c r="D237" s="66"/>
      <c r="E237" s="59"/>
      <c r="F237" s="59"/>
      <c r="G237" s="59"/>
      <c r="H237" s="59"/>
      <c r="I237" s="59"/>
      <c r="J237" s="59"/>
      <c r="K237" s="69">
        <f t="shared" si="41"/>
        <v>0</v>
      </c>
      <c r="L237" s="70">
        <f t="shared" si="42"/>
        <v>0</v>
      </c>
      <c r="M237" s="19"/>
      <c r="N237" s="206">
        <f t="shared" si="43"/>
        <v>0</v>
      </c>
    </row>
    <row r="238" spans="1:14" x14ac:dyDescent="0.4">
      <c r="A238" s="56"/>
      <c r="B238" s="66"/>
      <c r="C238" s="66"/>
      <c r="D238" s="66"/>
      <c r="E238" s="59"/>
      <c r="F238" s="59"/>
      <c r="G238" s="59"/>
      <c r="H238" s="59"/>
      <c r="I238" s="59"/>
      <c r="J238" s="59"/>
      <c r="K238" s="69">
        <f t="shared" si="41"/>
        <v>0</v>
      </c>
      <c r="L238" s="70">
        <f t="shared" si="42"/>
        <v>0</v>
      </c>
      <c r="M238" s="19"/>
      <c r="N238" s="206">
        <f t="shared" si="43"/>
        <v>0</v>
      </c>
    </row>
    <row r="239" spans="1:14" x14ac:dyDescent="0.4">
      <c r="A239" s="56"/>
      <c r="B239" s="66"/>
      <c r="C239" s="66"/>
      <c r="D239" s="66"/>
      <c r="E239" s="59"/>
      <c r="F239" s="59"/>
      <c r="G239" s="59"/>
      <c r="H239" s="59"/>
      <c r="I239" s="59"/>
      <c r="J239" s="59"/>
      <c r="K239" s="69">
        <f t="shared" si="41"/>
        <v>0</v>
      </c>
      <c r="L239" s="70">
        <f t="shared" si="42"/>
        <v>0</v>
      </c>
      <c r="M239" s="19"/>
      <c r="N239" s="206">
        <f t="shared" si="43"/>
        <v>0</v>
      </c>
    </row>
    <row r="240" spans="1:14" x14ac:dyDescent="0.4">
      <c r="A240" s="56"/>
      <c r="B240" s="66"/>
      <c r="C240" s="66"/>
      <c r="D240" s="66"/>
      <c r="E240" s="59"/>
      <c r="F240" s="59"/>
      <c r="G240" s="59"/>
      <c r="H240" s="59"/>
      <c r="I240" s="59"/>
      <c r="J240" s="59"/>
      <c r="K240" s="69">
        <f t="shared" si="41"/>
        <v>0</v>
      </c>
      <c r="L240" s="70">
        <f t="shared" si="42"/>
        <v>0</v>
      </c>
      <c r="M240" s="19"/>
      <c r="N240" s="206">
        <f t="shared" si="43"/>
        <v>0</v>
      </c>
    </row>
    <row r="241" spans="1:14" x14ac:dyDescent="0.4">
      <c r="A241" s="56"/>
      <c r="B241" s="66"/>
      <c r="C241" s="66"/>
      <c r="D241" s="66"/>
      <c r="E241" s="59"/>
      <c r="F241" s="59"/>
      <c r="G241" s="59"/>
      <c r="H241" s="59"/>
      <c r="I241" s="59"/>
      <c r="J241" s="59"/>
      <c r="K241" s="69">
        <f t="shared" si="41"/>
        <v>0</v>
      </c>
      <c r="L241" s="70">
        <f t="shared" si="42"/>
        <v>0</v>
      </c>
      <c r="M241" s="19"/>
      <c r="N241" s="206">
        <f t="shared" si="43"/>
        <v>0</v>
      </c>
    </row>
    <row r="242" spans="1:14" x14ac:dyDescent="0.4">
      <c r="A242" s="56"/>
      <c r="B242" s="66"/>
      <c r="C242" s="66"/>
      <c r="D242" s="66"/>
      <c r="E242" s="59"/>
      <c r="F242" s="59"/>
      <c r="G242" s="59"/>
      <c r="H242" s="59"/>
      <c r="I242" s="59"/>
      <c r="J242" s="59"/>
      <c r="K242" s="69">
        <f t="shared" si="41"/>
        <v>0</v>
      </c>
      <c r="L242" s="70">
        <f t="shared" si="42"/>
        <v>0</v>
      </c>
      <c r="M242" s="19"/>
      <c r="N242" s="206">
        <f t="shared" si="43"/>
        <v>0</v>
      </c>
    </row>
    <row r="243" spans="1:14" x14ac:dyDescent="0.4">
      <c r="A243" s="56"/>
      <c r="B243" s="66"/>
      <c r="C243" s="66"/>
      <c r="D243" s="66"/>
      <c r="E243" s="59"/>
      <c r="F243" s="59"/>
      <c r="G243" s="59"/>
      <c r="H243" s="59"/>
      <c r="I243" s="59"/>
      <c r="J243" s="59"/>
      <c r="K243" s="69">
        <f t="shared" si="41"/>
        <v>0</v>
      </c>
      <c r="L243" s="70">
        <f t="shared" si="42"/>
        <v>0</v>
      </c>
      <c r="M243" s="19"/>
      <c r="N243" s="206">
        <f t="shared" si="43"/>
        <v>0</v>
      </c>
    </row>
    <row r="244" spans="1:14" x14ac:dyDescent="0.4">
      <c r="A244" s="56"/>
      <c r="B244" s="66"/>
      <c r="C244" s="66"/>
      <c r="D244" s="66"/>
      <c r="E244" s="59"/>
      <c r="F244" s="59"/>
      <c r="G244" s="59"/>
      <c r="H244" s="59"/>
      <c r="I244" s="59"/>
      <c r="J244" s="59"/>
      <c r="K244" s="69">
        <f t="shared" si="41"/>
        <v>0</v>
      </c>
      <c r="L244" s="70">
        <f t="shared" si="42"/>
        <v>0</v>
      </c>
      <c r="M244" s="19"/>
      <c r="N244" s="206">
        <f t="shared" si="43"/>
        <v>0</v>
      </c>
    </row>
    <row r="245" spans="1:14" x14ac:dyDescent="0.4">
      <c r="A245" s="56"/>
      <c r="B245" s="66"/>
      <c r="C245" s="66"/>
      <c r="D245" s="66"/>
      <c r="E245" s="59"/>
      <c r="F245" s="59"/>
      <c r="G245" s="59"/>
      <c r="H245" s="59"/>
      <c r="I245" s="59"/>
      <c r="J245" s="59"/>
      <c r="K245" s="69">
        <f t="shared" si="41"/>
        <v>0</v>
      </c>
      <c r="L245" s="70">
        <f t="shared" si="42"/>
        <v>0</v>
      </c>
      <c r="M245" s="19"/>
      <c r="N245" s="206">
        <f t="shared" si="43"/>
        <v>0</v>
      </c>
    </row>
    <row r="246" spans="1:14" x14ac:dyDescent="0.4">
      <c r="A246" s="56"/>
      <c r="B246" s="66"/>
      <c r="C246" s="66"/>
      <c r="D246" s="66"/>
      <c r="E246" s="59"/>
      <c r="F246" s="59"/>
      <c r="G246" s="59"/>
      <c r="H246" s="59"/>
      <c r="I246" s="59"/>
      <c r="J246" s="59"/>
      <c r="K246" s="69">
        <f t="shared" si="41"/>
        <v>0</v>
      </c>
      <c r="L246" s="70">
        <f t="shared" si="42"/>
        <v>0</v>
      </c>
      <c r="M246" s="19"/>
      <c r="N246" s="206">
        <f t="shared" si="43"/>
        <v>0</v>
      </c>
    </row>
    <row r="247" spans="1:14" x14ac:dyDescent="0.4">
      <c r="A247" s="56"/>
      <c r="B247" s="66"/>
      <c r="C247" s="66"/>
      <c r="D247" s="66"/>
      <c r="E247" s="59"/>
      <c r="F247" s="59"/>
      <c r="G247" s="59"/>
      <c r="H247" s="59"/>
      <c r="I247" s="59"/>
      <c r="J247" s="59"/>
      <c r="K247" s="69">
        <f t="shared" si="41"/>
        <v>0</v>
      </c>
      <c r="L247" s="70">
        <f t="shared" si="42"/>
        <v>0</v>
      </c>
      <c r="M247" s="19"/>
      <c r="N247" s="206">
        <f t="shared" si="43"/>
        <v>0</v>
      </c>
    </row>
    <row r="248" spans="1:14" x14ac:dyDescent="0.4">
      <c r="A248" s="56"/>
      <c r="B248" s="66"/>
      <c r="C248" s="66"/>
      <c r="D248" s="66"/>
      <c r="E248" s="59"/>
      <c r="F248" s="59"/>
      <c r="G248" s="59"/>
      <c r="H248" s="59"/>
      <c r="I248" s="59"/>
      <c r="J248" s="59"/>
      <c r="K248" s="69">
        <f t="shared" si="41"/>
        <v>0</v>
      </c>
      <c r="L248" s="70">
        <f t="shared" si="42"/>
        <v>0</v>
      </c>
      <c r="M248" s="19"/>
      <c r="N248" s="206">
        <f t="shared" si="43"/>
        <v>0</v>
      </c>
    </row>
    <row r="249" spans="1:14" ht="15.4" thickBot="1" x14ac:dyDescent="0.45">
      <c r="A249" s="56"/>
      <c r="B249" s="66"/>
      <c r="C249" s="66"/>
      <c r="D249" s="66"/>
      <c r="E249" s="59"/>
      <c r="F249" s="59"/>
      <c r="G249" s="59"/>
      <c r="H249" s="59"/>
      <c r="I249" s="59"/>
      <c r="J249" s="59"/>
      <c r="K249" s="69">
        <f>IF(G249="TLX",ROUND(N249/32*I249,2),ROUND(N249*I249,2))</f>
        <v>0</v>
      </c>
      <c r="L249" s="70">
        <f>SUM(J249+K249)</f>
        <v>0</v>
      </c>
      <c r="M249" s="19"/>
      <c r="N249" s="206">
        <f t="shared" si="43"/>
        <v>0</v>
      </c>
    </row>
    <row r="250" spans="1:14" ht="15.4" thickBot="1" x14ac:dyDescent="0.45">
      <c r="A250" s="60"/>
      <c r="B250" s="61"/>
      <c r="C250" s="61"/>
      <c r="D250" s="72"/>
      <c r="E250" s="61"/>
      <c r="F250" s="61"/>
      <c r="G250" s="61"/>
      <c r="H250" s="61"/>
      <c r="I250" s="61"/>
      <c r="J250" s="61"/>
      <c r="K250" s="152" t="s">
        <v>18</v>
      </c>
      <c r="L250" s="134">
        <f>SUM(L230:L249)</f>
        <v>0</v>
      </c>
      <c r="M250" s="19"/>
      <c r="N250" s="206">
        <f t="shared" si="43"/>
        <v>0</v>
      </c>
    </row>
    <row r="251" spans="1:14" x14ac:dyDescent="0.4">
      <c r="A251" s="198">
        <v>12</v>
      </c>
      <c r="B251" s="166" t="s">
        <v>30</v>
      </c>
      <c r="C251" s="328"/>
      <c r="D251" s="329"/>
      <c r="E251" s="81"/>
      <c r="F251" s="81"/>
      <c r="G251" s="81"/>
      <c r="H251" s="81"/>
      <c r="I251" s="81"/>
      <c r="J251" s="81"/>
      <c r="K251" s="115"/>
      <c r="L251" s="116"/>
      <c r="M251" s="19"/>
      <c r="N251" s="206">
        <f t="shared" si="43"/>
        <v>0</v>
      </c>
    </row>
    <row r="252" spans="1:14" x14ac:dyDescent="0.4">
      <c r="A252" s="56"/>
      <c r="B252" s="66"/>
      <c r="C252" s="66"/>
      <c r="D252" s="66"/>
      <c r="E252" s="59"/>
      <c r="F252" s="59"/>
      <c r="G252" s="59"/>
      <c r="H252" s="59"/>
      <c r="I252" s="59"/>
      <c r="J252" s="59"/>
      <c r="K252" s="69">
        <f t="shared" ref="K252:K271" si="44">IF(G252="TLX",ROUND(N252/32*I252,2),ROUND(N252*I252,2))</f>
        <v>0</v>
      </c>
      <c r="L252" s="70">
        <f t="shared" ref="L252:L271" si="45">SUM(J252+K252)</f>
        <v>0</v>
      </c>
      <c r="N252" s="206">
        <f t="shared" si="43"/>
        <v>0</v>
      </c>
    </row>
    <row r="253" spans="1:14" x14ac:dyDescent="0.4">
      <c r="A253" s="56"/>
      <c r="B253" s="66"/>
      <c r="C253" s="66"/>
      <c r="D253" s="66"/>
      <c r="E253" s="59"/>
      <c r="F253" s="59"/>
      <c r="G253" s="59"/>
      <c r="H253" s="59"/>
      <c r="I253" s="59"/>
      <c r="J253" s="59"/>
      <c r="K253" s="69">
        <f t="shared" si="44"/>
        <v>0</v>
      </c>
      <c r="L253" s="70">
        <f t="shared" si="45"/>
        <v>0</v>
      </c>
      <c r="N253" s="206">
        <f t="shared" si="43"/>
        <v>0</v>
      </c>
    </row>
    <row r="254" spans="1:14" x14ac:dyDescent="0.4">
      <c r="A254" s="56"/>
      <c r="B254" s="66"/>
      <c r="C254" s="66"/>
      <c r="D254" s="66"/>
      <c r="E254" s="59"/>
      <c r="F254" s="59"/>
      <c r="G254" s="59"/>
      <c r="H254" s="59"/>
      <c r="I254" s="59"/>
      <c r="J254" s="59"/>
      <c r="K254" s="69">
        <f t="shared" si="44"/>
        <v>0</v>
      </c>
      <c r="L254" s="70">
        <f t="shared" si="45"/>
        <v>0</v>
      </c>
      <c r="N254" s="206">
        <f t="shared" si="43"/>
        <v>0</v>
      </c>
    </row>
    <row r="255" spans="1:14" x14ac:dyDescent="0.4">
      <c r="A255" s="56"/>
      <c r="B255" s="66"/>
      <c r="C255" s="66"/>
      <c r="D255" s="66"/>
      <c r="E255" s="59"/>
      <c r="F255" s="59"/>
      <c r="G255" s="59"/>
      <c r="H255" s="59"/>
      <c r="I255" s="59"/>
      <c r="J255" s="59"/>
      <c r="K255" s="69">
        <f t="shared" si="44"/>
        <v>0</v>
      </c>
      <c r="L255" s="70">
        <f t="shared" si="45"/>
        <v>0</v>
      </c>
      <c r="N255" s="206">
        <f t="shared" si="43"/>
        <v>0</v>
      </c>
    </row>
    <row r="256" spans="1:14" x14ac:dyDescent="0.4">
      <c r="A256" s="56"/>
      <c r="B256" s="66"/>
      <c r="C256" s="66"/>
      <c r="D256" s="66"/>
      <c r="E256" s="59"/>
      <c r="F256" s="59"/>
      <c r="G256" s="59"/>
      <c r="H256" s="59"/>
      <c r="I256" s="59"/>
      <c r="J256" s="59"/>
      <c r="K256" s="69">
        <f t="shared" si="44"/>
        <v>0</v>
      </c>
      <c r="L256" s="70">
        <f t="shared" si="45"/>
        <v>0</v>
      </c>
      <c r="N256" s="206">
        <f t="shared" si="43"/>
        <v>0</v>
      </c>
    </row>
    <row r="257" spans="1:14" x14ac:dyDescent="0.4">
      <c r="A257" s="56"/>
      <c r="B257" s="66"/>
      <c r="C257" s="66"/>
      <c r="D257" s="66"/>
      <c r="E257" s="59"/>
      <c r="F257" s="59"/>
      <c r="G257" s="59"/>
      <c r="H257" s="59"/>
      <c r="I257" s="59"/>
      <c r="J257" s="59"/>
      <c r="K257" s="69">
        <f t="shared" si="44"/>
        <v>0</v>
      </c>
      <c r="L257" s="70">
        <f t="shared" si="45"/>
        <v>0</v>
      </c>
      <c r="N257" s="206">
        <f t="shared" si="43"/>
        <v>0</v>
      </c>
    </row>
    <row r="258" spans="1:14" x14ac:dyDescent="0.4">
      <c r="A258" s="56"/>
      <c r="B258" s="66"/>
      <c r="C258" s="66"/>
      <c r="D258" s="66"/>
      <c r="E258" s="59"/>
      <c r="F258" s="59"/>
      <c r="G258" s="59"/>
      <c r="H258" s="59"/>
      <c r="I258" s="59"/>
      <c r="J258" s="59"/>
      <c r="K258" s="69">
        <f t="shared" si="44"/>
        <v>0</v>
      </c>
      <c r="L258" s="70">
        <f t="shared" si="45"/>
        <v>0</v>
      </c>
      <c r="N258" s="206">
        <f t="shared" si="43"/>
        <v>0</v>
      </c>
    </row>
    <row r="259" spans="1:14" x14ac:dyDescent="0.4">
      <c r="A259" s="56"/>
      <c r="B259" s="66"/>
      <c r="C259" s="66"/>
      <c r="D259" s="66"/>
      <c r="E259" s="59"/>
      <c r="F259" s="59"/>
      <c r="G259" s="59"/>
      <c r="H259" s="59"/>
      <c r="I259" s="59"/>
      <c r="J259" s="59"/>
      <c r="K259" s="69">
        <f t="shared" si="44"/>
        <v>0</v>
      </c>
      <c r="L259" s="70">
        <f t="shared" si="45"/>
        <v>0</v>
      </c>
      <c r="N259" s="206">
        <f t="shared" si="43"/>
        <v>0</v>
      </c>
    </row>
    <row r="260" spans="1:14" x14ac:dyDescent="0.4">
      <c r="A260" s="56"/>
      <c r="B260" s="66"/>
      <c r="C260" s="66"/>
      <c r="D260" s="66"/>
      <c r="E260" s="59"/>
      <c r="F260" s="59"/>
      <c r="G260" s="59"/>
      <c r="H260" s="59"/>
      <c r="I260" s="59"/>
      <c r="J260" s="59"/>
      <c r="K260" s="69">
        <f t="shared" si="44"/>
        <v>0</v>
      </c>
      <c r="L260" s="70">
        <f t="shared" si="45"/>
        <v>0</v>
      </c>
      <c r="N260" s="206">
        <f t="shared" si="43"/>
        <v>0</v>
      </c>
    </row>
    <row r="261" spans="1:14" x14ac:dyDescent="0.4">
      <c r="A261" s="56"/>
      <c r="B261" s="66"/>
      <c r="C261" s="66"/>
      <c r="D261" s="66"/>
      <c r="E261" s="59"/>
      <c r="F261" s="59"/>
      <c r="G261" s="59"/>
      <c r="H261" s="59"/>
      <c r="I261" s="59"/>
      <c r="J261" s="59"/>
      <c r="K261" s="69">
        <f t="shared" si="44"/>
        <v>0</v>
      </c>
      <c r="L261" s="70">
        <f t="shared" si="45"/>
        <v>0</v>
      </c>
      <c r="N261" s="206">
        <f t="shared" si="43"/>
        <v>0</v>
      </c>
    </row>
    <row r="262" spans="1:14" x14ac:dyDescent="0.4">
      <c r="A262" s="56"/>
      <c r="B262" s="66"/>
      <c r="C262" s="66"/>
      <c r="D262" s="66"/>
      <c r="E262" s="59"/>
      <c r="F262" s="59"/>
      <c r="G262" s="59"/>
      <c r="H262" s="59"/>
      <c r="I262" s="59"/>
      <c r="J262" s="59"/>
      <c r="K262" s="69">
        <f t="shared" si="44"/>
        <v>0</v>
      </c>
      <c r="L262" s="70">
        <f t="shared" si="45"/>
        <v>0</v>
      </c>
      <c r="N262" s="206">
        <f t="shared" si="43"/>
        <v>0</v>
      </c>
    </row>
    <row r="263" spans="1:14" x14ac:dyDescent="0.4">
      <c r="A263" s="56"/>
      <c r="B263" s="66"/>
      <c r="C263" s="66"/>
      <c r="D263" s="66"/>
      <c r="E263" s="59"/>
      <c r="F263" s="59"/>
      <c r="G263" s="59"/>
      <c r="H263" s="59"/>
      <c r="I263" s="59"/>
      <c r="J263" s="59"/>
      <c r="K263" s="69">
        <f t="shared" si="44"/>
        <v>0</v>
      </c>
      <c r="L263" s="70">
        <f t="shared" si="45"/>
        <v>0</v>
      </c>
      <c r="N263" s="206">
        <f t="shared" si="43"/>
        <v>0</v>
      </c>
    </row>
    <row r="264" spans="1:14" x14ac:dyDescent="0.4">
      <c r="A264" s="56"/>
      <c r="B264" s="66"/>
      <c r="C264" s="66"/>
      <c r="D264" s="66"/>
      <c r="E264" s="59"/>
      <c r="F264" s="59"/>
      <c r="G264" s="59"/>
      <c r="H264" s="59"/>
      <c r="I264" s="59"/>
      <c r="J264" s="59"/>
      <c r="K264" s="69">
        <f t="shared" si="44"/>
        <v>0</v>
      </c>
      <c r="L264" s="70">
        <f t="shared" si="45"/>
        <v>0</v>
      </c>
      <c r="N264" s="206">
        <f t="shared" si="43"/>
        <v>0</v>
      </c>
    </row>
    <row r="265" spans="1:14" x14ac:dyDescent="0.4">
      <c r="A265" s="56"/>
      <c r="B265" s="66"/>
      <c r="C265" s="66"/>
      <c r="D265" s="66"/>
      <c r="E265" s="59"/>
      <c r="F265" s="59"/>
      <c r="G265" s="59"/>
      <c r="H265" s="59"/>
      <c r="I265" s="59"/>
      <c r="J265" s="59"/>
      <c r="K265" s="69">
        <f t="shared" si="44"/>
        <v>0</v>
      </c>
      <c r="L265" s="70">
        <f t="shared" si="45"/>
        <v>0</v>
      </c>
      <c r="N265" s="206">
        <f t="shared" si="43"/>
        <v>0</v>
      </c>
    </row>
    <row r="266" spans="1:14" x14ac:dyDescent="0.4">
      <c r="A266" s="56"/>
      <c r="B266" s="66"/>
      <c r="C266" s="66"/>
      <c r="D266" s="66"/>
      <c r="E266" s="59"/>
      <c r="F266" s="59"/>
      <c r="G266" s="59"/>
      <c r="H266" s="59"/>
      <c r="I266" s="59"/>
      <c r="J266" s="59"/>
      <c r="K266" s="69">
        <f t="shared" si="44"/>
        <v>0</v>
      </c>
      <c r="L266" s="70">
        <f t="shared" si="45"/>
        <v>0</v>
      </c>
      <c r="N266" s="206">
        <f t="shared" si="43"/>
        <v>0</v>
      </c>
    </row>
    <row r="267" spans="1:14" x14ac:dyDescent="0.4">
      <c r="A267" s="56"/>
      <c r="B267" s="66"/>
      <c r="C267" s="66"/>
      <c r="D267" s="66"/>
      <c r="E267" s="59"/>
      <c r="F267" s="59"/>
      <c r="G267" s="59"/>
      <c r="H267" s="59"/>
      <c r="I267" s="59"/>
      <c r="J267" s="59"/>
      <c r="K267" s="69">
        <f t="shared" si="44"/>
        <v>0</v>
      </c>
      <c r="L267" s="70">
        <f t="shared" si="45"/>
        <v>0</v>
      </c>
      <c r="N267" s="206">
        <f t="shared" si="43"/>
        <v>0</v>
      </c>
    </row>
    <row r="268" spans="1:14" x14ac:dyDescent="0.4">
      <c r="A268" s="56"/>
      <c r="B268" s="66"/>
      <c r="C268" s="66"/>
      <c r="D268" s="66"/>
      <c r="E268" s="59"/>
      <c r="F268" s="59"/>
      <c r="G268" s="59"/>
      <c r="H268" s="59"/>
      <c r="I268" s="59"/>
      <c r="J268" s="59"/>
      <c r="K268" s="69">
        <f t="shared" si="44"/>
        <v>0</v>
      </c>
      <c r="L268" s="70">
        <f t="shared" si="45"/>
        <v>0</v>
      </c>
      <c r="N268" s="206">
        <f t="shared" si="43"/>
        <v>0</v>
      </c>
    </row>
    <row r="269" spans="1:14" x14ac:dyDescent="0.4">
      <c r="A269" s="56"/>
      <c r="B269" s="66"/>
      <c r="C269" s="66"/>
      <c r="D269" s="66"/>
      <c r="E269" s="59"/>
      <c r="F269" s="59"/>
      <c r="G269" s="59"/>
      <c r="H269" s="59"/>
      <c r="I269" s="59"/>
      <c r="J269" s="59"/>
      <c r="K269" s="69">
        <f t="shared" si="44"/>
        <v>0</v>
      </c>
      <c r="L269" s="70">
        <f t="shared" si="45"/>
        <v>0</v>
      </c>
      <c r="N269" s="206">
        <f t="shared" si="43"/>
        <v>0</v>
      </c>
    </row>
    <row r="270" spans="1:14" x14ac:dyDescent="0.4">
      <c r="A270" s="56"/>
      <c r="B270" s="66"/>
      <c r="C270" s="66"/>
      <c r="D270" s="66"/>
      <c r="E270" s="59"/>
      <c r="F270" s="59"/>
      <c r="G270" s="59"/>
      <c r="H270" s="59"/>
      <c r="I270" s="59"/>
      <c r="J270" s="59"/>
      <c r="K270" s="69">
        <f t="shared" si="44"/>
        <v>0</v>
      </c>
      <c r="L270" s="70">
        <f t="shared" si="45"/>
        <v>0</v>
      </c>
      <c r="N270" s="206">
        <f t="shared" si="43"/>
        <v>0</v>
      </c>
    </row>
    <row r="271" spans="1:14" ht="15.4" thickBot="1" x14ac:dyDescent="0.45">
      <c r="A271" s="56"/>
      <c r="B271" s="66"/>
      <c r="C271" s="66"/>
      <c r="D271" s="66"/>
      <c r="E271" s="59"/>
      <c r="F271" s="59"/>
      <c r="G271" s="59"/>
      <c r="H271" s="59"/>
      <c r="I271" s="59"/>
      <c r="J271" s="59"/>
      <c r="K271" s="69">
        <f t="shared" si="44"/>
        <v>0</v>
      </c>
      <c r="L271" s="70">
        <f t="shared" si="45"/>
        <v>0</v>
      </c>
      <c r="N271" s="206">
        <f t="shared" si="43"/>
        <v>0</v>
      </c>
    </row>
    <row r="272" spans="1:14" ht="15.4" thickBot="1" x14ac:dyDescent="0.45">
      <c r="A272" s="60"/>
      <c r="B272" s="61"/>
      <c r="C272" s="61"/>
      <c r="D272" s="72"/>
      <c r="E272" s="61"/>
      <c r="F272" s="61"/>
      <c r="G272" s="61"/>
      <c r="H272" s="61"/>
      <c r="I272" s="61"/>
      <c r="J272" s="61"/>
      <c r="K272" s="152" t="s">
        <v>18</v>
      </c>
      <c r="L272" s="134">
        <f>SUM(L252:L271)</f>
        <v>0</v>
      </c>
      <c r="N272" s="206">
        <f t="shared" si="43"/>
        <v>0</v>
      </c>
    </row>
    <row r="273" spans="1:14" x14ac:dyDescent="0.4">
      <c r="A273" s="198">
        <v>13</v>
      </c>
      <c r="B273" s="166" t="s">
        <v>32</v>
      </c>
      <c r="C273" s="328"/>
      <c r="D273" s="329"/>
      <c r="E273" s="81"/>
      <c r="F273" s="81"/>
      <c r="G273" s="81"/>
      <c r="H273" s="81"/>
      <c r="I273" s="81"/>
      <c r="J273" s="81"/>
      <c r="K273" s="115"/>
      <c r="L273" s="116"/>
      <c r="M273" s="19"/>
      <c r="N273" s="206">
        <f t="shared" ref="N273:N314" si="46">SUM(E273+F273/60)</f>
        <v>0</v>
      </c>
    </row>
    <row r="274" spans="1:14" x14ac:dyDescent="0.4">
      <c r="A274" s="56"/>
      <c r="B274" s="66"/>
      <c r="C274" s="66"/>
      <c r="D274" s="66"/>
      <c r="E274" s="59"/>
      <c r="F274" s="59"/>
      <c r="G274" s="59"/>
      <c r="H274" s="59"/>
      <c r="I274" s="59"/>
      <c r="J274" s="59"/>
      <c r="K274" s="69">
        <f t="shared" ref="K274:K293" si="47">IF(G274="TLX",ROUND(N274/32*I274,2),ROUND(N274*I274,2))</f>
        <v>0</v>
      </c>
      <c r="L274" s="70">
        <f t="shared" ref="L274:L293" si="48">SUM(J274+K274)</f>
        <v>0</v>
      </c>
      <c r="N274" s="206">
        <f t="shared" si="46"/>
        <v>0</v>
      </c>
    </row>
    <row r="275" spans="1:14" x14ac:dyDescent="0.4">
      <c r="A275" s="56"/>
      <c r="B275" s="66"/>
      <c r="C275" s="66"/>
      <c r="D275" s="66"/>
      <c r="E275" s="59"/>
      <c r="F275" s="59"/>
      <c r="G275" s="59"/>
      <c r="H275" s="59"/>
      <c r="I275" s="59"/>
      <c r="J275" s="59"/>
      <c r="K275" s="69">
        <f t="shared" si="47"/>
        <v>0</v>
      </c>
      <c r="L275" s="70">
        <f t="shared" si="48"/>
        <v>0</v>
      </c>
      <c r="N275" s="206">
        <f t="shared" si="46"/>
        <v>0</v>
      </c>
    </row>
    <row r="276" spans="1:14" x14ac:dyDescent="0.4">
      <c r="A276" s="56"/>
      <c r="B276" s="66"/>
      <c r="C276" s="66"/>
      <c r="D276" s="66"/>
      <c r="E276" s="59"/>
      <c r="F276" s="59"/>
      <c r="G276" s="59"/>
      <c r="H276" s="59"/>
      <c r="I276" s="59"/>
      <c r="J276" s="59"/>
      <c r="K276" s="69">
        <f t="shared" si="47"/>
        <v>0</v>
      </c>
      <c r="L276" s="70">
        <f t="shared" si="48"/>
        <v>0</v>
      </c>
      <c r="N276" s="206">
        <f t="shared" si="46"/>
        <v>0</v>
      </c>
    </row>
    <row r="277" spans="1:14" x14ac:dyDescent="0.4">
      <c r="A277" s="56"/>
      <c r="B277" s="66"/>
      <c r="C277" s="66"/>
      <c r="D277" s="66"/>
      <c r="E277" s="59"/>
      <c r="F277" s="59"/>
      <c r="G277" s="59"/>
      <c r="H277" s="59"/>
      <c r="I277" s="59"/>
      <c r="J277" s="59"/>
      <c r="K277" s="69">
        <f t="shared" si="47"/>
        <v>0</v>
      </c>
      <c r="L277" s="70">
        <f t="shared" si="48"/>
        <v>0</v>
      </c>
      <c r="N277" s="206">
        <f t="shared" si="46"/>
        <v>0</v>
      </c>
    </row>
    <row r="278" spans="1:14" x14ac:dyDescent="0.4">
      <c r="A278" s="56"/>
      <c r="B278" s="66"/>
      <c r="C278" s="66"/>
      <c r="D278" s="66"/>
      <c r="E278" s="59"/>
      <c r="F278" s="59"/>
      <c r="G278" s="59"/>
      <c r="H278" s="59"/>
      <c r="I278" s="59"/>
      <c r="J278" s="59"/>
      <c r="K278" s="69">
        <f t="shared" si="47"/>
        <v>0</v>
      </c>
      <c r="L278" s="70">
        <f t="shared" si="48"/>
        <v>0</v>
      </c>
      <c r="N278" s="206">
        <f t="shared" si="46"/>
        <v>0</v>
      </c>
    </row>
    <row r="279" spans="1:14" x14ac:dyDescent="0.4">
      <c r="A279" s="56"/>
      <c r="B279" s="66"/>
      <c r="C279" s="66"/>
      <c r="D279" s="66"/>
      <c r="E279" s="59"/>
      <c r="F279" s="59"/>
      <c r="G279" s="59"/>
      <c r="H279" s="59"/>
      <c r="I279" s="59"/>
      <c r="J279" s="59"/>
      <c r="K279" s="69">
        <f t="shared" si="47"/>
        <v>0</v>
      </c>
      <c r="L279" s="70">
        <f t="shared" si="48"/>
        <v>0</v>
      </c>
      <c r="N279" s="206">
        <f t="shared" si="46"/>
        <v>0</v>
      </c>
    </row>
    <row r="280" spans="1:14" x14ac:dyDescent="0.4">
      <c r="A280" s="56"/>
      <c r="B280" s="66"/>
      <c r="C280" s="66"/>
      <c r="D280" s="66"/>
      <c r="E280" s="59"/>
      <c r="F280" s="59"/>
      <c r="G280" s="59"/>
      <c r="H280" s="59"/>
      <c r="I280" s="59"/>
      <c r="J280" s="59"/>
      <c r="K280" s="69">
        <f t="shared" si="47"/>
        <v>0</v>
      </c>
      <c r="L280" s="70">
        <f t="shared" si="48"/>
        <v>0</v>
      </c>
      <c r="N280" s="206">
        <f t="shared" si="46"/>
        <v>0</v>
      </c>
    </row>
    <row r="281" spans="1:14" x14ac:dyDescent="0.4">
      <c r="A281" s="56"/>
      <c r="B281" s="66"/>
      <c r="C281" s="66"/>
      <c r="D281" s="66"/>
      <c r="E281" s="59"/>
      <c r="F281" s="59"/>
      <c r="G281" s="59"/>
      <c r="H281" s="59"/>
      <c r="I281" s="59"/>
      <c r="J281" s="59"/>
      <c r="K281" s="69">
        <f t="shared" si="47"/>
        <v>0</v>
      </c>
      <c r="L281" s="70">
        <f t="shared" si="48"/>
        <v>0</v>
      </c>
      <c r="N281" s="206">
        <f t="shared" si="46"/>
        <v>0</v>
      </c>
    </row>
    <row r="282" spans="1:14" x14ac:dyDescent="0.4">
      <c r="A282" s="56"/>
      <c r="B282" s="66"/>
      <c r="C282" s="66"/>
      <c r="D282" s="66"/>
      <c r="E282" s="59"/>
      <c r="F282" s="59"/>
      <c r="G282" s="59"/>
      <c r="H282" s="59"/>
      <c r="I282" s="59"/>
      <c r="J282" s="59"/>
      <c r="K282" s="69">
        <f t="shared" si="47"/>
        <v>0</v>
      </c>
      <c r="L282" s="70">
        <f t="shared" si="48"/>
        <v>0</v>
      </c>
      <c r="N282" s="206">
        <f t="shared" si="46"/>
        <v>0</v>
      </c>
    </row>
    <row r="283" spans="1:14" x14ac:dyDescent="0.4">
      <c r="A283" s="56"/>
      <c r="B283" s="66"/>
      <c r="C283" s="66"/>
      <c r="D283" s="66"/>
      <c r="E283" s="59"/>
      <c r="F283" s="59"/>
      <c r="G283" s="59"/>
      <c r="H283" s="59"/>
      <c r="I283" s="59"/>
      <c r="J283" s="59"/>
      <c r="K283" s="69">
        <f t="shared" si="47"/>
        <v>0</v>
      </c>
      <c r="L283" s="70">
        <f t="shared" si="48"/>
        <v>0</v>
      </c>
      <c r="N283" s="206">
        <f t="shared" si="46"/>
        <v>0</v>
      </c>
    </row>
    <row r="284" spans="1:14" x14ac:dyDescent="0.4">
      <c r="A284" s="56"/>
      <c r="B284" s="66"/>
      <c r="C284" s="66"/>
      <c r="D284" s="66"/>
      <c r="E284" s="59"/>
      <c r="F284" s="59"/>
      <c r="G284" s="59"/>
      <c r="H284" s="59"/>
      <c r="I284" s="59"/>
      <c r="J284" s="59"/>
      <c r="K284" s="69">
        <f t="shared" si="47"/>
        <v>0</v>
      </c>
      <c r="L284" s="70">
        <f t="shared" si="48"/>
        <v>0</v>
      </c>
      <c r="N284" s="206">
        <f t="shared" si="46"/>
        <v>0</v>
      </c>
    </row>
    <row r="285" spans="1:14" x14ac:dyDescent="0.4">
      <c r="A285" s="56"/>
      <c r="B285" s="66"/>
      <c r="C285" s="66"/>
      <c r="D285" s="66"/>
      <c r="E285" s="59"/>
      <c r="F285" s="59"/>
      <c r="G285" s="59"/>
      <c r="H285" s="59"/>
      <c r="I285" s="59"/>
      <c r="J285" s="59"/>
      <c r="K285" s="69">
        <f t="shared" si="47"/>
        <v>0</v>
      </c>
      <c r="L285" s="70">
        <f t="shared" si="48"/>
        <v>0</v>
      </c>
      <c r="N285" s="206">
        <f t="shared" si="46"/>
        <v>0</v>
      </c>
    </row>
    <row r="286" spans="1:14" x14ac:dyDescent="0.4">
      <c r="A286" s="56"/>
      <c r="B286" s="66"/>
      <c r="C286" s="66"/>
      <c r="D286" s="66"/>
      <c r="E286" s="59"/>
      <c r="F286" s="59"/>
      <c r="G286" s="59"/>
      <c r="H286" s="59"/>
      <c r="I286" s="59"/>
      <c r="J286" s="59"/>
      <c r="K286" s="69">
        <f t="shared" si="47"/>
        <v>0</v>
      </c>
      <c r="L286" s="70">
        <f t="shared" si="48"/>
        <v>0</v>
      </c>
      <c r="N286" s="206">
        <f t="shared" si="46"/>
        <v>0</v>
      </c>
    </row>
    <row r="287" spans="1:14" x14ac:dyDescent="0.4">
      <c r="A287" s="56"/>
      <c r="B287" s="66"/>
      <c r="C287" s="66"/>
      <c r="D287" s="66"/>
      <c r="E287" s="59"/>
      <c r="F287" s="59"/>
      <c r="G287" s="59"/>
      <c r="H287" s="59"/>
      <c r="I287" s="59"/>
      <c r="J287" s="59"/>
      <c r="K287" s="69">
        <f t="shared" si="47"/>
        <v>0</v>
      </c>
      <c r="L287" s="70">
        <f t="shared" si="48"/>
        <v>0</v>
      </c>
      <c r="N287" s="206">
        <f t="shared" si="46"/>
        <v>0</v>
      </c>
    </row>
    <row r="288" spans="1:14" x14ac:dyDescent="0.4">
      <c r="A288" s="56"/>
      <c r="B288" s="66"/>
      <c r="C288" s="66"/>
      <c r="D288" s="66"/>
      <c r="E288" s="59"/>
      <c r="F288" s="59"/>
      <c r="G288" s="59"/>
      <c r="H288" s="59"/>
      <c r="I288" s="59"/>
      <c r="J288" s="59"/>
      <c r="K288" s="69">
        <f t="shared" si="47"/>
        <v>0</v>
      </c>
      <c r="L288" s="70">
        <f t="shared" si="48"/>
        <v>0</v>
      </c>
      <c r="N288" s="206">
        <f t="shared" si="46"/>
        <v>0</v>
      </c>
    </row>
    <row r="289" spans="1:14" x14ac:dyDescent="0.4">
      <c r="A289" s="56"/>
      <c r="B289" s="66"/>
      <c r="C289" s="66"/>
      <c r="D289" s="66"/>
      <c r="E289" s="59"/>
      <c r="F289" s="59"/>
      <c r="G289" s="59"/>
      <c r="H289" s="59"/>
      <c r="I289" s="59"/>
      <c r="J289" s="59"/>
      <c r="K289" s="69">
        <f t="shared" si="47"/>
        <v>0</v>
      </c>
      <c r="L289" s="70">
        <f t="shared" si="48"/>
        <v>0</v>
      </c>
      <c r="N289" s="206">
        <f t="shared" si="46"/>
        <v>0</v>
      </c>
    </row>
    <row r="290" spans="1:14" x14ac:dyDescent="0.4">
      <c r="A290" s="56"/>
      <c r="B290" s="66"/>
      <c r="C290" s="66"/>
      <c r="D290" s="66"/>
      <c r="E290" s="59"/>
      <c r="F290" s="59"/>
      <c r="G290" s="59"/>
      <c r="H290" s="59"/>
      <c r="I290" s="59"/>
      <c r="J290" s="59"/>
      <c r="K290" s="69">
        <f t="shared" si="47"/>
        <v>0</v>
      </c>
      <c r="L290" s="70">
        <f t="shared" si="48"/>
        <v>0</v>
      </c>
      <c r="N290" s="206">
        <f t="shared" si="46"/>
        <v>0</v>
      </c>
    </row>
    <row r="291" spans="1:14" x14ac:dyDescent="0.4">
      <c r="A291" s="56"/>
      <c r="B291" s="66"/>
      <c r="C291" s="66"/>
      <c r="D291" s="66"/>
      <c r="E291" s="59"/>
      <c r="F291" s="59"/>
      <c r="G291" s="59"/>
      <c r="H291" s="59"/>
      <c r="I291" s="59"/>
      <c r="J291" s="59"/>
      <c r="K291" s="69">
        <f t="shared" si="47"/>
        <v>0</v>
      </c>
      <c r="L291" s="70">
        <f t="shared" si="48"/>
        <v>0</v>
      </c>
      <c r="N291" s="206">
        <f t="shared" si="46"/>
        <v>0</v>
      </c>
    </row>
    <row r="292" spans="1:14" x14ac:dyDescent="0.4">
      <c r="A292" s="56"/>
      <c r="B292" s="66"/>
      <c r="C292" s="66"/>
      <c r="D292" s="66"/>
      <c r="E292" s="59"/>
      <c r="F292" s="59"/>
      <c r="G292" s="59"/>
      <c r="H292" s="59"/>
      <c r="I292" s="59"/>
      <c r="J292" s="59"/>
      <c r="K292" s="69">
        <f t="shared" si="47"/>
        <v>0</v>
      </c>
      <c r="L292" s="70">
        <f t="shared" si="48"/>
        <v>0</v>
      </c>
      <c r="N292" s="206">
        <f t="shared" si="46"/>
        <v>0</v>
      </c>
    </row>
    <row r="293" spans="1:14" ht="15.4" thickBot="1" x14ac:dyDescent="0.45">
      <c r="A293" s="56"/>
      <c r="B293" s="66"/>
      <c r="C293" s="66"/>
      <c r="D293" s="66"/>
      <c r="E293" s="59"/>
      <c r="F293" s="59"/>
      <c r="G293" s="59"/>
      <c r="H293" s="59"/>
      <c r="I293" s="59"/>
      <c r="J293" s="59"/>
      <c r="K293" s="69">
        <f t="shared" si="47"/>
        <v>0</v>
      </c>
      <c r="L293" s="70">
        <f t="shared" si="48"/>
        <v>0</v>
      </c>
      <c r="N293" s="206">
        <f t="shared" si="46"/>
        <v>0</v>
      </c>
    </row>
    <row r="294" spans="1:14" ht="15.4" thickBot="1" x14ac:dyDescent="0.45">
      <c r="A294" s="60"/>
      <c r="B294" s="61"/>
      <c r="C294" s="61"/>
      <c r="D294" s="72"/>
      <c r="E294" s="61"/>
      <c r="F294" s="61"/>
      <c r="G294" s="61"/>
      <c r="H294" s="61"/>
      <c r="I294" s="61"/>
      <c r="J294" s="61"/>
      <c r="K294" s="152" t="s">
        <v>18</v>
      </c>
      <c r="L294" s="134">
        <f>SUM(L274:L293)</f>
        <v>0</v>
      </c>
      <c r="N294" s="206">
        <f t="shared" si="46"/>
        <v>0</v>
      </c>
    </row>
    <row r="295" spans="1:14" x14ac:dyDescent="0.4">
      <c r="A295" s="198">
        <v>14</v>
      </c>
      <c r="B295" s="166" t="s">
        <v>32</v>
      </c>
      <c r="C295" s="328"/>
      <c r="D295" s="329"/>
      <c r="E295" s="81"/>
      <c r="F295" s="81"/>
      <c r="G295" s="81"/>
      <c r="H295" s="81"/>
      <c r="I295" s="81"/>
      <c r="J295" s="81"/>
      <c r="K295" s="115"/>
      <c r="L295" s="116"/>
      <c r="M295" s="19"/>
      <c r="N295" s="206">
        <f t="shared" si="46"/>
        <v>0</v>
      </c>
    </row>
    <row r="296" spans="1:14" x14ac:dyDescent="0.4">
      <c r="A296" s="56"/>
      <c r="B296" s="66"/>
      <c r="C296" s="66"/>
      <c r="D296" s="66"/>
      <c r="E296" s="59"/>
      <c r="F296" s="59"/>
      <c r="G296" s="59"/>
      <c r="H296" s="59"/>
      <c r="I296" s="59"/>
      <c r="J296" s="59"/>
      <c r="K296" s="69">
        <f t="shared" ref="K296:K315" si="49">IF(G296="TLX",ROUND(N296/32*I296,2),ROUND(N296*I296,2))</f>
        <v>0</v>
      </c>
      <c r="L296" s="70">
        <f t="shared" ref="L296:L315" si="50">SUM(J296+K296)</f>
        <v>0</v>
      </c>
      <c r="N296" s="206">
        <f t="shared" si="46"/>
        <v>0</v>
      </c>
    </row>
    <row r="297" spans="1:14" x14ac:dyDescent="0.4">
      <c r="A297" s="56"/>
      <c r="B297" s="66"/>
      <c r="C297" s="66"/>
      <c r="D297" s="66"/>
      <c r="E297" s="59"/>
      <c r="F297" s="59"/>
      <c r="G297" s="59"/>
      <c r="H297" s="59"/>
      <c r="I297" s="59"/>
      <c r="J297" s="59"/>
      <c r="K297" s="69">
        <f t="shared" si="49"/>
        <v>0</v>
      </c>
      <c r="L297" s="70">
        <f t="shared" si="50"/>
        <v>0</v>
      </c>
      <c r="N297" s="206">
        <f t="shared" si="46"/>
        <v>0</v>
      </c>
    </row>
    <row r="298" spans="1:14" x14ac:dyDescent="0.4">
      <c r="A298" s="56"/>
      <c r="B298" s="66"/>
      <c r="C298" s="66"/>
      <c r="D298" s="66"/>
      <c r="E298" s="59"/>
      <c r="F298" s="59"/>
      <c r="G298" s="59"/>
      <c r="H298" s="59"/>
      <c r="I298" s="59"/>
      <c r="J298" s="59"/>
      <c r="K298" s="69">
        <f t="shared" si="49"/>
        <v>0</v>
      </c>
      <c r="L298" s="70">
        <f t="shared" si="50"/>
        <v>0</v>
      </c>
      <c r="N298" s="206">
        <f t="shared" si="46"/>
        <v>0</v>
      </c>
    </row>
    <row r="299" spans="1:14" x14ac:dyDescent="0.4">
      <c r="A299" s="56"/>
      <c r="B299" s="66"/>
      <c r="C299" s="66"/>
      <c r="D299" s="66"/>
      <c r="E299" s="59"/>
      <c r="F299" s="59"/>
      <c r="G299" s="59"/>
      <c r="H299" s="59"/>
      <c r="I299" s="59"/>
      <c r="J299" s="59"/>
      <c r="K299" s="69">
        <f t="shared" si="49"/>
        <v>0</v>
      </c>
      <c r="L299" s="70">
        <f t="shared" si="50"/>
        <v>0</v>
      </c>
      <c r="N299" s="206">
        <f t="shared" si="46"/>
        <v>0</v>
      </c>
    </row>
    <row r="300" spans="1:14" x14ac:dyDescent="0.4">
      <c r="A300" s="56"/>
      <c r="B300" s="66"/>
      <c r="C300" s="66"/>
      <c r="D300" s="66"/>
      <c r="E300" s="59"/>
      <c r="F300" s="59"/>
      <c r="G300" s="59"/>
      <c r="H300" s="59"/>
      <c r="I300" s="59"/>
      <c r="J300" s="59"/>
      <c r="K300" s="69">
        <f t="shared" si="49"/>
        <v>0</v>
      </c>
      <c r="L300" s="70">
        <f t="shared" si="50"/>
        <v>0</v>
      </c>
      <c r="N300" s="206">
        <f t="shared" si="46"/>
        <v>0</v>
      </c>
    </row>
    <row r="301" spans="1:14" x14ac:dyDescent="0.4">
      <c r="A301" s="56"/>
      <c r="B301" s="66"/>
      <c r="C301" s="66"/>
      <c r="D301" s="66"/>
      <c r="E301" s="59"/>
      <c r="F301" s="59"/>
      <c r="G301" s="59"/>
      <c r="H301" s="59"/>
      <c r="I301" s="59"/>
      <c r="J301" s="59"/>
      <c r="K301" s="69">
        <f t="shared" si="49"/>
        <v>0</v>
      </c>
      <c r="L301" s="70">
        <f t="shared" si="50"/>
        <v>0</v>
      </c>
      <c r="N301" s="206">
        <f t="shared" si="46"/>
        <v>0</v>
      </c>
    </row>
    <row r="302" spans="1:14" x14ac:dyDescent="0.4">
      <c r="A302" s="56"/>
      <c r="B302" s="66"/>
      <c r="C302" s="66"/>
      <c r="D302" s="66"/>
      <c r="E302" s="59"/>
      <c r="F302" s="59"/>
      <c r="G302" s="59"/>
      <c r="H302" s="59"/>
      <c r="I302" s="59"/>
      <c r="J302" s="59"/>
      <c r="K302" s="69">
        <f t="shared" si="49"/>
        <v>0</v>
      </c>
      <c r="L302" s="70">
        <f t="shared" si="50"/>
        <v>0</v>
      </c>
      <c r="N302" s="206">
        <f t="shared" si="46"/>
        <v>0</v>
      </c>
    </row>
    <row r="303" spans="1:14" x14ac:dyDescent="0.4">
      <c r="A303" s="56"/>
      <c r="B303" s="66"/>
      <c r="C303" s="66"/>
      <c r="D303" s="66"/>
      <c r="E303" s="59"/>
      <c r="F303" s="59"/>
      <c r="G303" s="59"/>
      <c r="H303" s="59"/>
      <c r="I303" s="59"/>
      <c r="J303" s="59"/>
      <c r="K303" s="69">
        <f t="shared" si="49"/>
        <v>0</v>
      </c>
      <c r="L303" s="70">
        <f t="shared" si="50"/>
        <v>0</v>
      </c>
      <c r="N303" s="206">
        <f t="shared" si="46"/>
        <v>0</v>
      </c>
    </row>
    <row r="304" spans="1:14" x14ac:dyDescent="0.4">
      <c r="A304" s="56"/>
      <c r="B304" s="66"/>
      <c r="C304" s="66"/>
      <c r="D304" s="66"/>
      <c r="E304" s="59"/>
      <c r="F304" s="59"/>
      <c r="G304" s="59"/>
      <c r="H304" s="59"/>
      <c r="I304" s="59"/>
      <c r="J304" s="59"/>
      <c r="K304" s="69">
        <f t="shared" si="49"/>
        <v>0</v>
      </c>
      <c r="L304" s="70">
        <f t="shared" si="50"/>
        <v>0</v>
      </c>
      <c r="N304" s="206">
        <f t="shared" si="46"/>
        <v>0</v>
      </c>
    </row>
    <row r="305" spans="1:14" x14ac:dyDescent="0.4">
      <c r="A305" s="56"/>
      <c r="B305" s="66"/>
      <c r="C305" s="66"/>
      <c r="D305" s="66"/>
      <c r="E305" s="59"/>
      <c r="F305" s="59"/>
      <c r="G305" s="59"/>
      <c r="H305" s="59"/>
      <c r="I305" s="59"/>
      <c r="J305" s="59"/>
      <c r="K305" s="69">
        <f t="shared" si="49"/>
        <v>0</v>
      </c>
      <c r="L305" s="70">
        <f t="shared" si="50"/>
        <v>0</v>
      </c>
      <c r="N305" s="206">
        <f t="shared" si="46"/>
        <v>0</v>
      </c>
    </row>
    <row r="306" spans="1:14" x14ac:dyDescent="0.4">
      <c r="A306" s="56"/>
      <c r="B306" s="66"/>
      <c r="C306" s="66"/>
      <c r="D306" s="66"/>
      <c r="E306" s="59"/>
      <c r="F306" s="59"/>
      <c r="G306" s="59"/>
      <c r="H306" s="59"/>
      <c r="I306" s="59"/>
      <c r="J306" s="59"/>
      <c r="K306" s="69">
        <f t="shared" si="49"/>
        <v>0</v>
      </c>
      <c r="L306" s="70">
        <f t="shared" si="50"/>
        <v>0</v>
      </c>
      <c r="N306" s="206">
        <f t="shared" si="46"/>
        <v>0</v>
      </c>
    </row>
    <row r="307" spans="1:14" x14ac:dyDescent="0.4">
      <c r="A307" s="56"/>
      <c r="B307" s="66"/>
      <c r="C307" s="66"/>
      <c r="D307" s="66"/>
      <c r="E307" s="59"/>
      <c r="F307" s="59"/>
      <c r="G307" s="59"/>
      <c r="H307" s="59"/>
      <c r="I307" s="59"/>
      <c r="J307" s="59"/>
      <c r="K307" s="69">
        <f t="shared" si="49"/>
        <v>0</v>
      </c>
      <c r="L307" s="70">
        <f t="shared" si="50"/>
        <v>0</v>
      </c>
      <c r="N307" s="206">
        <f t="shared" si="46"/>
        <v>0</v>
      </c>
    </row>
    <row r="308" spans="1:14" x14ac:dyDescent="0.4">
      <c r="A308" s="56"/>
      <c r="B308" s="66"/>
      <c r="C308" s="66"/>
      <c r="D308" s="66"/>
      <c r="E308" s="59"/>
      <c r="F308" s="59"/>
      <c r="G308" s="59"/>
      <c r="H308" s="59"/>
      <c r="I308" s="59"/>
      <c r="J308" s="59"/>
      <c r="K308" s="69">
        <f t="shared" si="49"/>
        <v>0</v>
      </c>
      <c r="L308" s="70">
        <f t="shared" si="50"/>
        <v>0</v>
      </c>
      <c r="N308" s="206">
        <f t="shared" si="46"/>
        <v>0</v>
      </c>
    </row>
    <row r="309" spans="1:14" x14ac:dyDescent="0.4">
      <c r="A309" s="56"/>
      <c r="B309" s="66"/>
      <c r="C309" s="66"/>
      <c r="D309" s="66"/>
      <c r="E309" s="59"/>
      <c r="F309" s="59"/>
      <c r="G309" s="59"/>
      <c r="H309" s="59"/>
      <c r="I309" s="59"/>
      <c r="J309" s="59"/>
      <c r="K309" s="69">
        <f t="shared" si="49"/>
        <v>0</v>
      </c>
      <c r="L309" s="70">
        <f t="shared" si="50"/>
        <v>0</v>
      </c>
      <c r="N309" s="206">
        <f t="shared" si="46"/>
        <v>0</v>
      </c>
    </row>
    <row r="310" spans="1:14" x14ac:dyDescent="0.4">
      <c r="A310" s="56"/>
      <c r="B310" s="66"/>
      <c r="C310" s="66"/>
      <c r="D310" s="66"/>
      <c r="E310" s="59"/>
      <c r="F310" s="59"/>
      <c r="G310" s="59"/>
      <c r="H310" s="59"/>
      <c r="I310" s="59"/>
      <c r="J310" s="59"/>
      <c r="K310" s="69">
        <f t="shared" si="49"/>
        <v>0</v>
      </c>
      <c r="L310" s="70">
        <f t="shared" si="50"/>
        <v>0</v>
      </c>
      <c r="N310" s="206">
        <f t="shared" si="46"/>
        <v>0</v>
      </c>
    </row>
    <row r="311" spans="1:14" x14ac:dyDescent="0.4">
      <c r="A311" s="56"/>
      <c r="B311" s="66"/>
      <c r="C311" s="66"/>
      <c r="D311" s="66"/>
      <c r="E311" s="59"/>
      <c r="F311" s="59"/>
      <c r="G311" s="59"/>
      <c r="H311" s="59"/>
      <c r="I311" s="59"/>
      <c r="J311" s="59"/>
      <c r="K311" s="69">
        <f t="shared" si="49"/>
        <v>0</v>
      </c>
      <c r="L311" s="70">
        <f t="shared" si="50"/>
        <v>0</v>
      </c>
      <c r="N311" s="206">
        <f t="shared" si="46"/>
        <v>0</v>
      </c>
    </row>
    <row r="312" spans="1:14" x14ac:dyDescent="0.4">
      <c r="A312" s="56"/>
      <c r="B312" s="66"/>
      <c r="C312" s="66"/>
      <c r="D312" s="66"/>
      <c r="E312" s="59"/>
      <c r="F312" s="59"/>
      <c r="G312" s="59"/>
      <c r="H312" s="59"/>
      <c r="I312" s="59"/>
      <c r="J312" s="59"/>
      <c r="K312" s="69">
        <f t="shared" si="49"/>
        <v>0</v>
      </c>
      <c r="L312" s="70">
        <f t="shared" si="50"/>
        <v>0</v>
      </c>
      <c r="N312" s="206">
        <f t="shared" si="46"/>
        <v>0</v>
      </c>
    </row>
    <row r="313" spans="1:14" x14ac:dyDescent="0.4">
      <c r="A313" s="56"/>
      <c r="B313" s="66"/>
      <c r="C313" s="66"/>
      <c r="D313" s="66"/>
      <c r="E313" s="59"/>
      <c r="F313" s="59"/>
      <c r="G313" s="59"/>
      <c r="H313" s="59"/>
      <c r="I313" s="59"/>
      <c r="J313" s="59"/>
      <c r="K313" s="69">
        <f t="shared" si="49"/>
        <v>0</v>
      </c>
      <c r="L313" s="70">
        <f t="shared" si="50"/>
        <v>0</v>
      </c>
      <c r="N313" s="206">
        <f t="shared" si="46"/>
        <v>0</v>
      </c>
    </row>
    <row r="314" spans="1:14" x14ac:dyDescent="0.4">
      <c r="A314" s="56"/>
      <c r="B314" s="66"/>
      <c r="C314" s="66"/>
      <c r="D314" s="66"/>
      <c r="E314" s="59"/>
      <c r="F314" s="59"/>
      <c r="G314" s="59"/>
      <c r="H314" s="59"/>
      <c r="I314" s="59"/>
      <c r="J314" s="59"/>
      <c r="K314" s="69">
        <f t="shared" si="49"/>
        <v>0</v>
      </c>
      <c r="L314" s="70">
        <f t="shared" si="50"/>
        <v>0</v>
      </c>
      <c r="N314" s="206">
        <f t="shared" si="46"/>
        <v>0</v>
      </c>
    </row>
    <row r="315" spans="1:14" ht="15.4" thickBot="1" x14ac:dyDescent="0.45">
      <c r="A315" s="56"/>
      <c r="B315" s="66"/>
      <c r="C315" s="66"/>
      <c r="D315" s="66"/>
      <c r="E315" s="59"/>
      <c r="F315" s="59"/>
      <c r="G315" s="59"/>
      <c r="H315" s="59"/>
      <c r="I315" s="59"/>
      <c r="J315" s="59"/>
      <c r="K315" s="69">
        <f t="shared" si="49"/>
        <v>0</v>
      </c>
      <c r="L315" s="70">
        <f t="shared" si="50"/>
        <v>0</v>
      </c>
      <c r="N315" s="206">
        <f t="shared" ref="N315:N338" si="51">SUM(E315+F315/60)</f>
        <v>0</v>
      </c>
    </row>
    <row r="316" spans="1:14" ht="15.4" thickBot="1" x14ac:dyDescent="0.45">
      <c r="A316" s="60"/>
      <c r="B316" s="61"/>
      <c r="C316" s="61"/>
      <c r="D316" s="72"/>
      <c r="E316" s="61"/>
      <c r="F316" s="61"/>
      <c r="G316" s="61"/>
      <c r="H316" s="61"/>
      <c r="I316" s="61"/>
      <c r="J316" s="61"/>
      <c r="K316" s="152" t="s">
        <v>18</v>
      </c>
      <c r="L316" s="134">
        <f>SUM(L296:L315)</f>
        <v>0</v>
      </c>
      <c r="N316" s="206">
        <f t="shared" si="51"/>
        <v>0</v>
      </c>
    </row>
    <row r="317" spans="1:14" x14ac:dyDescent="0.4">
      <c r="A317" s="198">
        <v>15</v>
      </c>
      <c r="B317" s="166" t="s">
        <v>32</v>
      </c>
      <c r="C317" s="328"/>
      <c r="D317" s="329"/>
      <c r="E317" s="81"/>
      <c r="F317" s="81"/>
      <c r="G317" s="81"/>
      <c r="H317" s="81"/>
      <c r="I317" s="81"/>
      <c r="J317" s="81"/>
      <c r="K317" s="115"/>
      <c r="L317" s="116"/>
      <c r="M317" s="19"/>
      <c r="N317" s="206">
        <f t="shared" si="51"/>
        <v>0</v>
      </c>
    </row>
    <row r="318" spans="1:14" x14ac:dyDescent="0.4">
      <c r="A318" s="56"/>
      <c r="B318" s="66"/>
      <c r="C318" s="66"/>
      <c r="D318" s="66"/>
      <c r="E318" s="59"/>
      <c r="F318" s="59"/>
      <c r="G318" s="59"/>
      <c r="H318" s="59"/>
      <c r="I318" s="59"/>
      <c r="J318" s="59"/>
      <c r="K318" s="69">
        <f t="shared" ref="K318:K337" si="52">IF(G318="TLX",ROUND(N318/32*I318,2),ROUND(N318*I318,2))</f>
        <v>0</v>
      </c>
      <c r="L318" s="70">
        <f t="shared" ref="L318:L337" si="53">SUM(J318+K318)</f>
        <v>0</v>
      </c>
      <c r="N318" s="206">
        <f t="shared" si="51"/>
        <v>0</v>
      </c>
    </row>
    <row r="319" spans="1:14" x14ac:dyDescent="0.4">
      <c r="A319" s="56"/>
      <c r="B319" s="66"/>
      <c r="C319" s="66"/>
      <c r="D319" s="66"/>
      <c r="E319" s="59"/>
      <c r="F319" s="59"/>
      <c r="G319" s="59"/>
      <c r="H319" s="59"/>
      <c r="I319" s="59"/>
      <c r="J319" s="59"/>
      <c r="K319" s="69">
        <f t="shared" si="52"/>
        <v>0</v>
      </c>
      <c r="L319" s="70">
        <f t="shared" si="53"/>
        <v>0</v>
      </c>
      <c r="N319" s="206">
        <f t="shared" si="51"/>
        <v>0</v>
      </c>
    </row>
    <row r="320" spans="1:14" x14ac:dyDescent="0.4">
      <c r="A320" s="56"/>
      <c r="B320" s="66"/>
      <c r="C320" s="66"/>
      <c r="D320" s="66"/>
      <c r="E320" s="59"/>
      <c r="F320" s="59"/>
      <c r="G320" s="59"/>
      <c r="H320" s="59"/>
      <c r="I320" s="59"/>
      <c r="J320" s="59"/>
      <c r="K320" s="69">
        <f t="shared" si="52"/>
        <v>0</v>
      </c>
      <c r="L320" s="70">
        <f t="shared" si="53"/>
        <v>0</v>
      </c>
      <c r="N320" s="206">
        <f t="shared" si="51"/>
        <v>0</v>
      </c>
    </row>
    <row r="321" spans="1:14" x14ac:dyDescent="0.4">
      <c r="A321" s="56"/>
      <c r="B321" s="66"/>
      <c r="C321" s="66"/>
      <c r="D321" s="66"/>
      <c r="E321" s="59"/>
      <c r="F321" s="59"/>
      <c r="G321" s="59"/>
      <c r="H321" s="59"/>
      <c r="I321" s="59"/>
      <c r="J321" s="59"/>
      <c r="K321" s="69">
        <f t="shared" si="52"/>
        <v>0</v>
      </c>
      <c r="L321" s="70">
        <f t="shared" si="53"/>
        <v>0</v>
      </c>
      <c r="N321" s="206">
        <f t="shared" si="51"/>
        <v>0</v>
      </c>
    </row>
    <row r="322" spans="1:14" x14ac:dyDescent="0.4">
      <c r="A322" s="56"/>
      <c r="B322" s="66"/>
      <c r="C322" s="66"/>
      <c r="D322" s="66"/>
      <c r="E322" s="59"/>
      <c r="F322" s="59"/>
      <c r="G322" s="59"/>
      <c r="H322" s="59"/>
      <c r="I322" s="59"/>
      <c r="J322" s="59"/>
      <c r="K322" s="69">
        <f t="shared" si="52"/>
        <v>0</v>
      </c>
      <c r="L322" s="70">
        <f t="shared" si="53"/>
        <v>0</v>
      </c>
      <c r="N322" s="206">
        <f t="shared" si="51"/>
        <v>0</v>
      </c>
    </row>
    <row r="323" spans="1:14" x14ac:dyDescent="0.4">
      <c r="A323" s="56"/>
      <c r="B323" s="66"/>
      <c r="C323" s="66"/>
      <c r="D323" s="66"/>
      <c r="E323" s="59"/>
      <c r="F323" s="59"/>
      <c r="G323" s="59"/>
      <c r="H323" s="59"/>
      <c r="I323" s="59"/>
      <c r="J323" s="59"/>
      <c r="K323" s="69">
        <f t="shared" si="52"/>
        <v>0</v>
      </c>
      <c r="L323" s="70">
        <f t="shared" si="53"/>
        <v>0</v>
      </c>
      <c r="N323" s="206">
        <f t="shared" si="51"/>
        <v>0</v>
      </c>
    </row>
    <row r="324" spans="1:14" x14ac:dyDescent="0.4">
      <c r="A324" s="56"/>
      <c r="B324" s="66"/>
      <c r="C324" s="66"/>
      <c r="D324" s="66"/>
      <c r="E324" s="59"/>
      <c r="F324" s="59"/>
      <c r="G324" s="59"/>
      <c r="H324" s="59"/>
      <c r="I324" s="59"/>
      <c r="J324" s="59"/>
      <c r="K324" s="69">
        <f t="shared" si="52"/>
        <v>0</v>
      </c>
      <c r="L324" s="70">
        <f t="shared" si="53"/>
        <v>0</v>
      </c>
      <c r="N324" s="206">
        <f t="shared" si="51"/>
        <v>0</v>
      </c>
    </row>
    <row r="325" spans="1:14" x14ac:dyDescent="0.4">
      <c r="A325" s="56"/>
      <c r="B325" s="66"/>
      <c r="C325" s="66"/>
      <c r="D325" s="66"/>
      <c r="E325" s="59"/>
      <c r="F325" s="59"/>
      <c r="G325" s="59"/>
      <c r="H325" s="59"/>
      <c r="I325" s="59"/>
      <c r="J325" s="59"/>
      <c r="K325" s="69">
        <f t="shared" si="52"/>
        <v>0</v>
      </c>
      <c r="L325" s="70">
        <f t="shared" si="53"/>
        <v>0</v>
      </c>
      <c r="N325" s="206">
        <f t="shared" si="51"/>
        <v>0</v>
      </c>
    </row>
    <row r="326" spans="1:14" x14ac:dyDescent="0.4">
      <c r="A326" s="56"/>
      <c r="B326" s="66"/>
      <c r="C326" s="66"/>
      <c r="D326" s="66"/>
      <c r="E326" s="59"/>
      <c r="F326" s="59"/>
      <c r="G326" s="59"/>
      <c r="H326" s="59"/>
      <c r="I326" s="59"/>
      <c r="J326" s="59"/>
      <c r="K326" s="69">
        <f t="shared" si="52"/>
        <v>0</v>
      </c>
      <c r="L326" s="70">
        <f t="shared" si="53"/>
        <v>0</v>
      </c>
      <c r="N326" s="206">
        <f t="shared" si="51"/>
        <v>0</v>
      </c>
    </row>
    <row r="327" spans="1:14" x14ac:dyDescent="0.4">
      <c r="A327" s="56"/>
      <c r="B327" s="66"/>
      <c r="C327" s="66"/>
      <c r="D327" s="66"/>
      <c r="E327" s="59"/>
      <c r="F327" s="59"/>
      <c r="G327" s="59"/>
      <c r="H327" s="59"/>
      <c r="I327" s="59"/>
      <c r="J327" s="59"/>
      <c r="K327" s="69">
        <f t="shared" si="52"/>
        <v>0</v>
      </c>
      <c r="L327" s="70">
        <f t="shared" si="53"/>
        <v>0</v>
      </c>
      <c r="N327" s="206">
        <f t="shared" si="51"/>
        <v>0</v>
      </c>
    </row>
    <row r="328" spans="1:14" x14ac:dyDescent="0.4">
      <c r="A328" s="56"/>
      <c r="B328" s="66"/>
      <c r="C328" s="66"/>
      <c r="D328" s="66"/>
      <c r="E328" s="59"/>
      <c r="F328" s="59"/>
      <c r="G328" s="59"/>
      <c r="H328" s="59"/>
      <c r="I328" s="59"/>
      <c r="J328" s="59"/>
      <c r="K328" s="69">
        <f t="shared" si="52"/>
        <v>0</v>
      </c>
      <c r="L328" s="70">
        <f t="shared" si="53"/>
        <v>0</v>
      </c>
      <c r="N328" s="206">
        <f t="shared" si="51"/>
        <v>0</v>
      </c>
    </row>
    <row r="329" spans="1:14" x14ac:dyDescent="0.4">
      <c r="A329" s="56"/>
      <c r="B329" s="66"/>
      <c r="C329" s="66"/>
      <c r="D329" s="66"/>
      <c r="E329" s="59"/>
      <c r="F329" s="59"/>
      <c r="G329" s="59"/>
      <c r="H329" s="59"/>
      <c r="I329" s="59"/>
      <c r="J329" s="59"/>
      <c r="K329" s="69">
        <f t="shared" si="52"/>
        <v>0</v>
      </c>
      <c r="L329" s="70">
        <f t="shared" si="53"/>
        <v>0</v>
      </c>
      <c r="N329" s="206">
        <f t="shared" si="51"/>
        <v>0</v>
      </c>
    </row>
    <row r="330" spans="1:14" x14ac:dyDescent="0.4">
      <c r="A330" s="56"/>
      <c r="B330" s="66"/>
      <c r="C330" s="66"/>
      <c r="D330" s="66"/>
      <c r="E330" s="59"/>
      <c r="F330" s="59"/>
      <c r="G330" s="59"/>
      <c r="H330" s="59"/>
      <c r="I330" s="59"/>
      <c r="J330" s="59"/>
      <c r="K330" s="69">
        <f t="shared" si="52"/>
        <v>0</v>
      </c>
      <c r="L330" s="70">
        <f t="shared" si="53"/>
        <v>0</v>
      </c>
      <c r="N330" s="206">
        <f t="shared" si="51"/>
        <v>0</v>
      </c>
    </row>
    <row r="331" spans="1:14" x14ac:dyDescent="0.4">
      <c r="A331" s="56"/>
      <c r="B331" s="66"/>
      <c r="C331" s="66"/>
      <c r="D331" s="66"/>
      <c r="E331" s="59"/>
      <c r="F331" s="59"/>
      <c r="G331" s="59"/>
      <c r="H331" s="59"/>
      <c r="I331" s="59"/>
      <c r="J331" s="59"/>
      <c r="K331" s="69">
        <f t="shared" si="52"/>
        <v>0</v>
      </c>
      <c r="L331" s="70">
        <f t="shared" si="53"/>
        <v>0</v>
      </c>
      <c r="N331" s="206">
        <f t="shared" si="51"/>
        <v>0</v>
      </c>
    </row>
    <row r="332" spans="1:14" x14ac:dyDescent="0.4">
      <c r="A332" s="56"/>
      <c r="B332" s="66"/>
      <c r="C332" s="66"/>
      <c r="D332" s="66"/>
      <c r="E332" s="59"/>
      <c r="F332" s="59"/>
      <c r="G332" s="59"/>
      <c r="H332" s="59"/>
      <c r="I332" s="59"/>
      <c r="J332" s="59"/>
      <c r="K332" s="69">
        <f t="shared" si="52"/>
        <v>0</v>
      </c>
      <c r="L332" s="70">
        <f t="shared" si="53"/>
        <v>0</v>
      </c>
      <c r="N332" s="206">
        <f t="shared" si="51"/>
        <v>0</v>
      </c>
    </row>
    <row r="333" spans="1:14" x14ac:dyDescent="0.4">
      <c r="A333" s="56"/>
      <c r="B333" s="66"/>
      <c r="C333" s="66"/>
      <c r="D333" s="66"/>
      <c r="E333" s="59"/>
      <c r="F333" s="59"/>
      <c r="G333" s="59"/>
      <c r="H333" s="59"/>
      <c r="I333" s="59"/>
      <c r="J333" s="59"/>
      <c r="K333" s="69">
        <f t="shared" si="52"/>
        <v>0</v>
      </c>
      <c r="L333" s="70">
        <f t="shared" si="53"/>
        <v>0</v>
      </c>
      <c r="N333" s="206">
        <f t="shared" si="51"/>
        <v>0</v>
      </c>
    </row>
    <row r="334" spans="1:14" x14ac:dyDescent="0.4">
      <c r="A334" s="56"/>
      <c r="B334" s="66"/>
      <c r="C334" s="66"/>
      <c r="D334" s="66"/>
      <c r="E334" s="59"/>
      <c r="F334" s="59"/>
      <c r="G334" s="59"/>
      <c r="H334" s="59"/>
      <c r="I334" s="59"/>
      <c r="J334" s="59"/>
      <c r="K334" s="69">
        <f t="shared" si="52"/>
        <v>0</v>
      </c>
      <c r="L334" s="70">
        <f t="shared" si="53"/>
        <v>0</v>
      </c>
      <c r="N334" s="206">
        <f t="shared" si="51"/>
        <v>0</v>
      </c>
    </row>
    <row r="335" spans="1:14" x14ac:dyDescent="0.4">
      <c r="A335" s="56"/>
      <c r="B335" s="66"/>
      <c r="C335" s="66"/>
      <c r="D335" s="66"/>
      <c r="E335" s="59"/>
      <c r="F335" s="59"/>
      <c r="G335" s="59"/>
      <c r="H335" s="59"/>
      <c r="I335" s="59"/>
      <c r="J335" s="59"/>
      <c r="K335" s="69">
        <f t="shared" si="52"/>
        <v>0</v>
      </c>
      <c r="L335" s="70">
        <f t="shared" si="53"/>
        <v>0</v>
      </c>
      <c r="N335" s="206">
        <f t="shared" si="51"/>
        <v>0</v>
      </c>
    </row>
    <row r="336" spans="1:14" x14ac:dyDescent="0.4">
      <c r="A336" s="56"/>
      <c r="B336" s="66"/>
      <c r="C336" s="66"/>
      <c r="D336" s="66"/>
      <c r="E336" s="59"/>
      <c r="F336" s="59"/>
      <c r="G336" s="59"/>
      <c r="H336" s="59"/>
      <c r="I336" s="59"/>
      <c r="J336" s="59"/>
      <c r="K336" s="69">
        <f t="shared" si="52"/>
        <v>0</v>
      </c>
      <c r="L336" s="70">
        <f t="shared" si="53"/>
        <v>0</v>
      </c>
      <c r="N336" s="206">
        <f t="shared" si="51"/>
        <v>0</v>
      </c>
    </row>
    <row r="337" spans="1:14" ht="15.4" thickBot="1" x14ac:dyDescent="0.45">
      <c r="A337" s="56"/>
      <c r="B337" s="66"/>
      <c r="C337" s="66"/>
      <c r="D337" s="66"/>
      <c r="E337" s="59"/>
      <c r="F337" s="59"/>
      <c r="G337" s="59"/>
      <c r="H337" s="59"/>
      <c r="I337" s="59"/>
      <c r="J337" s="59"/>
      <c r="K337" s="69">
        <f t="shared" si="52"/>
        <v>0</v>
      </c>
      <c r="L337" s="70">
        <f t="shared" si="53"/>
        <v>0</v>
      </c>
      <c r="N337" s="206">
        <f t="shared" si="51"/>
        <v>0</v>
      </c>
    </row>
    <row r="338" spans="1:14" ht="15.4" thickBot="1" x14ac:dyDescent="0.45">
      <c r="A338" s="60"/>
      <c r="B338" s="61"/>
      <c r="C338" s="61"/>
      <c r="D338" s="72"/>
      <c r="E338" s="61"/>
      <c r="F338" s="61"/>
      <c r="G338" s="61"/>
      <c r="H338" s="61"/>
      <c r="I338" s="61"/>
      <c r="J338" s="61"/>
      <c r="K338" s="152" t="s">
        <v>18</v>
      </c>
      <c r="L338" s="134">
        <f>SUM(L318:L337)</f>
        <v>0</v>
      </c>
      <c r="N338" s="206">
        <f t="shared" si="51"/>
        <v>0</v>
      </c>
    </row>
    <row r="339" spans="1:14" x14ac:dyDescent="0.4">
      <c r="A339" s="198">
        <v>16</v>
      </c>
      <c r="B339" s="166" t="s">
        <v>33</v>
      </c>
      <c r="C339" s="328" t="s">
        <v>63</v>
      </c>
      <c r="D339" s="329"/>
      <c r="E339" s="81"/>
      <c r="F339" s="81"/>
      <c r="G339" s="81"/>
      <c r="H339" s="81"/>
      <c r="I339" s="81"/>
      <c r="J339" s="81"/>
      <c r="K339" s="115"/>
      <c r="L339" s="116"/>
      <c r="M339" s="19"/>
      <c r="N339" s="206">
        <f t="shared" ref="N339:N380" si="54">SUM(E339+F339/60)</f>
        <v>0</v>
      </c>
    </row>
    <row r="340" spans="1:14" x14ac:dyDescent="0.4">
      <c r="A340" s="56"/>
      <c r="B340" s="114"/>
      <c r="C340" s="114"/>
      <c r="D340" s="114"/>
      <c r="E340" s="59"/>
      <c r="F340" s="59"/>
      <c r="G340" s="113"/>
      <c r="H340" s="59"/>
      <c r="I340" s="59"/>
      <c r="J340" s="59"/>
      <c r="K340" s="69">
        <f t="shared" ref="K340:K359" si="55">IF(G340="TLX",ROUND(N340/32*I340,2),ROUND(N340*I340,2))</f>
        <v>0</v>
      </c>
      <c r="L340" s="70">
        <f t="shared" ref="L340:L359" si="56">SUM(J340+K340)</f>
        <v>0</v>
      </c>
      <c r="N340" s="206">
        <f t="shared" si="54"/>
        <v>0</v>
      </c>
    </row>
    <row r="341" spans="1:14" x14ac:dyDescent="0.4">
      <c r="A341" s="56"/>
      <c r="B341" s="66"/>
      <c r="C341" s="66"/>
      <c r="D341" s="114"/>
      <c r="E341" s="59"/>
      <c r="F341" s="59"/>
      <c r="G341" s="59"/>
      <c r="H341" s="59"/>
      <c r="I341" s="59"/>
      <c r="J341" s="59"/>
      <c r="K341" s="69">
        <f t="shared" si="55"/>
        <v>0</v>
      </c>
      <c r="L341" s="70">
        <f t="shared" si="56"/>
        <v>0</v>
      </c>
      <c r="N341" s="206">
        <f t="shared" si="54"/>
        <v>0</v>
      </c>
    </row>
    <row r="342" spans="1:14" x14ac:dyDescent="0.4">
      <c r="A342" s="56"/>
      <c r="B342" s="66"/>
      <c r="C342" s="66"/>
      <c r="D342" s="66"/>
      <c r="E342" s="59"/>
      <c r="F342" s="59"/>
      <c r="G342" s="59"/>
      <c r="H342" s="59"/>
      <c r="I342" s="59"/>
      <c r="J342" s="59"/>
      <c r="K342" s="69">
        <f t="shared" si="55"/>
        <v>0</v>
      </c>
      <c r="L342" s="70">
        <f t="shared" si="56"/>
        <v>0</v>
      </c>
      <c r="N342" s="206">
        <f t="shared" si="54"/>
        <v>0</v>
      </c>
    </row>
    <row r="343" spans="1:14" x14ac:dyDescent="0.4">
      <c r="A343" s="56"/>
      <c r="B343" s="66"/>
      <c r="C343" s="66"/>
      <c r="D343" s="66"/>
      <c r="E343" s="59"/>
      <c r="F343" s="59"/>
      <c r="G343" s="59"/>
      <c r="H343" s="59"/>
      <c r="I343" s="59"/>
      <c r="J343" s="59"/>
      <c r="K343" s="69">
        <f t="shared" si="55"/>
        <v>0</v>
      </c>
      <c r="L343" s="70">
        <f t="shared" si="56"/>
        <v>0</v>
      </c>
      <c r="N343" s="206">
        <f t="shared" si="54"/>
        <v>0</v>
      </c>
    </row>
    <row r="344" spans="1:14" x14ac:dyDescent="0.4">
      <c r="A344" s="56"/>
      <c r="B344" s="66"/>
      <c r="C344" s="66"/>
      <c r="D344" s="66"/>
      <c r="E344" s="59"/>
      <c r="F344" s="59"/>
      <c r="G344" s="59"/>
      <c r="H344" s="59"/>
      <c r="I344" s="59"/>
      <c r="J344" s="59"/>
      <c r="K344" s="69">
        <f t="shared" si="55"/>
        <v>0</v>
      </c>
      <c r="L344" s="70">
        <f t="shared" si="56"/>
        <v>0</v>
      </c>
      <c r="N344" s="206">
        <f t="shared" si="54"/>
        <v>0</v>
      </c>
    </row>
    <row r="345" spans="1:14" x14ac:dyDescent="0.4">
      <c r="A345" s="56"/>
      <c r="B345" s="66"/>
      <c r="C345" s="66"/>
      <c r="D345" s="66"/>
      <c r="E345" s="59"/>
      <c r="F345" s="59"/>
      <c r="G345" s="59"/>
      <c r="H345" s="59"/>
      <c r="I345" s="59"/>
      <c r="J345" s="59"/>
      <c r="K345" s="69">
        <f t="shared" si="55"/>
        <v>0</v>
      </c>
      <c r="L345" s="70">
        <f t="shared" si="56"/>
        <v>0</v>
      </c>
      <c r="N345" s="206">
        <f t="shared" si="54"/>
        <v>0</v>
      </c>
    </row>
    <row r="346" spans="1:14" x14ac:dyDescent="0.4">
      <c r="A346" s="56"/>
      <c r="B346" s="66"/>
      <c r="C346" s="66"/>
      <c r="D346" s="66"/>
      <c r="E346" s="59"/>
      <c r="F346" s="59"/>
      <c r="G346" s="59"/>
      <c r="H346" s="59"/>
      <c r="I346" s="59"/>
      <c r="J346" s="59"/>
      <c r="K346" s="69">
        <f t="shared" si="55"/>
        <v>0</v>
      </c>
      <c r="L346" s="70">
        <f t="shared" si="56"/>
        <v>0</v>
      </c>
      <c r="N346" s="206">
        <f t="shared" si="54"/>
        <v>0</v>
      </c>
    </row>
    <row r="347" spans="1:14" x14ac:dyDescent="0.4">
      <c r="A347" s="56"/>
      <c r="B347" s="66"/>
      <c r="C347" s="66"/>
      <c r="D347" s="66"/>
      <c r="E347" s="59"/>
      <c r="F347" s="59"/>
      <c r="G347" s="59"/>
      <c r="H347" s="59"/>
      <c r="I347" s="59"/>
      <c r="J347" s="59"/>
      <c r="K347" s="69">
        <f t="shared" si="55"/>
        <v>0</v>
      </c>
      <c r="L347" s="70">
        <f t="shared" si="56"/>
        <v>0</v>
      </c>
      <c r="N347" s="206">
        <f t="shared" si="54"/>
        <v>0</v>
      </c>
    </row>
    <row r="348" spans="1:14" x14ac:dyDescent="0.4">
      <c r="A348" s="56"/>
      <c r="B348" s="66"/>
      <c r="C348" s="66"/>
      <c r="D348" s="66"/>
      <c r="E348" s="59"/>
      <c r="F348" s="59"/>
      <c r="G348" s="59"/>
      <c r="H348" s="59"/>
      <c r="I348" s="59"/>
      <c r="J348" s="59"/>
      <c r="K348" s="69">
        <f t="shared" si="55"/>
        <v>0</v>
      </c>
      <c r="L348" s="70">
        <f t="shared" si="56"/>
        <v>0</v>
      </c>
      <c r="N348" s="206">
        <f t="shared" si="54"/>
        <v>0</v>
      </c>
    </row>
    <row r="349" spans="1:14" x14ac:dyDescent="0.4">
      <c r="A349" s="56"/>
      <c r="B349" s="66"/>
      <c r="C349" s="66"/>
      <c r="D349" s="66"/>
      <c r="E349" s="59"/>
      <c r="F349" s="59"/>
      <c r="G349" s="59"/>
      <c r="H349" s="59"/>
      <c r="I349" s="59"/>
      <c r="J349" s="59"/>
      <c r="K349" s="69">
        <f t="shared" si="55"/>
        <v>0</v>
      </c>
      <c r="L349" s="70">
        <f t="shared" si="56"/>
        <v>0</v>
      </c>
      <c r="N349" s="206">
        <f t="shared" si="54"/>
        <v>0</v>
      </c>
    </row>
    <row r="350" spans="1:14" x14ac:dyDescent="0.4">
      <c r="A350" s="56"/>
      <c r="B350" s="66"/>
      <c r="C350" s="66"/>
      <c r="D350" s="66"/>
      <c r="E350" s="59"/>
      <c r="F350" s="59"/>
      <c r="G350" s="59"/>
      <c r="H350" s="59"/>
      <c r="I350" s="59"/>
      <c r="J350" s="59"/>
      <c r="K350" s="69">
        <f t="shared" si="55"/>
        <v>0</v>
      </c>
      <c r="L350" s="70">
        <f t="shared" si="56"/>
        <v>0</v>
      </c>
      <c r="N350" s="206">
        <f t="shared" si="54"/>
        <v>0</v>
      </c>
    </row>
    <row r="351" spans="1:14" x14ac:dyDescent="0.4">
      <c r="A351" s="56"/>
      <c r="B351" s="66"/>
      <c r="C351" s="66"/>
      <c r="D351" s="66"/>
      <c r="E351" s="59"/>
      <c r="F351" s="59"/>
      <c r="G351" s="59"/>
      <c r="H351" s="59"/>
      <c r="I351" s="59"/>
      <c r="J351" s="59"/>
      <c r="K351" s="69">
        <f t="shared" si="55"/>
        <v>0</v>
      </c>
      <c r="L351" s="70">
        <f t="shared" si="56"/>
        <v>0</v>
      </c>
      <c r="N351" s="206">
        <f t="shared" si="54"/>
        <v>0</v>
      </c>
    </row>
    <row r="352" spans="1:14" x14ac:dyDescent="0.4">
      <c r="A352" s="56"/>
      <c r="B352" s="66"/>
      <c r="C352" s="66"/>
      <c r="D352" s="66"/>
      <c r="E352" s="59"/>
      <c r="F352" s="59"/>
      <c r="G352" s="59"/>
      <c r="H352" s="59"/>
      <c r="I352" s="59"/>
      <c r="J352" s="59"/>
      <c r="K352" s="69">
        <f t="shared" si="55"/>
        <v>0</v>
      </c>
      <c r="L352" s="70">
        <f t="shared" si="56"/>
        <v>0</v>
      </c>
      <c r="N352" s="206">
        <f t="shared" si="54"/>
        <v>0</v>
      </c>
    </row>
    <row r="353" spans="1:14" x14ac:dyDescent="0.4">
      <c r="A353" s="56"/>
      <c r="B353" s="66"/>
      <c r="C353" s="66"/>
      <c r="D353" s="66"/>
      <c r="E353" s="59"/>
      <c r="F353" s="59"/>
      <c r="G353" s="59"/>
      <c r="H353" s="59"/>
      <c r="I353" s="59"/>
      <c r="J353" s="59"/>
      <c r="K353" s="69">
        <f t="shared" si="55"/>
        <v>0</v>
      </c>
      <c r="L353" s="70">
        <f t="shared" si="56"/>
        <v>0</v>
      </c>
      <c r="N353" s="206">
        <f t="shared" si="54"/>
        <v>0</v>
      </c>
    </row>
    <row r="354" spans="1:14" x14ac:dyDescent="0.4">
      <c r="A354" s="56"/>
      <c r="B354" s="66"/>
      <c r="C354" s="66"/>
      <c r="D354" s="66"/>
      <c r="E354" s="59"/>
      <c r="F354" s="59"/>
      <c r="G354" s="59"/>
      <c r="H354" s="59"/>
      <c r="I354" s="59"/>
      <c r="J354" s="59"/>
      <c r="K354" s="69">
        <f t="shared" si="55"/>
        <v>0</v>
      </c>
      <c r="L354" s="70">
        <f t="shared" si="56"/>
        <v>0</v>
      </c>
      <c r="N354" s="206">
        <f t="shared" si="54"/>
        <v>0</v>
      </c>
    </row>
    <row r="355" spans="1:14" x14ac:dyDescent="0.4">
      <c r="A355" s="56"/>
      <c r="B355" s="66"/>
      <c r="C355" s="66"/>
      <c r="D355" s="66"/>
      <c r="E355" s="59"/>
      <c r="F355" s="59"/>
      <c r="G355" s="59"/>
      <c r="H355" s="59"/>
      <c r="I355" s="59"/>
      <c r="J355" s="59"/>
      <c r="K355" s="69">
        <f t="shared" si="55"/>
        <v>0</v>
      </c>
      <c r="L355" s="70">
        <f t="shared" si="56"/>
        <v>0</v>
      </c>
      <c r="N355" s="206">
        <f t="shared" si="54"/>
        <v>0</v>
      </c>
    </row>
    <row r="356" spans="1:14" x14ac:dyDescent="0.4">
      <c r="A356" s="56"/>
      <c r="B356" s="66"/>
      <c r="C356" s="66"/>
      <c r="D356" s="66"/>
      <c r="E356" s="59"/>
      <c r="F356" s="59"/>
      <c r="G356" s="59"/>
      <c r="H356" s="59"/>
      <c r="I356" s="59"/>
      <c r="J356" s="59"/>
      <c r="K356" s="69">
        <f t="shared" si="55"/>
        <v>0</v>
      </c>
      <c r="L356" s="70">
        <f t="shared" si="56"/>
        <v>0</v>
      </c>
      <c r="N356" s="206">
        <f t="shared" si="54"/>
        <v>0</v>
      </c>
    </row>
    <row r="357" spans="1:14" x14ac:dyDescent="0.4">
      <c r="A357" s="56"/>
      <c r="B357" s="66"/>
      <c r="C357" s="66"/>
      <c r="D357" s="66"/>
      <c r="E357" s="59"/>
      <c r="F357" s="59"/>
      <c r="G357" s="59"/>
      <c r="H357" s="59"/>
      <c r="I357" s="59"/>
      <c r="J357" s="59"/>
      <c r="K357" s="69">
        <f t="shared" si="55"/>
        <v>0</v>
      </c>
      <c r="L357" s="70">
        <f t="shared" si="56"/>
        <v>0</v>
      </c>
      <c r="N357" s="206">
        <f t="shared" si="54"/>
        <v>0</v>
      </c>
    </row>
    <row r="358" spans="1:14" x14ac:dyDescent="0.4">
      <c r="A358" s="56"/>
      <c r="B358" s="66"/>
      <c r="C358" s="66"/>
      <c r="D358" s="66"/>
      <c r="E358" s="59"/>
      <c r="F358" s="59"/>
      <c r="G358" s="59"/>
      <c r="H358" s="59"/>
      <c r="I358" s="59"/>
      <c r="J358" s="59"/>
      <c r="K358" s="69">
        <f t="shared" si="55"/>
        <v>0</v>
      </c>
      <c r="L358" s="70">
        <f t="shared" si="56"/>
        <v>0</v>
      </c>
      <c r="N358" s="206">
        <f t="shared" si="54"/>
        <v>0</v>
      </c>
    </row>
    <row r="359" spans="1:14" ht="15.4" thickBot="1" x14ac:dyDescent="0.45">
      <c r="A359" s="56"/>
      <c r="B359" s="66"/>
      <c r="C359" s="66"/>
      <c r="D359" s="66"/>
      <c r="E359" s="59"/>
      <c r="F359" s="59"/>
      <c r="G359" s="59"/>
      <c r="H359" s="59"/>
      <c r="I359" s="59"/>
      <c r="J359" s="59"/>
      <c r="K359" s="69">
        <f t="shared" si="55"/>
        <v>0</v>
      </c>
      <c r="L359" s="70">
        <f t="shared" si="56"/>
        <v>0</v>
      </c>
      <c r="N359" s="206">
        <f t="shared" si="54"/>
        <v>0</v>
      </c>
    </row>
    <row r="360" spans="1:14" ht="15.4" thickBot="1" x14ac:dyDescent="0.45">
      <c r="A360" s="60"/>
      <c r="B360" s="61"/>
      <c r="C360" s="61"/>
      <c r="D360" s="72"/>
      <c r="E360" s="61"/>
      <c r="F360" s="61"/>
      <c r="G360" s="61"/>
      <c r="H360" s="61"/>
      <c r="I360" s="61"/>
      <c r="J360" s="61"/>
      <c r="K360" s="152" t="s">
        <v>18</v>
      </c>
      <c r="L360" s="134">
        <f>SUM(L340:L359)</f>
        <v>0</v>
      </c>
      <c r="N360" s="206">
        <f t="shared" si="54"/>
        <v>0</v>
      </c>
    </row>
    <row r="361" spans="1:14" x14ac:dyDescent="0.4">
      <c r="A361" s="198">
        <v>17</v>
      </c>
      <c r="B361" s="166" t="s">
        <v>34</v>
      </c>
      <c r="C361" s="328"/>
      <c r="D361" s="329"/>
      <c r="E361" s="81"/>
      <c r="F361" s="81"/>
      <c r="G361" s="81"/>
      <c r="H361" s="81"/>
      <c r="I361" s="81"/>
      <c r="J361" s="81"/>
      <c r="K361" s="115"/>
      <c r="L361" s="116"/>
      <c r="M361" s="19"/>
      <c r="N361" s="206">
        <f t="shared" si="54"/>
        <v>0</v>
      </c>
    </row>
    <row r="362" spans="1:14" x14ac:dyDescent="0.4">
      <c r="A362" s="56"/>
      <c r="B362" s="66"/>
      <c r="C362" s="66"/>
      <c r="D362" s="66"/>
      <c r="E362" s="59"/>
      <c r="F362" s="59"/>
      <c r="G362" s="59"/>
      <c r="H362" s="59"/>
      <c r="I362" s="59"/>
      <c r="J362" s="59"/>
      <c r="K362" s="69">
        <f t="shared" ref="K362:K381" si="57">IF(G362="TLX",ROUND(N362/32*I362,2),ROUND(N362*I362,2))</f>
        <v>0</v>
      </c>
      <c r="L362" s="70">
        <f t="shared" ref="L362:L381" si="58">SUM(J362+K362)</f>
        <v>0</v>
      </c>
      <c r="N362" s="206">
        <f t="shared" si="54"/>
        <v>0</v>
      </c>
    </row>
    <row r="363" spans="1:14" x14ac:dyDescent="0.4">
      <c r="A363" s="56"/>
      <c r="B363" s="66"/>
      <c r="C363" s="66"/>
      <c r="D363" s="66"/>
      <c r="E363" s="59"/>
      <c r="F363" s="59"/>
      <c r="G363" s="59"/>
      <c r="H363" s="59"/>
      <c r="I363" s="59"/>
      <c r="J363" s="59"/>
      <c r="K363" s="69">
        <f t="shared" si="57"/>
        <v>0</v>
      </c>
      <c r="L363" s="70">
        <f t="shared" si="58"/>
        <v>0</v>
      </c>
      <c r="N363" s="206">
        <f t="shared" si="54"/>
        <v>0</v>
      </c>
    </row>
    <row r="364" spans="1:14" x14ac:dyDescent="0.4">
      <c r="A364" s="56"/>
      <c r="B364" s="66"/>
      <c r="C364" s="66"/>
      <c r="D364" s="66"/>
      <c r="E364" s="59"/>
      <c r="F364" s="59"/>
      <c r="G364" s="59"/>
      <c r="H364" s="59"/>
      <c r="I364" s="59"/>
      <c r="J364" s="59"/>
      <c r="K364" s="69">
        <f t="shared" si="57"/>
        <v>0</v>
      </c>
      <c r="L364" s="70">
        <f t="shared" si="58"/>
        <v>0</v>
      </c>
      <c r="N364" s="206">
        <f t="shared" si="54"/>
        <v>0</v>
      </c>
    </row>
    <row r="365" spans="1:14" x14ac:dyDescent="0.4">
      <c r="A365" s="56"/>
      <c r="B365" s="66"/>
      <c r="C365" s="66"/>
      <c r="D365" s="66"/>
      <c r="E365" s="59"/>
      <c r="F365" s="59"/>
      <c r="G365" s="59"/>
      <c r="H365" s="59"/>
      <c r="I365" s="59"/>
      <c r="J365" s="59"/>
      <c r="K365" s="69">
        <f t="shared" si="57"/>
        <v>0</v>
      </c>
      <c r="L365" s="70">
        <f t="shared" si="58"/>
        <v>0</v>
      </c>
      <c r="N365" s="206">
        <f t="shared" si="54"/>
        <v>0</v>
      </c>
    </row>
    <row r="366" spans="1:14" x14ac:dyDescent="0.4">
      <c r="A366" s="56"/>
      <c r="B366" s="66"/>
      <c r="C366" s="66"/>
      <c r="D366" s="66"/>
      <c r="E366" s="59"/>
      <c r="F366" s="59"/>
      <c r="G366" s="59"/>
      <c r="H366" s="59"/>
      <c r="I366" s="59"/>
      <c r="J366" s="59"/>
      <c r="K366" s="69">
        <f t="shared" si="57"/>
        <v>0</v>
      </c>
      <c r="L366" s="70">
        <f t="shared" si="58"/>
        <v>0</v>
      </c>
      <c r="N366" s="206">
        <f t="shared" si="54"/>
        <v>0</v>
      </c>
    </row>
    <row r="367" spans="1:14" x14ac:dyDescent="0.4">
      <c r="A367" s="56"/>
      <c r="B367" s="66"/>
      <c r="C367" s="66"/>
      <c r="D367" s="66"/>
      <c r="E367" s="59"/>
      <c r="F367" s="59"/>
      <c r="G367" s="59"/>
      <c r="H367" s="59"/>
      <c r="I367" s="59"/>
      <c r="J367" s="59"/>
      <c r="K367" s="69">
        <f t="shared" si="57"/>
        <v>0</v>
      </c>
      <c r="L367" s="70">
        <f t="shared" si="58"/>
        <v>0</v>
      </c>
      <c r="N367" s="206">
        <f t="shared" si="54"/>
        <v>0</v>
      </c>
    </row>
    <row r="368" spans="1:14" x14ac:dyDescent="0.4">
      <c r="A368" s="56"/>
      <c r="B368" s="66"/>
      <c r="C368" s="66"/>
      <c r="D368" s="66"/>
      <c r="E368" s="59"/>
      <c r="F368" s="59"/>
      <c r="G368" s="59"/>
      <c r="H368" s="59"/>
      <c r="I368" s="59"/>
      <c r="J368" s="59"/>
      <c r="K368" s="69">
        <f t="shared" si="57"/>
        <v>0</v>
      </c>
      <c r="L368" s="70">
        <f t="shared" si="58"/>
        <v>0</v>
      </c>
      <c r="N368" s="206">
        <f t="shared" si="54"/>
        <v>0</v>
      </c>
    </row>
    <row r="369" spans="1:14" x14ac:dyDescent="0.4">
      <c r="A369" s="56"/>
      <c r="B369" s="66"/>
      <c r="C369" s="66"/>
      <c r="D369" s="66"/>
      <c r="E369" s="59"/>
      <c r="F369" s="59"/>
      <c r="G369" s="59"/>
      <c r="H369" s="59"/>
      <c r="I369" s="59"/>
      <c r="J369" s="59"/>
      <c r="K369" s="69">
        <f t="shared" si="57"/>
        <v>0</v>
      </c>
      <c r="L369" s="70">
        <f t="shared" si="58"/>
        <v>0</v>
      </c>
      <c r="N369" s="206">
        <f t="shared" si="54"/>
        <v>0</v>
      </c>
    </row>
    <row r="370" spans="1:14" x14ac:dyDescent="0.4">
      <c r="A370" s="56"/>
      <c r="B370" s="66"/>
      <c r="C370" s="66"/>
      <c r="D370" s="66"/>
      <c r="E370" s="59"/>
      <c r="F370" s="59"/>
      <c r="G370" s="59"/>
      <c r="H370" s="59"/>
      <c r="I370" s="59"/>
      <c r="J370" s="59"/>
      <c r="K370" s="69">
        <f t="shared" si="57"/>
        <v>0</v>
      </c>
      <c r="L370" s="70">
        <f t="shared" si="58"/>
        <v>0</v>
      </c>
      <c r="N370" s="206">
        <f t="shared" si="54"/>
        <v>0</v>
      </c>
    </row>
    <row r="371" spans="1:14" x14ac:dyDescent="0.4">
      <c r="A371" s="56"/>
      <c r="B371" s="66"/>
      <c r="C371" s="66"/>
      <c r="D371" s="66"/>
      <c r="E371" s="59"/>
      <c r="F371" s="59"/>
      <c r="G371" s="59"/>
      <c r="H371" s="59"/>
      <c r="I371" s="59"/>
      <c r="J371" s="59"/>
      <c r="K371" s="69">
        <f t="shared" si="57"/>
        <v>0</v>
      </c>
      <c r="L371" s="70">
        <f t="shared" si="58"/>
        <v>0</v>
      </c>
      <c r="N371" s="206">
        <f t="shared" si="54"/>
        <v>0</v>
      </c>
    </row>
    <row r="372" spans="1:14" x14ac:dyDescent="0.4">
      <c r="A372" s="56"/>
      <c r="B372" s="66"/>
      <c r="C372" s="66"/>
      <c r="D372" s="66"/>
      <c r="E372" s="59"/>
      <c r="F372" s="59"/>
      <c r="G372" s="59"/>
      <c r="H372" s="59"/>
      <c r="I372" s="59"/>
      <c r="J372" s="59"/>
      <c r="K372" s="69">
        <f t="shared" si="57"/>
        <v>0</v>
      </c>
      <c r="L372" s="70">
        <f t="shared" si="58"/>
        <v>0</v>
      </c>
      <c r="N372" s="206">
        <f t="shared" si="54"/>
        <v>0</v>
      </c>
    </row>
    <row r="373" spans="1:14" x14ac:dyDescent="0.4">
      <c r="A373" s="56"/>
      <c r="B373" s="66"/>
      <c r="C373" s="66"/>
      <c r="D373" s="66"/>
      <c r="E373" s="59"/>
      <c r="F373" s="59"/>
      <c r="G373" s="59"/>
      <c r="H373" s="59"/>
      <c r="I373" s="59"/>
      <c r="J373" s="59"/>
      <c r="K373" s="69">
        <f t="shared" si="57"/>
        <v>0</v>
      </c>
      <c r="L373" s="70">
        <f t="shared" si="58"/>
        <v>0</v>
      </c>
      <c r="N373" s="206">
        <f t="shared" si="54"/>
        <v>0</v>
      </c>
    </row>
    <row r="374" spans="1:14" x14ac:dyDescent="0.4">
      <c r="A374" s="56"/>
      <c r="B374" s="66"/>
      <c r="C374" s="66"/>
      <c r="D374" s="66"/>
      <c r="E374" s="59"/>
      <c r="F374" s="59"/>
      <c r="G374" s="59"/>
      <c r="H374" s="59"/>
      <c r="I374" s="59"/>
      <c r="J374" s="59"/>
      <c r="K374" s="69">
        <f t="shared" si="57"/>
        <v>0</v>
      </c>
      <c r="L374" s="70">
        <f t="shared" si="58"/>
        <v>0</v>
      </c>
      <c r="N374" s="206">
        <f t="shared" si="54"/>
        <v>0</v>
      </c>
    </row>
    <row r="375" spans="1:14" x14ac:dyDescent="0.4">
      <c r="A375" s="56"/>
      <c r="B375" s="66"/>
      <c r="C375" s="66"/>
      <c r="D375" s="66"/>
      <c r="E375" s="59"/>
      <c r="F375" s="59"/>
      <c r="G375" s="59"/>
      <c r="H375" s="59"/>
      <c r="I375" s="59"/>
      <c r="J375" s="59"/>
      <c r="K375" s="69">
        <f t="shared" si="57"/>
        <v>0</v>
      </c>
      <c r="L375" s="70">
        <f t="shared" si="58"/>
        <v>0</v>
      </c>
      <c r="N375" s="206">
        <f t="shared" si="54"/>
        <v>0</v>
      </c>
    </row>
    <row r="376" spans="1:14" x14ac:dyDescent="0.4">
      <c r="A376" s="56"/>
      <c r="B376" s="66"/>
      <c r="C376" s="66"/>
      <c r="D376" s="66"/>
      <c r="E376" s="59"/>
      <c r="F376" s="59"/>
      <c r="G376" s="59"/>
      <c r="H376" s="59"/>
      <c r="I376" s="59"/>
      <c r="J376" s="59"/>
      <c r="K376" s="69">
        <f t="shared" si="57"/>
        <v>0</v>
      </c>
      <c r="L376" s="70">
        <f t="shared" si="58"/>
        <v>0</v>
      </c>
      <c r="N376" s="206">
        <f t="shared" si="54"/>
        <v>0</v>
      </c>
    </row>
    <row r="377" spans="1:14" x14ac:dyDescent="0.4">
      <c r="A377" s="56"/>
      <c r="B377" s="66"/>
      <c r="C377" s="66"/>
      <c r="D377" s="66"/>
      <c r="E377" s="59"/>
      <c r="F377" s="59"/>
      <c r="G377" s="59"/>
      <c r="H377" s="59"/>
      <c r="I377" s="59"/>
      <c r="J377" s="59"/>
      <c r="K377" s="69">
        <f t="shared" si="57"/>
        <v>0</v>
      </c>
      <c r="L377" s="70">
        <f t="shared" si="58"/>
        <v>0</v>
      </c>
      <c r="N377" s="206">
        <f t="shared" si="54"/>
        <v>0</v>
      </c>
    </row>
    <row r="378" spans="1:14" x14ac:dyDescent="0.4">
      <c r="A378" s="56"/>
      <c r="B378" s="66"/>
      <c r="C378" s="66"/>
      <c r="D378" s="66"/>
      <c r="E378" s="59"/>
      <c r="F378" s="59"/>
      <c r="G378" s="59"/>
      <c r="H378" s="59"/>
      <c r="I378" s="59"/>
      <c r="J378" s="59"/>
      <c r="K378" s="69">
        <f t="shared" si="57"/>
        <v>0</v>
      </c>
      <c r="L378" s="70">
        <f t="shared" si="58"/>
        <v>0</v>
      </c>
      <c r="N378" s="206">
        <f t="shared" si="54"/>
        <v>0</v>
      </c>
    </row>
    <row r="379" spans="1:14" x14ac:dyDescent="0.4">
      <c r="A379" s="56"/>
      <c r="B379" s="66"/>
      <c r="C379" s="66"/>
      <c r="D379" s="66"/>
      <c r="E379" s="59"/>
      <c r="F379" s="59"/>
      <c r="G379" s="59"/>
      <c r="H379" s="59"/>
      <c r="I379" s="59"/>
      <c r="J379" s="59"/>
      <c r="K379" s="69">
        <f t="shared" si="57"/>
        <v>0</v>
      </c>
      <c r="L379" s="70">
        <f t="shared" si="58"/>
        <v>0</v>
      </c>
      <c r="N379" s="206">
        <f t="shared" si="54"/>
        <v>0</v>
      </c>
    </row>
    <row r="380" spans="1:14" x14ac:dyDescent="0.4">
      <c r="A380" s="56"/>
      <c r="B380" s="66"/>
      <c r="C380" s="66"/>
      <c r="D380" s="66"/>
      <c r="E380" s="59"/>
      <c r="F380" s="59"/>
      <c r="G380" s="59"/>
      <c r="H380" s="59"/>
      <c r="I380" s="59"/>
      <c r="J380" s="59"/>
      <c r="K380" s="69">
        <f t="shared" si="57"/>
        <v>0</v>
      </c>
      <c r="L380" s="70">
        <f t="shared" si="58"/>
        <v>0</v>
      </c>
      <c r="N380" s="206">
        <f t="shared" si="54"/>
        <v>0</v>
      </c>
    </row>
    <row r="381" spans="1:14" ht="15.4" thickBot="1" x14ac:dyDescent="0.45">
      <c r="A381" s="56"/>
      <c r="B381" s="66"/>
      <c r="C381" s="66"/>
      <c r="D381" s="66"/>
      <c r="E381" s="59"/>
      <c r="F381" s="59"/>
      <c r="G381" s="59"/>
      <c r="H381" s="59"/>
      <c r="I381" s="59"/>
      <c r="J381" s="59"/>
      <c r="K381" s="69">
        <f t="shared" si="57"/>
        <v>0</v>
      </c>
      <c r="L381" s="70">
        <f t="shared" si="58"/>
        <v>0</v>
      </c>
      <c r="N381" s="206">
        <f>SUM(E381+F381/60)</f>
        <v>0</v>
      </c>
    </row>
    <row r="382" spans="1:14" ht="15.4" thickBot="1" x14ac:dyDescent="0.45">
      <c r="A382" s="60"/>
      <c r="B382" s="61"/>
      <c r="C382" s="61"/>
      <c r="D382" s="72"/>
      <c r="E382" s="61"/>
      <c r="F382" s="61"/>
      <c r="G382" s="61"/>
      <c r="H382" s="61"/>
      <c r="I382" s="61"/>
      <c r="J382" s="61"/>
      <c r="K382" s="152" t="s">
        <v>18</v>
      </c>
      <c r="L382" s="134">
        <f>SUM(L362:L381)</f>
        <v>0</v>
      </c>
      <c r="N382" s="206">
        <f>SUM(E382+F382/60)</f>
        <v>0</v>
      </c>
    </row>
    <row r="384" spans="1:14" ht="15.4" thickBot="1" x14ac:dyDescent="0.45"/>
    <row r="385" spans="10:12" ht="15.4" thickBot="1" x14ac:dyDescent="0.45">
      <c r="J385" s="326" t="s">
        <v>35</v>
      </c>
      <c r="K385" s="327"/>
      <c r="L385" s="202">
        <f>SUM(L8:L382)/2</f>
        <v>0</v>
      </c>
    </row>
  </sheetData>
  <mergeCells count="11">
    <mergeCell ref="C161:D161"/>
    <mergeCell ref="C118:D118"/>
    <mergeCell ref="C95:D95"/>
    <mergeCell ref="C339:D339"/>
    <mergeCell ref="C361:D361"/>
    <mergeCell ref="J385:K385"/>
    <mergeCell ref="C251:D251"/>
    <mergeCell ref="C273:D273"/>
    <mergeCell ref="C295:D295"/>
    <mergeCell ref="C317:D317"/>
    <mergeCell ref="C229:D229"/>
  </mergeCells>
  <phoneticPr fontId="0" type="noConversion"/>
  <pageMargins left="0.61" right="0.35" top="0.45" bottom="0.16" header="0.19" footer="0"/>
  <pageSetup paperSize="9" scale="75" orientation="portrait" r:id="rId1"/>
  <headerFooter alignWithMargins="0">
    <oddFooter>&amp;CP.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7"/>
  <sheetViews>
    <sheetView showOutlineSymbols="0" zoomScale="87" zoomScaleNormal="87" workbookViewId="0">
      <selection activeCell="K1" sqref="K1"/>
    </sheetView>
  </sheetViews>
  <sheetFormatPr defaultColWidth="9.609375" defaultRowHeight="15" x14ac:dyDescent="0.4"/>
  <cols>
    <col min="1" max="1" width="9.44140625" style="1" customWidth="1"/>
    <col min="2" max="2" width="7" style="1" customWidth="1"/>
    <col min="3" max="3" width="12.88671875" style="1" customWidth="1"/>
    <col min="4" max="4" width="10.83203125" style="1" customWidth="1"/>
    <col min="5" max="5" width="8.609375" style="1" customWidth="1"/>
    <col min="6" max="6" width="11.109375" style="1" customWidth="1"/>
    <col min="7" max="7" width="5.609375" style="1" customWidth="1"/>
    <col min="8" max="8" width="6.38671875" style="250" customWidth="1"/>
    <col min="9" max="9" width="7.38671875" style="1" customWidth="1"/>
    <col min="10" max="10" width="8.609375" style="1" customWidth="1"/>
    <col min="11" max="12" width="9.609375" style="1" customWidth="1"/>
    <col min="13" max="13" width="0.109375" style="204" customWidth="1"/>
    <col min="14" max="16384" width="9.609375" style="1"/>
  </cols>
  <sheetData>
    <row r="1" spans="1:19" ht="21.75" customHeight="1" x14ac:dyDescent="0.5">
      <c r="A1" s="20"/>
      <c r="B1" s="21"/>
      <c r="C1" s="21"/>
      <c r="D1" s="210" t="s">
        <v>7</v>
      </c>
      <c r="E1" s="22"/>
      <c r="F1" s="22"/>
      <c r="G1" s="22"/>
      <c r="H1" s="236"/>
      <c r="I1" s="21"/>
      <c r="J1" s="21"/>
      <c r="K1" s="203" t="str">
        <f>Owner!K2</f>
        <v>Cr-19</v>
      </c>
      <c r="L1" s="19"/>
    </row>
    <row r="2" spans="1:19" x14ac:dyDescent="0.4">
      <c r="A2" s="23" t="s">
        <v>37</v>
      </c>
      <c r="B2" s="24"/>
      <c r="C2" s="24"/>
      <c r="D2" s="24"/>
      <c r="E2" s="24"/>
      <c r="F2" s="24"/>
      <c r="G2" s="19"/>
      <c r="H2" s="237"/>
      <c r="I2" s="24"/>
      <c r="J2" s="24"/>
      <c r="K2" s="25"/>
      <c r="L2" s="19"/>
    </row>
    <row r="3" spans="1:19" x14ac:dyDescent="0.4">
      <c r="A3" s="23" t="s">
        <v>0</v>
      </c>
      <c r="B3" s="24"/>
      <c r="C3" s="196"/>
      <c r="D3" s="26" t="s">
        <v>4</v>
      </c>
      <c r="E3" s="26"/>
      <c r="F3" s="24"/>
      <c r="G3" s="19"/>
      <c r="H3" s="237"/>
      <c r="I3" s="24"/>
      <c r="J3" s="24"/>
      <c r="K3" s="25"/>
      <c r="L3" s="19"/>
      <c r="N3" s="3" t="s">
        <v>4</v>
      </c>
      <c r="S3" s="3" t="s">
        <v>4</v>
      </c>
    </row>
    <row r="4" spans="1:19" ht="15.4" thickBot="1" x14ac:dyDescent="0.45">
      <c r="A4" s="27" t="s">
        <v>1</v>
      </c>
      <c r="B4" s="28"/>
      <c r="C4" s="28" t="s">
        <v>5</v>
      </c>
      <c r="D4" s="28"/>
      <c r="E4" s="28"/>
      <c r="F4" s="28"/>
      <c r="G4" s="29"/>
      <c r="H4" s="238"/>
      <c r="I4" s="28"/>
      <c r="J4" s="28"/>
      <c r="K4" s="30"/>
      <c r="L4" s="19"/>
    </row>
    <row r="5" spans="1:19" ht="47.25" customHeight="1" thickBot="1" x14ac:dyDescent="0.45">
      <c r="A5" s="140" t="s">
        <v>2</v>
      </c>
      <c r="B5" s="13" t="s">
        <v>3</v>
      </c>
      <c r="C5" s="13" t="s">
        <v>6</v>
      </c>
      <c r="D5" s="13" t="s">
        <v>8</v>
      </c>
      <c r="E5" s="13" t="s">
        <v>9</v>
      </c>
      <c r="F5" s="13" t="s">
        <v>27</v>
      </c>
      <c r="G5" s="13" t="s">
        <v>11</v>
      </c>
      <c r="H5" s="239" t="s">
        <v>12</v>
      </c>
      <c r="I5" s="13" t="s">
        <v>13</v>
      </c>
      <c r="J5" s="13" t="s">
        <v>14</v>
      </c>
      <c r="K5" s="14" t="s">
        <v>15</v>
      </c>
      <c r="L5" s="11" t="s">
        <v>4</v>
      </c>
      <c r="M5" s="205" t="s">
        <v>31</v>
      </c>
    </row>
    <row r="6" spans="1:19" x14ac:dyDescent="0.4">
      <c r="A6" s="190"/>
      <c r="B6" s="191"/>
      <c r="C6" s="192"/>
      <c r="D6" s="193"/>
      <c r="E6" s="194"/>
      <c r="F6" s="212"/>
      <c r="G6" s="212"/>
      <c r="H6" s="240"/>
      <c r="I6" s="145"/>
      <c r="J6" s="49">
        <f t="shared" ref="J6:J69" si="0">IF(F6="TLX",ROUND(M6/32*H6,2),ROUND(M6*H6,2))</f>
        <v>0</v>
      </c>
      <c r="K6" s="50">
        <f t="shared" ref="K6:K69" si="1">SUM(I6+J6)</f>
        <v>0</v>
      </c>
      <c r="L6" s="12"/>
      <c r="M6" s="206">
        <f t="shared" ref="M6:M69" si="2">ROUND(D6+E6/60,2)</f>
        <v>0</v>
      </c>
    </row>
    <row r="7" spans="1:19" x14ac:dyDescent="0.4">
      <c r="A7" s="82"/>
      <c r="B7" s="16"/>
      <c r="C7" s="97"/>
      <c r="D7" s="104"/>
      <c r="E7" s="33"/>
      <c r="F7" s="91"/>
      <c r="G7" s="91"/>
      <c r="H7" s="241"/>
      <c r="I7" s="34"/>
      <c r="J7" s="35">
        <f t="shared" si="0"/>
        <v>0</v>
      </c>
      <c r="K7" s="36">
        <f t="shared" si="1"/>
        <v>0</v>
      </c>
      <c r="L7" s="12"/>
      <c r="M7" s="206">
        <f t="shared" si="2"/>
        <v>0</v>
      </c>
    </row>
    <row r="8" spans="1:19" x14ac:dyDescent="0.4">
      <c r="A8" s="82"/>
      <c r="B8" s="16"/>
      <c r="C8" s="97"/>
      <c r="D8" s="104"/>
      <c r="E8" s="33"/>
      <c r="F8" s="91"/>
      <c r="G8" s="91"/>
      <c r="H8" s="241"/>
      <c r="I8" s="34"/>
      <c r="J8" s="35">
        <f t="shared" si="0"/>
        <v>0</v>
      </c>
      <c r="K8" s="36">
        <f t="shared" si="1"/>
        <v>0</v>
      </c>
      <c r="L8" s="12"/>
      <c r="M8" s="206">
        <f t="shared" si="2"/>
        <v>0</v>
      </c>
      <c r="O8" s="163"/>
    </row>
    <row r="9" spans="1:19" x14ac:dyDescent="0.4">
      <c r="A9" s="82"/>
      <c r="B9" s="16"/>
      <c r="C9" s="97"/>
      <c r="D9" s="104"/>
      <c r="E9" s="33"/>
      <c r="F9" s="91"/>
      <c r="G9" s="91"/>
      <c r="H9" s="241"/>
      <c r="I9" s="34"/>
      <c r="J9" s="35">
        <f t="shared" si="0"/>
        <v>0</v>
      </c>
      <c r="K9" s="36">
        <f t="shared" si="1"/>
        <v>0</v>
      </c>
      <c r="L9" s="12"/>
      <c r="M9" s="206">
        <f t="shared" si="2"/>
        <v>0</v>
      </c>
    </row>
    <row r="10" spans="1:19" x14ac:dyDescent="0.4">
      <c r="A10" s="82"/>
      <c r="B10" s="16"/>
      <c r="C10" s="97"/>
      <c r="D10" s="104"/>
      <c r="E10" s="33"/>
      <c r="F10" s="91"/>
      <c r="G10" s="91"/>
      <c r="H10" s="241"/>
      <c r="I10" s="34"/>
      <c r="J10" s="35">
        <f t="shared" si="0"/>
        <v>0</v>
      </c>
      <c r="K10" s="36">
        <f t="shared" si="1"/>
        <v>0</v>
      </c>
      <c r="L10" s="12"/>
      <c r="M10" s="206">
        <f t="shared" si="2"/>
        <v>0</v>
      </c>
    </row>
    <row r="11" spans="1:19" x14ac:dyDescent="0.4">
      <c r="A11" s="82"/>
      <c r="B11" s="16"/>
      <c r="C11" s="97"/>
      <c r="D11" s="104"/>
      <c r="E11" s="33"/>
      <c r="F11" s="91"/>
      <c r="G11" s="91"/>
      <c r="H11" s="241"/>
      <c r="I11" s="34"/>
      <c r="J11" s="35">
        <f t="shared" si="0"/>
        <v>0</v>
      </c>
      <c r="K11" s="36">
        <f t="shared" si="1"/>
        <v>0</v>
      </c>
      <c r="L11" s="12"/>
      <c r="M11" s="206">
        <f t="shared" si="2"/>
        <v>0</v>
      </c>
    </row>
    <row r="12" spans="1:19" x14ac:dyDescent="0.4">
      <c r="A12" s="80"/>
      <c r="B12" s="16"/>
      <c r="C12" s="97"/>
      <c r="D12" s="104"/>
      <c r="E12" s="33"/>
      <c r="F12" s="91"/>
      <c r="G12" s="91"/>
      <c r="H12" s="241"/>
      <c r="I12" s="34"/>
      <c r="J12" s="35">
        <f t="shared" si="0"/>
        <v>0</v>
      </c>
      <c r="K12" s="36">
        <f t="shared" si="1"/>
        <v>0</v>
      </c>
      <c r="L12" s="12"/>
      <c r="M12" s="206">
        <f t="shared" si="2"/>
        <v>0</v>
      </c>
      <c r="O12" s="162"/>
    </row>
    <row r="13" spans="1:19" x14ac:dyDescent="0.4">
      <c r="A13" s="80"/>
      <c r="B13" s="16"/>
      <c r="C13" s="97"/>
      <c r="D13" s="33"/>
      <c r="E13" s="33"/>
      <c r="F13" s="91"/>
      <c r="G13" s="91"/>
      <c r="H13" s="241"/>
      <c r="I13" s="34"/>
      <c r="J13" s="35">
        <f t="shared" si="0"/>
        <v>0</v>
      </c>
      <c r="K13" s="36">
        <f t="shared" si="1"/>
        <v>0</v>
      </c>
      <c r="L13" s="12"/>
      <c r="M13" s="206">
        <f t="shared" si="2"/>
        <v>0</v>
      </c>
    </row>
    <row r="14" spans="1:19" x14ac:dyDescent="0.4">
      <c r="A14" s="82"/>
      <c r="B14" s="16"/>
      <c r="C14" s="97"/>
      <c r="D14" s="104"/>
      <c r="E14" s="33"/>
      <c r="F14" s="91"/>
      <c r="G14" s="91"/>
      <c r="H14" s="241"/>
      <c r="I14" s="34"/>
      <c r="J14" s="35">
        <f t="shared" si="0"/>
        <v>0</v>
      </c>
      <c r="K14" s="36">
        <f t="shared" si="1"/>
        <v>0</v>
      </c>
      <c r="L14" s="12"/>
      <c r="M14" s="206">
        <f t="shared" si="2"/>
        <v>0</v>
      </c>
    </row>
    <row r="15" spans="1:19" x14ac:dyDescent="0.4">
      <c r="A15" s="82"/>
      <c r="B15" s="16"/>
      <c r="C15" s="97"/>
      <c r="D15" s="104"/>
      <c r="E15" s="33"/>
      <c r="F15" s="91"/>
      <c r="G15" s="91"/>
      <c r="H15" s="241"/>
      <c r="I15" s="34"/>
      <c r="J15" s="35">
        <f t="shared" si="0"/>
        <v>0</v>
      </c>
      <c r="K15" s="36">
        <f t="shared" si="1"/>
        <v>0</v>
      </c>
      <c r="L15" s="12"/>
      <c r="M15" s="206">
        <f t="shared" si="2"/>
        <v>0</v>
      </c>
    </row>
    <row r="16" spans="1:19" x14ac:dyDescent="0.4">
      <c r="A16" s="80"/>
      <c r="B16" s="16"/>
      <c r="C16" s="97"/>
      <c r="D16" s="104"/>
      <c r="E16" s="33"/>
      <c r="F16" s="91"/>
      <c r="G16" s="91"/>
      <c r="H16" s="241"/>
      <c r="I16" s="34"/>
      <c r="J16" s="35">
        <f t="shared" si="0"/>
        <v>0</v>
      </c>
      <c r="K16" s="36">
        <f t="shared" si="1"/>
        <v>0</v>
      </c>
      <c r="L16" s="12"/>
      <c r="M16" s="206">
        <f t="shared" si="2"/>
        <v>0</v>
      </c>
    </row>
    <row r="17" spans="1:14" x14ac:dyDescent="0.4">
      <c r="A17" s="80"/>
      <c r="B17" s="16"/>
      <c r="C17" s="16"/>
      <c r="D17" s="33"/>
      <c r="E17" s="33"/>
      <c r="F17" s="91"/>
      <c r="G17" s="91"/>
      <c r="H17" s="241"/>
      <c r="I17" s="34"/>
      <c r="J17" s="35">
        <f t="shared" si="0"/>
        <v>0</v>
      </c>
      <c r="K17" s="36">
        <f t="shared" si="1"/>
        <v>0</v>
      </c>
      <c r="L17" s="12"/>
      <c r="M17" s="206">
        <f t="shared" si="2"/>
        <v>0</v>
      </c>
      <c r="N17" s="161"/>
    </row>
    <row r="18" spans="1:14" x14ac:dyDescent="0.4">
      <c r="A18" s="80"/>
      <c r="B18" s="16"/>
      <c r="C18" s="97"/>
      <c r="D18" s="33"/>
      <c r="E18" s="33"/>
      <c r="F18" s="91"/>
      <c r="G18" s="91"/>
      <c r="H18" s="241"/>
      <c r="I18" s="34"/>
      <c r="J18" s="35">
        <f t="shared" si="0"/>
        <v>0</v>
      </c>
      <c r="K18" s="36">
        <f t="shared" si="1"/>
        <v>0</v>
      </c>
      <c r="L18" s="12"/>
      <c r="M18" s="206">
        <f t="shared" si="2"/>
        <v>0</v>
      </c>
      <c r="N18" s="161"/>
    </row>
    <row r="19" spans="1:14" x14ac:dyDescent="0.4">
      <c r="A19" s="82"/>
      <c r="B19" s="16"/>
      <c r="C19" s="97"/>
      <c r="D19" s="104"/>
      <c r="E19" s="33"/>
      <c r="F19" s="91"/>
      <c r="G19" s="91"/>
      <c r="H19" s="241"/>
      <c r="I19" s="34"/>
      <c r="J19" s="35">
        <f t="shared" si="0"/>
        <v>0</v>
      </c>
      <c r="K19" s="36">
        <f t="shared" si="1"/>
        <v>0</v>
      </c>
      <c r="L19" s="12"/>
      <c r="M19" s="206">
        <f t="shared" si="2"/>
        <v>0</v>
      </c>
      <c r="N19" s="161"/>
    </row>
    <row r="20" spans="1:14" x14ac:dyDescent="0.4">
      <c r="A20" s="80"/>
      <c r="B20" s="16"/>
      <c r="C20" s="97"/>
      <c r="D20" s="104"/>
      <c r="E20" s="33"/>
      <c r="F20" s="91"/>
      <c r="G20" s="91"/>
      <c r="H20" s="241"/>
      <c r="I20" s="34"/>
      <c r="J20" s="35">
        <f t="shared" si="0"/>
        <v>0</v>
      </c>
      <c r="K20" s="36">
        <f t="shared" si="1"/>
        <v>0</v>
      </c>
      <c r="L20" s="12"/>
      <c r="M20" s="206">
        <f t="shared" si="2"/>
        <v>0</v>
      </c>
      <c r="N20" s="161"/>
    </row>
    <row r="21" spans="1:14" x14ac:dyDescent="0.4">
      <c r="A21" s="80"/>
      <c r="B21" s="16"/>
      <c r="C21" s="97"/>
      <c r="D21" s="104"/>
      <c r="E21" s="33"/>
      <c r="F21" s="91"/>
      <c r="G21" s="91"/>
      <c r="H21" s="241"/>
      <c r="I21" s="34"/>
      <c r="J21" s="35">
        <f t="shared" si="0"/>
        <v>0</v>
      </c>
      <c r="K21" s="36">
        <f t="shared" si="1"/>
        <v>0</v>
      </c>
      <c r="L21" s="12"/>
      <c r="M21" s="206">
        <f t="shared" si="2"/>
        <v>0</v>
      </c>
      <c r="N21" s="161"/>
    </row>
    <row r="22" spans="1:14" x14ac:dyDescent="0.4">
      <c r="A22" s="80"/>
      <c r="B22" s="16"/>
      <c r="C22" s="97"/>
      <c r="D22" s="33"/>
      <c r="E22" s="33"/>
      <c r="F22" s="91"/>
      <c r="G22" s="91"/>
      <c r="H22" s="241"/>
      <c r="I22" s="34"/>
      <c r="J22" s="35">
        <f t="shared" si="0"/>
        <v>0</v>
      </c>
      <c r="K22" s="36">
        <f t="shared" si="1"/>
        <v>0</v>
      </c>
      <c r="L22" s="12"/>
      <c r="M22" s="206">
        <f t="shared" si="2"/>
        <v>0</v>
      </c>
      <c r="N22" s="161"/>
    </row>
    <row r="23" spans="1:14" x14ac:dyDescent="0.4">
      <c r="A23" s="80"/>
      <c r="B23" s="16"/>
      <c r="C23" s="97"/>
      <c r="D23" s="33"/>
      <c r="E23" s="33"/>
      <c r="F23" s="91"/>
      <c r="G23" s="91"/>
      <c r="H23" s="241"/>
      <c r="I23" s="34"/>
      <c r="J23" s="35">
        <f t="shared" si="0"/>
        <v>0</v>
      </c>
      <c r="K23" s="36">
        <f t="shared" si="1"/>
        <v>0</v>
      </c>
      <c r="L23" s="12"/>
      <c r="M23" s="206">
        <f t="shared" si="2"/>
        <v>0</v>
      </c>
    </row>
    <row r="24" spans="1:14" x14ac:dyDescent="0.4">
      <c r="A24" s="80"/>
      <c r="B24" s="16"/>
      <c r="C24" s="97"/>
      <c r="D24" s="33"/>
      <c r="E24" s="33"/>
      <c r="F24" s="91"/>
      <c r="G24" s="91"/>
      <c r="H24" s="241"/>
      <c r="I24" s="34"/>
      <c r="J24" s="35">
        <f t="shared" si="0"/>
        <v>0</v>
      </c>
      <c r="K24" s="36">
        <f t="shared" si="1"/>
        <v>0</v>
      </c>
      <c r="L24" s="12"/>
      <c r="M24" s="206">
        <f t="shared" si="2"/>
        <v>0</v>
      </c>
    </row>
    <row r="25" spans="1:14" x14ac:dyDescent="0.4">
      <c r="A25" s="80"/>
      <c r="B25" s="16"/>
      <c r="C25" s="97"/>
      <c r="D25" s="33"/>
      <c r="E25" s="33"/>
      <c r="F25" s="91"/>
      <c r="G25" s="91"/>
      <c r="H25" s="241"/>
      <c r="I25" s="34"/>
      <c r="J25" s="35">
        <f t="shared" si="0"/>
        <v>0</v>
      </c>
      <c r="K25" s="36">
        <f t="shared" si="1"/>
        <v>0</v>
      </c>
      <c r="L25" s="12"/>
      <c r="M25" s="206">
        <f t="shared" si="2"/>
        <v>0</v>
      </c>
    </row>
    <row r="26" spans="1:14" x14ac:dyDescent="0.4">
      <c r="A26" s="80"/>
      <c r="B26" s="16"/>
      <c r="C26" s="97"/>
      <c r="D26" s="33"/>
      <c r="E26" s="33"/>
      <c r="F26" s="91"/>
      <c r="G26" s="91"/>
      <c r="H26" s="241"/>
      <c r="I26" s="34"/>
      <c r="J26" s="35">
        <f t="shared" si="0"/>
        <v>0</v>
      </c>
      <c r="K26" s="36">
        <f t="shared" si="1"/>
        <v>0</v>
      </c>
      <c r="L26" s="12"/>
      <c r="M26" s="206">
        <f t="shared" si="2"/>
        <v>0</v>
      </c>
    </row>
    <row r="27" spans="1:14" x14ac:dyDescent="0.4">
      <c r="A27" s="80"/>
      <c r="B27" s="16"/>
      <c r="C27" s="97"/>
      <c r="D27" s="33"/>
      <c r="E27" s="33"/>
      <c r="F27" s="91"/>
      <c r="G27" s="91"/>
      <c r="H27" s="241"/>
      <c r="I27" s="34"/>
      <c r="J27" s="35">
        <f t="shared" si="0"/>
        <v>0</v>
      </c>
      <c r="K27" s="36">
        <f t="shared" si="1"/>
        <v>0</v>
      </c>
      <c r="L27" s="12"/>
      <c r="M27" s="206">
        <f t="shared" si="2"/>
        <v>0</v>
      </c>
    </row>
    <row r="28" spans="1:14" x14ac:dyDescent="0.4">
      <c r="A28" s="80"/>
      <c r="B28" s="16"/>
      <c r="C28" s="97"/>
      <c r="D28" s="33"/>
      <c r="E28" s="33"/>
      <c r="F28" s="91"/>
      <c r="G28" s="91"/>
      <c r="H28" s="241"/>
      <c r="I28" s="34"/>
      <c r="J28" s="35">
        <f t="shared" si="0"/>
        <v>0</v>
      </c>
      <c r="K28" s="36">
        <f t="shared" si="1"/>
        <v>0</v>
      </c>
      <c r="L28" s="12"/>
      <c r="M28" s="206">
        <f t="shared" si="2"/>
        <v>0</v>
      </c>
    </row>
    <row r="29" spans="1:14" x14ac:dyDescent="0.4">
      <c r="A29" s="80"/>
      <c r="B29" s="16"/>
      <c r="C29" s="74"/>
      <c r="D29" s="33"/>
      <c r="E29" s="33"/>
      <c r="F29" s="91"/>
      <c r="G29" s="91"/>
      <c r="H29" s="241"/>
      <c r="I29" s="15"/>
      <c r="J29" s="35">
        <f t="shared" si="0"/>
        <v>0</v>
      </c>
      <c r="K29" s="36">
        <f t="shared" si="1"/>
        <v>0</v>
      </c>
      <c r="L29" s="12"/>
      <c r="M29" s="206">
        <f t="shared" si="2"/>
        <v>0</v>
      </c>
    </row>
    <row r="30" spans="1:14" x14ac:dyDescent="0.4">
      <c r="A30" s="80"/>
      <c r="B30" s="16"/>
      <c r="C30" s="74"/>
      <c r="D30" s="33"/>
      <c r="E30" s="33"/>
      <c r="F30" s="91"/>
      <c r="G30" s="91"/>
      <c r="H30" s="241"/>
      <c r="I30" s="15"/>
      <c r="J30" s="35">
        <f t="shared" si="0"/>
        <v>0</v>
      </c>
      <c r="K30" s="36">
        <f t="shared" si="1"/>
        <v>0</v>
      </c>
      <c r="L30" s="12"/>
      <c r="M30" s="206">
        <f t="shared" si="2"/>
        <v>0</v>
      </c>
    </row>
    <row r="31" spans="1:14" x14ac:dyDescent="0.4">
      <c r="A31" s="80"/>
      <c r="B31" s="16"/>
      <c r="C31" s="74"/>
      <c r="D31" s="33"/>
      <c r="E31" s="33"/>
      <c r="F31" s="91"/>
      <c r="G31" s="91"/>
      <c r="H31" s="241"/>
      <c r="I31" s="34"/>
      <c r="J31" s="35">
        <f t="shared" si="0"/>
        <v>0</v>
      </c>
      <c r="K31" s="36">
        <f t="shared" si="1"/>
        <v>0</v>
      </c>
      <c r="L31" s="12"/>
      <c r="M31" s="206">
        <f t="shared" si="2"/>
        <v>0</v>
      </c>
    </row>
    <row r="32" spans="1:14" x14ac:dyDescent="0.4">
      <c r="A32" s="80"/>
      <c r="B32" s="16"/>
      <c r="C32" s="74"/>
      <c r="D32" s="33"/>
      <c r="E32" s="33"/>
      <c r="F32" s="91"/>
      <c r="G32" s="91"/>
      <c r="H32" s="241"/>
      <c r="I32" s="34"/>
      <c r="J32" s="35">
        <f t="shared" si="0"/>
        <v>0</v>
      </c>
      <c r="K32" s="36">
        <f t="shared" si="1"/>
        <v>0</v>
      </c>
      <c r="L32" s="12"/>
      <c r="M32" s="206">
        <f t="shared" si="2"/>
        <v>0</v>
      </c>
    </row>
    <row r="33" spans="1:13" x14ac:dyDescent="0.4">
      <c r="A33" s="80"/>
      <c r="B33" s="16"/>
      <c r="C33" s="74"/>
      <c r="D33" s="33"/>
      <c r="E33" s="33"/>
      <c r="F33" s="91"/>
      <c r="G33" s="91"/>
      <c r="H33" s="241"/>
      <c r="I33" s="34"/>
      <c r="J33" s="35">
        <f t="shared" si="0"/>
        <v>0</v>
      </c>
      <c r="K33" s="36">
        <f t="shared" si="1"/>
        <v>0</v>
      </c>
      <c r="L33" s="12"/>
      <c r="M33" s="206">
        <f t="shared" si="2"/>
        <v>0</v>
      </c>
    </row>
    <row r="34" spans="1:13" x14ac:dyDescent="0.4">
      <c r="A34" s="80"/>
      <c r="B34" s="16"/>
      <c r="C34" s="74"/>
      <c r="D34" s="33"/>
      <c r="E34" s="33"/>
      <c r="F34" s="91"/>
      <c r="G34" s="91"/>
      <c r="H34" s="241"/>
      <c r="I34" s="34"/>
      <c r="J34" s="35">
        <f t="shared" si="0"/>
        <v>0</v>
      </c>
      <c r="K34" s="36">
        <f t="shared" si="1"/>
        <v>0</v>
      </c>
      <c r="L34" s="12"/>
      <c r="M34" s="206">
        <f t="shared" si="2"/>
        <v>0</v>
      </c>
    </row>
    <row r="35" spans="1:13" x14ac:dyDescent="0.4">
      <c r="A35" s="80"/>
      <c r="B35" s="16"/>
      <c r="C35" s="74"/>
      <c r="D35" s="33"/>
      <c r="E35" s="33"/>
      <c r="F35" s="91"/>
      <c r="G35" s="91"/>
      <c r="H35" s="241"/>
      <c r="I35" s="34"/>
      <c r="J35" s="35">
        <f t="shared" si="0"/>
        <v>0</v>
      </c>
      <c r="K35" s="36">
        <f t="shared" si="1"/>
        <v>0</v>
      </c>
      <c r="L35" s="12"/>
      <c r="M35" s="206">
        <f t="shared" si="2"/>
        <v>0</v>
      </c>
    </row>
    <row r="36" spans="1:13" x14ac:dyDescent="0.4">
      <c r="A36" s="80"/>
      <c r="B36" s="16"/>
      <c r="C36" s="74"/>
      <c r="D36" s="33"/>
      <c r="E36" s="33"/>
      <c r="F36" s="91"/>
      <c r="G36" s="91"/>
      <c r="H36" s="241"/>
      <c r="I36" s="34"/>
      <c r="J36" s="35">
        <f t="shared" si="0"/>
        <v>0</v>
      </c>
      <c r="K36" s="36">
        <f t="shared" si="1"/>
        <v>0</v>
      </c>
      <c r="L36" s="12"/>
      <c r="M36" s="206">
        <f t="shared" si="2"/>
        <v>0</v>
      </c>
    </row>
    <row r="37" spans="1:13" x14ac:dyDescent="0.4">
      <c r="A37" s="80"/>
      <c r="B37" s="16"/>
      <c r="C37" s="16"/>
      <c r="D37" s="33"/>
      <c r="E37" s="33"/>
      <c r="F37" s="91"/>
      <c r="G37" s="91"/>
      <c r="H37" s="241"/>
      <c r="I37" s="34"/>
      <c r="J37" s="35">
        <f t="shared" si="0"/>
        <v>0</v>
      </c>
      <c r="K37" s="36">
        <f t="shared" si="1"/>
        <v>0</v>
      </c>
      <c r="L37" s="12"/>
      <c r="M37" s="206">
        <f t="shared" si="2"/>
        <v>0</v>
      </c>
    </row>
    <row r="38" spans="1:13" x14ac:dyDescent="0.4">
      <c r="A38" s="80"/>
      <c r="B38" s="16"/>
      <c r="C38" s="16"/>
      <c r="D38" s="33"/>
      <c r="E38" s="33"/>
      <c r="F38" s="91"/>
      <c r="G38" s="91"/>
      <c r="H38" s="241"/>
      <c r="I38" s="34"/>
      <c r="J38" s="35">
        <f t="shared" si="0"/>
        <v>0</v>
      </c>
      <c r="K38" s="36">
        <f t="shared" si="1"/>
        <v>0</v>
      </c>
      <c r="L38" s="12"/>
      <c r="M38" s="206">
        <f t="shared" si="2"/>
        <v>0</v>
      </c>
    </row>
    <row r="39" spans="1:13" x14ac:dyDescent="0.4">
      <c r="A39" s="80"/>
      <c r="B39" s="16"/>
      <c r="C39" s="16"/>
      <c r="D39" s="33"/>
      <c r="E39" s="33"/>
      <c r="F39" s="91"/>
      <c r="G39" s="91"/>
      <c r="H39" s="241"/>
      <c r="I39" s="34"/>
      <c r="J39" s="35">
        <f t="shared" si="0"/>
        <v>0</v>
      </c>
      <c r="K39" s="36">
        <f t="shared" si="1"/>
        <v>0</v>
      </c>
      <c r="L39" s="12"/>
      <c r="M39" s="206">
        <f t="shared" si="2"/>
        <v>0</v>
      </c>
    </row>
    <row r="40" spans="1:13" x14ac:dyDescent="0.4">
      <c r="A40" s="32"/>
      <c r="B40" s="16"/>
      <c r="C40" s="16"/>
      <c r="D40" s="33"/>
      <c r="E40" s="33"/>
      <c r="F40" s="91"/>
      <c r="G40" s="91"/>
      <c r="H40" s="241"/>
      <c r="I40" s="34"/>
      <c r="J40" s="35">
        <f t="shared" si="0"/>
        <v>0</v>
      </c>
      <c r="K40" s="36">
        <f t="shared" si="1"/>
        <v>0</v>
      </c>
      <c r="L40" s="12"/>
      <c r="M40" s="206">
        <f t="shared" si="2"/>
        <v>0</v>
      </c>
    </row>
    <row r="41" spans="1:13" x14ac:dyDescent="0.4">
      <c r="A41" s="32"/>
      <c r="B41" s="16"/>
      <c r="C41" s="16"/>
      <c r="D41" s="33"/>
      <c r="E41" s="33"/>
      <c r="F41" s="91"/>
      <c r="G41" s="91"/>
      <c r="H41" s="241"/>
      <c r="I41" s="34"/>
      <c r="J41" s="35">
        <f t="shared" si="0"/>
        <v>0</v>
      </c>
      <c r="K41" s="36">
        <f t="shared" si="1"/>
        <v>0</v>
      </c>
      <c r="L41" s="12"/>
      <c r="M41" s="206">
        <f t="shared" si="2"/>
        <v>0</v>
      </c>
    </row>
    <row r="42" spans="1:13" x14ac:dyDescent="0.4">
      <c r="A42" s="32"/>
      <c r="B42" s="16"/>
      <c r="C42" s="74"/>
      <c r="D42" s="33"/>
      <c r="E42" s="33"/>
      <c r="F42" s="91"/>
      <c r="G42" s="91"/>
      <c r="H42" s="241"/>
      <c r="I42" s="34"/>
      <c r="J42" s="35">
        <f t="shared" si="0"/>
        <v>0</v>
      </c>
      <c r="K42" s="36">
        <f t="shared" si="1"/>
        <v>0</v>
      </c>
      <c r="L42" s="12"/>
      <c r="M42" s="206">
        <f t="shared" si="2"/>
        <v>0</v>
      </c>
    </row>
    <row r="43" spans="1:13" x14ac:dyDescent="0.4">
      <c r="A43" s="32"/>
      <c r="B43" s="16"/>
      <c r="C43" s="74"/>
      <c r="D43" s="33"/>
      <c r="E43" s="33"/>
      <c r="F43" s="91"/>
      <c r="G43" s="91"/>
      <c r="H43" s="241"/>
      <c r="I43" s="34"/>
      <c r="J43" s="35">
        <f t="shared" si="0"/>
        <v>0</v>
      </c>
      <c r="K43" s="36">
        <f t="shared" si="1"/>
        <v>0</v>
      </c>
      <c r="L43" s="12"/>
      <c r="M43" s="206">
        <f t="shared" si="2"/>
        <v>0</v>
      </c>
    </row>
    <row r="44" spans="1:13" x14ac:dyDescent="0.4">
      <c r="A44" s="32"/>
      <c r="B44" s="16"/>
      <c r="C44" s="16"/>
      <c r="D44" s="33"/>
      <c r="E44" s="33"/>
      <c r="F44" s="91"/>
      <c r="G44" s="91"/>
      <c r="H44" s="241"/>
      <c r="I44" s="34"/>
      <c r="J44" s="35">
        <f t="shared" si="0"/>
        <v>0</v>
      </c>
      <c r="K44" s="36">
        <f t="shared" si="1"/>
        <v>0</v>
      </c>
      <c r="L44" s="12"/>
      <c r="M44" s="206">
        <f t="shared" si="2"/>
        <v>0</v>
      </c>
    </row>
    <row r="45" spans="1:13" x14ac:dyDescent="0.4">
      <c r="A45" s="32"/>
      <c r="B45" s="16"/>
      <c r="C45" s="16"/>
      <c r="D45" s="33"/>
      <c r="E45" s="33"/>
      <c r="F45" s="91"/>
      <c r="G45" s="91"/>
      <c r="H45" s="241"/>
      <c r="I45" s="34"/>
      <c r="J45" s="35">
        <f t="shared" si="0"/>
        <v>0</v>
      </c>
      <c r="K45" s="36">
        <f t="shared" si="1"/>
        <v>0</v>
      </c>
      <c r="L45" s="12"/>
      <c r="M45" s="206">
        <f t="shared" si="2"/>
        <v>0</v>
      </c>
    </row>
    <row r="46" spans="1:13" x14ac:dyDescent="0.4">
      <c r="A46" s="32"/>
      <c r="B46" s="16"/>
      <c r="C46" s="16"/>
      <c r="D46" s="33"/>
      <c r="E46" s="33"/>
      <c r="F46" s="91"/>
      <c r="G46" s="91"/>
      <c r="H46" s="241"/>
      <c r="I46" s="34"/>
      <c r="J46" s="35">
        <f t="shared" si="0"/>
        <v>0</v>
      </c>
      <c r="K46" s="36">
        <f t="shared" si="1"/>
        <v>0</v>
      </c>
      <c r="L46" s="12"/>
      <c r="M46" s="206">
        <f t="shared" si="2"/>
        <v>0</v>
      </c>
    </row>
    <row r="47" spans="1:13" x14ac:dyDescent="0.4">
      <c r="A47" s="75"/>
      <c r="B47" s="76"/>
      <c r="C47" s="76"/>
      <c r="D47" s="77"/>
      <c r="E47" s="77"/>
      <c r="F47" s="92"/>
      <c r="G47" s="92"/>
      <c r="H47" s="242"/>
      <c r="I47" s="78"/>
      <c r="J47" s="35">
        <f t="shared" si="0"/>
        <v>0</v>
      </c>
      <c r="K47" s="36">
        <f t="shared" si="1"/>
        <v>0</v>
      </c>
      <c r="L47" s="12"/>
      <c r="M47" s="206">
        <f t="shared" si="2"/>
        <v>0</v>
      </c>
    </row>
    <row r="48" spans="1:13" x14ac:dyDescent="0.4">
      <c r="A48" s="73"/>
      <c r="B48" s="31"/>
      <c r="C48" s="31"/>
      <c r="D48" s="39"/>
      <c r="E48" s="39"/>
      <c r="F48" s="90"/>
      <c r="G48" s="90"/>
      <c r="H48" s="243"/>
      <c r="I48" s="40"/>
      <c r="J48" s="35">
        <f t="shared" si="0"/>
        <v>0</v>
      </c>
      <c r="K48" s="36">
        <f t="shared" si="1"/>
        <v>0</v>
      </c>
      <c r="L48" s="12"/>
      <c r="M48" s="206">
        <f t="shared" si="2"/>
        <v>0</v>
      </c>
    </row>
    <row r="49" spans="1:13" x14ac:dyDescent="0.4">
      <c r="A49" s="32"/>
      <c r="B49" s="16"/>
      <c r="C49" s="16"/>
      <c r="D49" s="33"/>
      <c r="E49" s="33"/>
      <c r="F49" s="91"/>
      <c r="G49" s="91"/>
      <c r="H49" s="241"/>
      <c r="I49" s="34"/>
      <c r="J49" s="35">
        <f t="shared" si="0"/>
        <v>0</v>
      </c>
      <c r="K49" s="36">
        <f t="shared" si="1"/>
        <v>0</v>
      </c>
      <c r="L49" s="12"/>
      <c r="M49" s="206">
        <f t="shared" si="2"/>
        <v>0</v>
      </c>
    </row>
    <row r="50" spans="1:13" x14ac:dyDescent="0.4">
      <c r="A50" s="32"/>
      <c r="B50" s="16"/>
      <c r="C50" s="16"/>
      <c r="D50" s="33"/>
      <c r="E50" s="33"/>
      <c r="F50" s="91"/>
      <c r="G50" s="91"/>
      <c r="H50" s="241"/>
      <c r="I50" s="34"/>
      <c r="J50" s="35">
        <f t="shared" si="0"/>
        <v>0</v>
      </c>
      <c r="K50" s="36">
        <f t="shared" si="1"/>
        <v>0</v>
      </c>
      <c r="L50" s="12"/>
      <c r="M50" s="206">
        <f t="shared" si="2"/>
        <v>0</v>
      </c>
    </row>
    <row r="51" spans="1:13" x14ac:dyDescent="0.4">
      <c r="A51" s="32"/>
      <c r="B51" s="16"/>
      <c r="C51" s="16"/>
      <c r="D51" s="33"/>
      <c r="E51" s="33"/>
      <c r="F51" s="91"/>
      <c r="G51" s="91"/>
      <c r="H51" s="241"/>
      <c r="I51" s="34"/>
      <c r="J51" s="35">
        <f t="shared" si="0"/>
        <v>0</v>
      </c>
      <c r="K51" s="36">
        <f t="shared" si="1"/>
        <v>0</v>
      </c>
      <c r="L51" s="12"/>
      <c r="M51" s="206">
        <f t="shared" si="2"/>
        <v>0</v>
      </c>
    </row>
    <row r="52" spans="1:13" x14ac:dyDescent="0.4">
      <c r="A52" s="75"/>
      <c r="B52" s="76"/>
      <c r="C52" s="76"/>
      <c r="D52" s="77"/>
      <c r="E52" s="77"/>
      <c r="F52" s="92"/>
      <c r="G52" s="92"/>
      <c r="H52" s="242"/>
      <c r="I52" s="78"/>
      <c r="J52" s="35">
        <f t="shared" si="0"/>
        <v>0</v>
      </c>
      <c r="K52" s="36">
        <f t="shared" si="1"/>
        <v>0</v>
      </c>
      <c r="L52" s="12"/>
      <c r="M52" s="206">
        <f t="shared" si="2"/>
        <v>0</v>
      </c>
    </row>
    <row r="53" spans="1:13" x14ac:dyDescent="0.4">
      <c r="A53" s="73"/>
      <c r="B53" s="31"/>
      <c r="C53" s="31"/>
      <c r="D53" s="39"/>
      <c r="E53" s="39"/>
      <c r="F53" s="90"/>
      <c r="G53" s="90"/>
      <c r="H53" s="243"/>
      <c r="I53" s="40"/>
      <c r="J53" s="35">
        <f t="shared" si="0"/>
        <v>0</v>
      </c>
      <c r="K53" s="36">
        <f t="shared" si="1"/>
        <v>0</v>
      </c>
      <c r="L53" s="12"/>
      <c r="M53" s="206">
        <f t="shared" si="2"/>
        <v>0</v>
      </c>
    </row>
    <row r="54" spans="1:13" x14ac:dyDescent="0.4">
      <c r="A54" s="32"/>
      <c r="B54" s="16"/>
      <c r="C54" s="16"/>
      <c r="D54" s="33"/>
      <c r="E54" s="33"/>
      <c r="F54" s="91"/>
      <c r="G54" s="91"/>
      <c r="H54" s="241"/>
      <c r="I54" s="34"/>
      <c r="J54" s="35">
        <f t="shared" si="0"/>
        <v>0</v>
      </c>
      <c r="K54" s="36">
        <f t="shared" si="1"/>
        <v>0</v>
      </c>
      <c r="L54" s="12"/>
      <c r="M54" s="206">
        <f t="shared" si="2"/>
        <v>0</v>
      </c>
    </row>
    <row r="55" spans="1:13" x14ac:dyDescent="0.4">
      <c r="A55" s="75"/>
      <c r="B55" s="76"/>
      <c r="C55" s="76"/>
      <c r="D55" s="77"/>
      <c r="E55" s="77"/>
      <c r="F55" s="92"/>
      <c r="G55" s="92"/>
      <c r="H55" s="242"/>
      <c r="I55" s="78"/>
      <c r="J55" s="35">
        <f t="shared" si="0"/>
        <v>0</v>
      </c>
      <c r="K55" s="36">
        <f t="shared" si="1"/>
        <v>0</v>
      </c>
      <c r="L55" s="12"/>
      <c r="M55" s="206">
        <f t="shared" si="2"/>
        <v>0</v>
      </c>
    </row>
    <row r="56" spans="1:13" x14ac:dyDescent="0.4">
      <c r="A56" s="73"/>
      <c r="B56" s="31"/>
      <c r="C56" s="31"/>
      <c r="D56" s="39"/>
      <c r="E56" s="39"/>
      <c r="F56" s="90"/>
      <c r="G56" s="90"/>
      <c r="H56" s="243"/>
      <c r="I56" s="40"/>
      <c r="J56" s="35">
        <f t="shared" si="0"/>
        <v>0</v>
      </c>
      <c r="K56" s="36">
        <f t="shared" si="1"/>
        <v>0</v>
      </c>
      <c r="L56" s="12"/>
      <c r="M56" s="206">
        <f t="shared" si="2"/>
        <v>0</v>
      </c>
    </row>
    <row r="57" spans="1:13" x14ac:dyDescent="0.4">
      <c r="A57" s="32"/>
      <c r="B57" s="16"/>
      <c r="C57" s="16"/>
      <c r="D57" s="33"/>
      <c r="E57" s="33"/>
      <c r="F57" s="91"/>
      <c r="G57" s="91"/>
      <c r="H57" s="241"/>
      <c r="I57" s="34"/>
      <c r="J57" s="35">
        <f t="shared" si="0"/>
        <v>0</v>
      </c>
      <c r="K57" s="36">
        <f t="shared" si="1"/>
        <v>0</v>
      </c>
      <c r="L57" s="12"/>
      <c r="M57" s="206">
        <f t="shared" si="2"/>
        <v>0</v>
      </c>
    </row>
    <row r="58" spans="1:13" x14ac:dyDescent="0.4">
      <c r="A58" s="32"/>
      <c r="B58" s="16"/>
      <c r="C58" s="16"/>
      <c r="D58" s="33"/>
      <c r="E58" s="33"/>
      <c r="F58" s="91"/>
      <c r="G58" s="91"/>
      <c r="H58" s="241"/>
      <c r="I58" s="34"/>
      <c r="J58" s="35">
        <f t="shared" si="0"/>
        <v>0</v>
      </c>
      <c r="K58" s="36">
        <f t="shared" si="1"/>
        <v>0</v>
      </c>
      <c r="L58" s="12"/>
      <c r="M58" s="206">
        <f t="shared" si="2"/>
        <v>0</v>
      </c>
    </row>
    <row r="59" spans="1:13" x14ac:dyDescent="0.4">
      <c r="A59" s="32"/>
      <c r="B59" s="16"/>
      <c r="C59" s="16"/>
      <c r="D59" s="33"/>
      <c r="E59" s="33"/>
      <c r="F59" s="91"/>
      <c r="G59" s="91"/>
      <c r="H59" s="241"/>
      <c r="I59" s="34"/>
      <c r="J59" s="35">
        <f t="shared" si="0"/>
        <v>0</v>
      </c>
      <c r="K59" s="36">
        <f t="shared" si="1"/>
        <v>0</v>
      </c>
      <c r="L59" s="12"/>
      <c r="M59" s="206">
        <f t="shared" si="2"/>
        <v>0</v>
      </c>
    </row>
    <row r="60" spans="1:13" x14ac:dyDescent="0.4">
      <c r="A60" s="32"/>
      <c r="B60" s="16"/>
      <c r="C60" s="16"/>
      <c r="D60" s="33"/>
      <c r="E60" s="33"/>
      <c r="F60" s="91"/>
      <c r="G60" s="91"/>
      <c r="H60" s="241"/>
      <c r="I60" s="34"/>
      <c r="J60" s="35">
        <f t="shared" si="0"/>
        <v>0</v>
      </c>
      <c r="K60" s="36">
        <f t="shared" si="1"/>
        <v>0</v>
      </c>
      <c r="L60" s="12"/>
      <c r="M60" s="206">
        <f t="shared" si="2"/>
        <v>0</v>
      </c>
    </row>
    <row r="61" spans="1:13" x14ac:dyDescent="0.4">
      <c r="A61" s="32"/>
      <c r="B61" s="16"/>
      <c r="C61" s="16"/>
      <c r="D61" s="33"/>
      <c r="E61" s="33"/>
      <c r="F61" s="91"/>
      <c r="G61" s="91"/>
      <c r="H61" s="241"/>
      <c r="I61" s="34"/>
      <c r="J61" s="35">
        <f t="shared" si="0"/>
        <v>0</v>
      </c>
      <c r="K61" s="36">
        <f t="shared" si="1"/>
        <v>0</v>
      </c>
      <c r="L61" s="12"/>
      <c r="M61" s="206">
        <f t="shared" si="2"/>
        <v>0</v>
      </c>
    </row>
    <row r="62" spans="1:13" x14ac:dyDescent="0.4">
      <c r="A62" s="146"/>
      <c r="B62" s="97"/>
      <c r="C62" s="97"/>
      <c r="D62" s="98"/>
      <c r="E62" s="98"/>
      <c r="F62" s="213"/>
      <c r="G62" s="213"/>
      <c r="H62" s="244"/>
      <c r="I62" s="99"/>
      <c r="J62" s="96">
        <f t="shared" si="0"/>
        <v>0</v>
      </c>
      <c r="K62" s="36">
        <f t="shared" si="1"/>
        <v>0</v>
      </c>
      <c r="L62" s="12"/>
      <c r="M62" s="206">
        <f t="shared" si="2"/>
        <v>0</v>
      </c>
    </row>
    <row r="63" spans="1:13" ht="15.4" thickBot="1" x14ac:dyDescent="0.45">
      <c r="A63" s="147"/>
      <c r="B63" s="148"/>
      <c r="C63" s="148"/>
      <c r="D63" s="149"/>
      <c r="E63" s="149"/>
      <c r="F63" s="214"/>
      <c r="G63" s="214"/>
      <c r="H63" s="245"/>
      <c r="I63" s="211"/>
      <c r="J63" s="195">
        <f t="shared" si="0"/>
        <v>0</v>
      </c>
      <c r="K63" s="38">
        <f t="shared" si="1"/>
        <v>0</v>
      </c>
      <c r="L63" s="12"/>
      <c r="M63" s="206">
        <f t="shared" si="2"/>
        <v>0</v>
      </c>
    </row>
    <row r="64" spans="1:13" x14ac:dyDescent="0.4">
      <c r="A64" s="190"/>
      <c r="B64" s="191"/>
      <c r="C64" s="192"/>
      <c r="D64" s="193"/>
      <c r="E64" s="194"/>
      <c r="F64" s="212"/>
      <c r="G64" s="212"/>
      <c r="H64" s="240"/>
      <c r="I64" s="145"/>
      <c r="J64" s="49">
        <f t="shared" si="0"/>
        <v>0</v>
      </c>
      <c r="K64" s="50">
        <f t="shared" si="1"/>
        <v>0</v>
      </c>
      <c r="L64" s="12"/>
      <c r="M64" s="206">
        <f t="shared" si="2"/>
        <v>0</v>
      </c>
    </row>
    <row r="65" spans="1:15" x14ac:dyDescent="0.4">
      <c r="A65" s="82"/>
      <c r="B65" s="16"/>
      <c r="C65" s="97"/>
      <c r="D65" s="104"/>
      <c r="E65" s="33"/>
      <c r="F65" s="91"/>
      <c r="G65" s="91"/>
      <c r="H65" s="241"/>
      <c r="I65" s="34"/>
      <c r="J65" s="35">
        <f t="shared" si="0"/>
        <v>0</v>
      </c>
      <c r="K65" s="36">
        <f t="shared" si="1"/>
        <v>0</v>
      </c>
      <c r="L65" s="12"/>
      <c r="M65" s="206">
        <f t="shared" si="2"/>
        <v>0</v>
      </c>
    </row>
    <row r="66" spans="1:15" x14ac:dyDescent="0.4">
      <c r="A66" s="82"/>
      <c r="B66" s="16"/>
      <c r="C66" s="97"/>
      <c r="D66" s="104"/>
      <c r="E66" s="33"/>
      <c r="F66" s="91"/>
      <c r="G66" s="91"/>
      <c r="H66" s="241"/>
      <c r="I66" s="34"/>
      <c r="J66" s="35">
        <f t="shared" si="0"/>
        <v>0</v>
      </c>
      <c r="K66" s="36">
        <f t="shared" si="1"/>
        <v>0</v>
      </c>
      <c r="L66" s="12"/>
      <c r="M66" s="206">
        <f t="shared" si="2"/>
        <v>0</v>
      </c>
      <c r="O66" s="163"/>
    </row>
    <row r="67" spans="1:15" x14ac:dyDescent="0.4">
      <c r="A67" s="82"/>
      <c r="B67" s="16"/>
      <c r="C67" s="97"/>
      <c r="D67" s="104"/>
      <c r="E67" s="33"/>
      <c r="F67" s="91"/>
      <c r="G67" s="91"/>
      <c r="H67" s="241"/>
      <c r="I67" s="34"/>
      <c r="J67" s="35">
        <f t="shared" si="0"/>
        <v>0</v>
      </c>
      <c r="K67" s="36">
        <f t="shared" si="1"/>
        <v>0</v>
      </c>
      <c r="L67" s="12"/>
      <c r="M67" s="206">
        <f t="shared" si="2"/>
        <v>0</v>
      </c>
    </row>
    <row r="68" spans="1:15" x14ac:dyDescent="0.4">
      <c r="A68" s="82"/>
      <c r="B68" s="16"/>
      <c r="C68" s="97"/>
      <c r="D68" s="104"/>
      <c r="E68" s="33"/>
      <c r="F68" s="91"/>
      <c r="G68" s="91"/>
      <c r="H68" s="241"/>
      <c r="I68" s="34"/>
      <c r="J68" s="35">
        <f t="shared" si="0"/>
        <v>0</v>
      </c>
      <c r="K68" s="36">
        <f t="shared" si="1"/>
        <v>0</v>
      </c>
      <c r="L68" s="12"/>
      <c r="M68" s="206">
        <f t="shared" si="2"/>
        <v>0</v>
      </c>
    </row>
    <row r="69" spans="1:15" x14ac:dyDescent="0.4">
      <c r="A69" s="82"/>
      <c r="B69" s="16"/>
      <c r="C69" s="97"/>
      <c r="D69" s="104"/>
      <c r="E69" s="33"/>
      <c r="F69" s="91"/>
      <c r="G69" s="91"/>
      <c r="H69" s="241"/>
      <c r="I69" s="34"/>
      <c r="J69" s="35">
        <f t="shared" si="0"/>
        <v>0</v>
      </c>
      <c r="K69" s="36">
        <f t="shared" si="1"/>
        <v>0</v>
      </c>
      <c r="L69" s="12"/>
      <c r="M69" s="206">
        <f t="shared" si="2"/>
        <v>0</v>
      </c>
    </row>
    <row r="70" spans="1:15" x14ac:dyDescent="0.4">
      <c r="A70" s="80"/>
      <c r="B70" s="16"/>
      <c r="C70" s="97"/>
      <c r="D70" s="104"/>
      <c r="E70" s="33"/>
      <c r="F70" s="91"/>
      <c r="G70" s="91"/>
      <c r="H70" s="241"/>
      <c r="I70" s="34"/>
      <c r="J70" s="35">
        <f t="shared" ref="J70:J133" si="3">IF(F70="TLX",ROUND(M70/32*H70,2),ROUND(M70*H70,2))</f>
        <v>0</v>
      </c>
      <c r="K70" s="36">
        <f t="shared" ref="K70:K133" si="4">SUM(I70+J70)</f>
        <v>0</v>
      </c>
      <c r="L70" s="12"/>
      <c r="M70" s="206">
        <f t="shared" ref="M70:M133" si="5">ROUND(D70+E70/60,2)</f>
        <v>0</v>
      </c>
      <c r="O70" s="162"/>
    </row>
    <row r="71" spans="1:15" x14ac:dyDescent="0.4">
      <c r="A71" s="80"/>
      <c r="B71" s="16"/>
      <c r="C71" s="97"/>
      <c r="D71" s="33"/>
      <c r="E71" s="33"/>
      <c r="F71" s="91"/>
      <c r="G71" s="91"/>
      <c r="H71" s="241"/>
      <c r="I71" s="34"/>
      <c r="J71" s="35">
        <f t="shared" si="3"/>
        <v>0</v>
      </c>
      <c r="K71" s="36">
        <f t="shared" si="4"/>
        <v>0</v>
      </c>
      <c r="L71" s="12"/>
      <c r="M71" s="206">
        <f t="shared" si="5"/>
        <v>0</v>
      </c>
    </row>
    <row r="72" spans="1:15" x14ac:dyDescent="0.4">
      <c r="A72" s="82"/>
      <c r="B72" s="16"/>
      <c r="C72" s="97"/>
      <c r="D72" s="104"/>
      <c r="E72" s="33"/>
      <c r="F72" s="91"/>
      <c r="G72" s="91"/>
      <c r="H72" s="241"/>
      <c r="I72" s="34"/>
      <c r="J72" s="35">
        <f t="shared" si="3"/>
        <v>0</v>
      </c>
      <c r="K72" s="36">
        <f t="shared" si="4"/>
        <v>0</v>
      </c>
      <c r="L72" s="12"/>
      <c r="M72" s="206">
        <f t="shared" si="5"/>
        <v>0</v>
      </c>
    </row>
    <row r="73" spans="1:15" x14ac:dyDescent="0.4">
      <c r="A73" s="82"/>
      <c r="B73" s="16"/>
      <c r="C73" s="97"/>
      <c r="D73" s="104"/>
      <c r="E73" s="33"/>
      <c r="F73" s="91"/>
      <c r="G73" s="91"/>
      <c r="H73" s="241"/>
      <c r="I73" s="34"/>
      <c r="J73" s="35">
        <f t="shared" si="3"/>
        <v>0</v>
      </c>
      <c r="K73" s="36">
        <f t="shared" si="4"/>
        <v>0</v>
      </c>
      <c r="L73" s="12"/>
      <c r="M73" s="206">
        <f t="shared" si="5"/>
        <v>0</v>
      </c>
    </row>
    <row r="74" spans="1:15" x14ac:dyDescent="0.4">
      <c r="A74" s="80"/>
      <c r="B74" s="16"/>
      <c r="C74" s="97"/>
      <c r="D74" s="104"/>
      <c r="E74" s="33"/>
      <c r="F74" s="91"/>
      <c r="G74" s="91"/>
      <c r="H74" s="241"/>
      <c r="I74" s="34"/>
      <c r="J74" s="35">
        <f t="shared" si="3"/>
        <v>0</v>
      </c>
      <c r="K74" s="36">
        <f t="shared" si="4"/>
        <v>0</v>
      </c>
      <c r="L74" s="12"/>
      <c r="M74" s="206">
        <f t="shared" si="5"/>
        <v>0</v>
      </c>
    </row>
    <row r="75" spans="1:15" x14ac:dyDescent="0.4">
      <c r="A75" s="80"/>
      <c r="B75" s="16"/>
      <c r="C75" s="16"/>
      <c r="D75" s="33"/>
      <c r="E75" s="33"/>
      <c r="F75" s="91"/>
      <c r="G75" s="91"/>
      <c r="H75" s="241"/>
      <c r="I75" s="34"/>
      <c r="J75" s="35">
        <f t="shared" si="3"/>
        <v>0</v>
      </c>
      <c r="K75" s="36">
        <f t="shared" si="4"/>
        <v>0</v>
      </c>
      <c r="L75" s="12"/>
      <c r="M75" s="206">
        <f t="shared" si="5"/>
        <v>0</v>
      </c>
      <c r="N75" s="161"/>
    </row>
    <row r="76" spans="1:15" x14ac:dyDescent="0.4">
      <c r="A76" s="80"/>
      <c r="B76" s="16"/>
      <c r="C76" s="97"/>
      <c r="D76" s="33"/>
      <c r="E76" s="33"/>
      <c r="F76" s="91"/>
      <c r="G76" s="91"/>
      <c r="H76" s="241"/>
      <c r="I76" s="34"/>
      <c r="J76" s="35">
        <f t="shared" si="3"/>
        <v>0</v>
      </c>
      <c r="K76" s="36">
        <f t="shared" si="4"/>
        <v>0</v>
      </c>
      <c r="L76" s="12"/>
      <c r="M76" s="206">
        <f t="shared" si="5"/>
        <v>0</v>
      </c>
      <c r="N76" s="161"/>
    </row>
    <row r="77" spans="1:15" x14ac:dyDescent="0.4">
      <c r="A77" s="82"/>
      <c r="B77" s="16"/>
      <c r="C77" s="97"/>
      <c r="D77" s="104"/>
      <c r="E77" s="33"/>
      <c r="F77" s="91"/>
      <c r="G77" s="91"/>
      <c r="H77" s="241"/>
      <c r="I77" s="34"/>
      <c r="J77" s="35">
        <f t="shared" si="3"/>
        <v>0</v>
      </c>
      <c r="K77" s="36">
        <f t="shared" si="4"/>
        <v>0</v>
      </c>
      <c r="L77" s="12"/>
      <c r="M77" s="206">
        <f t="shared" si="5"/>
        <v>0</v>
      </c>
      <c r="N77" s="161"/>
    </row>
    <row r="78" spans="1:15" x14ac:dyDescent="0.4">
      <c r="A78" s="80"/>
      <c r="B78" s="16"/>
      <c r="C78" s="97"/>
      <c r="D78" s="104"/>
      <c r="E78" s="33"/>
      <c r="F78" s="91"/>
      <c r="G78" s="91"/>
      <c r="H78" s="241"/>
      <c r="I78" s="34"/>
      <c r="J78" s="35">
        <f t="shared" si="3"/>
        <v>0</v>
      </c>
      <c r="K78" s="36">
        <f t="shared" si="4"/>
        <v>0</v>
      </c>
      <c r="L78" s="12"/>
      <c r="M78" s="206">
        <f t="shared" si="5"/>
        <v>0</v>
      </c>
      <c r="N78" s="161"/>
    </row>
    <row r="79" spans="1:15" x14ac:dyDescent="0.4">
      <c r="A79" s="80"/>
      <c r="B79" s="16"/>
      <c r="C79" s="97"/>
      <c r="D79" s="104"/>
      <c r="E79" s="33"/>
      <c r="F79" s="91"/>
      <c r="G79" s="91"/>
      <c r="H79" s="241"/>
      <c r="I79" s="34"/>
      <c r="J79" s="35">
        <f t="shared" si="3"/>
        <v>0</v>
      </c>
      <c r="K79" s="36">
        <f t="shared" si="4"/>
        <v>0</v>
      </c>
      <c r="L79" s="12"/>
      <c r="M79" s="206">
        <f t="shared" si="5"/>
        <v>0</v>
      </c>
      <c r="N79" s="161"/>
    </row>
    <row r="80" spans="1:15" x14ac:dyDescent="0.4">
      <c r="A80" s="80"/>
      <c r="B80" s="16"/>
      <c r="C80" s="97"/>
      <c r="D80" s="33"/>
      <c r="E80" s="33"/>
      <c r="F80" s="91"/>
      <c r="G80" s="91"/>
      <c r="H80" s="241"/>
      <c r="I80" s="34"/>
      <c r="J80" s="35">
        <f t="shared" si="3"/>
        <v>0</v>
      </c>
      <c r="K80" s="36">
        <f t="shared" si="4"/>
        <v>0</v>
      </c>
      <c r="L80" s="12"/>
      <c r="M80" s="206">
        <f t="shared" si="5"/>
        <v>0</v>
      </c>
      <c r="N80" s="161"/>
    </row>
    <row r="81" spans="1:13" x14ac:dyDescent="0.4">
      <c r="A81" s="80"/>
      <c r="B81" s="16"/>
      <c r="C81" s="97"/>
      <c r="D81" s="33"/>
      <c r="E81" s="33"/>
      <c r="F81" s="91"/>
      <c r="G81" s="91"/>
      <c r="H81" s="241"/>
      <c r="I81" s="34"/>
      <c r="J81" s="35">
        <f t="shared" si="3"/>
        <v>0</v>
      </c>
      <c r="K81" s="36">
        <f t="shared" si="4"/>
        <v>0</v>
      </c>
      <c r="L81" s="12"/>
      <c r="M81" s="206">
        <f t="shared" si="5"/>
        <v>0</v>
      </c>
    </row>
    <row r="82" spans="1:13" x14ac:dyDescent="0.4">
      <c r="A82" s="80"/>
      <c r="B82" s="16"/>
      <c r="C82" s="97"/>
      <c r="D82" s="33"/>
      <c r="E82" s="33"/>
      <c r="F82" s="91"/>
      <c r="G82" s="91"/>
      <c r="H82" s="241"/>
      <c r="I82" s="34"/>
      <c r="J82" s="35">
        <f t="shared" si="3"/>
        <v>0</v>
      </c>
      <c r="K82" s="36">
        <f t="shared" si="4"/>
        <v>0</v>
      </c>
      <c r="L82" s="12"/>
      <c r="M82" s="206">
        <f t="shared" si="5"/>
        <v>0</v>
      </c>
    </row>
    <row r="83" spans="1:13" x14ac:dyDescent="0.4">
      <c r="A83" s="80"/>
      <c r="B83" s="16"/>
      <c r="C83" s="97"/>
      <c r="D83" s="33"/>
      <c r="E83" s="33"/>
      <c r="F83" s="91"/>
      <c r="G83" s="91"/>
      <c r="H83" s="241"/>
      <c r="I83" s="34"/>
      <c r="J83" s="35">
        <f t="shared" si="3"/>
        <v>0</v>
      </c>
      <c r="K83" s="36">
        <f t="shared" si="4"/>
        <v>0</v>
      </c>
      <c r="L83" s="12"/>
      <c r="M83" s="206">
        <f t="shared" si="5"/>
        <v>0</v>
      </c>
    </row>
    <row r="84" spans="1:13" x14ac:dyDescent="0.4">
      <c r="A84" s="80"/>
      <c r="B84" s="16"/>
      <c r="C84" s="97"/>
      <c r="D84" s="33"/>
      <c r="E84" s="33"/>
      <c r="F84" s="91"/>
      <c r="G84" s="91"/>
      <c r="H84" s="241"/>
      <c r="I84" s="34"/>
      <c r="J84" s="35">
        <f t="shared" si="3"/>
        <v>0</v>
      </c>
      <c r="K84" s="36">
        <f t="shared" si="4"/>
        <v>0</v>
      </c>
      <c r="L84" s="12"/>
      <c r="M84" s="206">
        <f t="shared" si="5"/>
        <v>0</v>
      </c>
    </row>
    <row r="85" spans="1:13" x14ac:dyDescent="0.4">
      <c r="A85" s="80"/>
      <c r="B85" s="16"/>
      <c r="C85" s="97"/>
      <c r="D85" s="33"/>
      <c r="E85" s="33"/>
      <c r="F85" s="91"/>
      <c r="G85" s="91"/>
      <c r="H85" s="241"/>
      <c r="I85" s="34"/>
      <c r="J85" s="35">
        <f t="shared" si="3"/>
        <v>0</v>
      </c>
      <c r="K85" s="36">
        <f t="shared" si="4"/>
        <v>0</v>
      </c>
      <c r="L85" s="12"/>
      <c r="M85" s="206">
        <f t="shared" si="5"/>
        <v>0</v>
      </c>
    </row>
    <row r="86" spans="1:13" x14ac:dyDescent="0.4">
      <c r="A86" s="80"/>
      <c r="B86" s="16"/>
      <c r="C86" s="97"/>
      <c r="D86" s="33"/>
      <c r="E86" s="33"/>
      <c r="F86" s="91"/>
      <c r="G86" s="91"/>
      <c r="H86" s="241"/>
      <c r="I86" s="34"/>
      <c r="J86" s="35">
        <f t="shared" si="3"/>
        <v>0</v>
      </c>
      <c r="K86" s="36">
        <f t="shared" si="4"/>
        <v>0</v>
      </c>
      <c r="L86" s="12"/>
      <c r="M86" s="206">
        <f t="shared" si="5"/>
        <v>0</v>
      </c>
    </row>
    <row r="87" spans="1:13" x14ac:dyDescent="0.4">
      <c r="A87" s="80"/>
      <c r="B87" s="16"/>
      <c r="C87" s="74"/>
      <c r="D87" s="33"/>
      <c r="E87" s="33"/>
      <c r="F87" s="91"/>
      <c r="G87" s="91"/>
      <c r="H87" s="241"/>
      <c r="I87" s="15"/>
      <c r="J87" s="35">
        <f t="shared" si="3"/>
        <v>0</v>
      </c>
      <c r="K87" s="36">
        <f t="shared" si="4"/>
        <v>0</v>
      </c>
      <c r="L87" s="12"/>
      <c r="M87" s="206">
        <f t="shared" si="5"/>
        <v>0</v>
      </c>
    </row>
    <row r="88" spans="1:13" x14ac:dyDescent="0.4">
      <c r="A88" s="80"/>
      <c r="B88" s="16"/>
      <c r="C88" s="74"/>
      <c r="D88" s="33"/>
      <c r="E88" s="33"/>
      <c r="F88" s="91"/>
      <c r="G88" s="91"/>
      <c r="H88" s="241"/>
      <c r="I88" s="15"/>
      <c r="J88" s="35">
        <f t="shared" si="3"/>
        <v>0</v>
      </c>
      <c r="K88" s="36">
        <f t="shared" si="4"/>
        <v>0</v>
      </c>
      <c r="L88" s="12"/>
      <c r="M88" s="206">
        <f t="shared" si="5"/>
        <v>0</v>
      </c>
    </row>
    <row r="89" spans="1:13" x14ac:dyDescent="0.4">
      <c r="A89" s="80"/>
      <c r="B89" s="16"/>
      <c r="C89" s="74"/>
      <c r="D89" s="33"/>
      <c r="E89" s="33"/>
      <c r="F89" s="91"/>
      <c r="G89" s="91"/>
      <c r="H89" s="241"/>
      <c r="I89" s="34"/>
      <c r="J89" s="35">
        <f t="shared" si="3"/>
        <v>0</v>
      </c>
      <c r="K89" s="36">
        <f t="shared" si="4"/>
        <v>0</v>
      </c>
      <c r="L89" s="12"/>
      <c r="M89" s="206">
        <f t="shared" si="5"/>
        <v>0</v>
      </c>
    </row>
    <row r="90" spans="1:13" x14ac:dyDescent="0.4">
      <c r="A90" s="80"/>
      <c r="B90" s="16"/>
      <c r="C90" s="74"/>
      <c r="D90" s="33"/>
      <c r="E90" s="33"/>
      <c r="F90" s="91"/>
      <c r="G90" s="91"/>
      <c r="H90" s="241"/>
      <c r="I90" s="34"/>
      <c r="J90" s="35">
        <f t="shared" si="3"/>
        <v>0</v>
      </c>
      <c r="K90" s="36">
        <f t="shared" si="4"/>
        <v>0</v>
      </c>
      <c r="L90" s="12"/>
      <c r="M90" s="206">
        <f t="shared" si="5"/>
        <v>0</v>
      </c>
    </row>
    <row r="91" spans="1:13" x14ac:dyDescent="0.4">
      <c r="A91" s="80"/>
      <c r="B91" s="16"/>
      <c r="C91" s="74"/>
      <c r="D91" s="33"/>
      <c r="E91" s="33"/>
      <c r="F91" s="91"/>
      <c r="G91" s="91"/>
      <c r="H91" s="241"/>
      <c r="I91" s="34"/>
      <c r="J91" s="35">
        <f t="shared" si="3"/>
        <v>0</v>
      </c>
      <c r="K91" s="36">
        <f t="shared" si="4"/>
        <v>0</v>
      </c>
      <c r="L91" s="12"/>
      <c r="M91" s="206">
        <f t="shared" si="5"/>
        <v>0</v>
      </c>
    </row>
    <row r="92" spans="1:13" x14ac:dyDescent="0.4">
      <c r="A92" s="80"/>
      <c r="B92" s="16"/>
      <c r="C92" s="74"/>
      <c r="D92" s="33"/>
      <c r="E92" s="33"/>
      <c r="F92" s="91"/>
      <c r="G92" s="91"/>
      <c r="H92" s="241"/>
      <c r="I92" s="34"/>
      <c r="J92" s="35">
        <f t="shared" si="3"/>
        <v>0</v>
      </c>
      <c r="K92" s="36">
        <f t="shared" si="4"/>
        <v>0</v>
      </c>
      <c r="L92" s="12"/>
      <c r="M92" s="206">
        <f t="shared" si="5"/>
        <v>0</v>
      </c>
    </row>
    <row r="93" spans="1:13" x14ac:dyDescent="0.4">
      <c r="A93" s="80"/>
      <c r="B93" s="16"/>
      <c r="C93" s="74"/>
      <c r="D93" s="33"/>
      <c r="E93" s="33"/>
      <c r="F93" s="91"/>
      <c r="G93" s="91"/>
      <c r="H93" s="241"/>
      <c r="I93" s="34"/>
      <c r="J93" s="35">
        <f t="shared" si="3"/>
        <v>0</v>
      </c>
      <c r="K93" s="36">
        <f t="shared" si="4"/>
        <v>0</v>
      </c>
      <c r="L93" s="12"/>
      <c r="M93" s="206">
        <f t="shared" si="5"/>
        <v>0</v>
      </c>
    </row>
    <row r="94" spans="1:13" x14ac:dyDescent="0.4">
      <c r="A94" s="80"/>
      <c r="B94" s="16"/>
      <c r="C94" s="74"/>
      <c r="D94" s="33"/>
      <c r="E94" s="33"/>
      <c r="F94" s="91"/>
      <c r="G94" s="91"/>
      <c r="H94" s="241"/>
      <c r="I94" s="34"/>
      <c r="J94" s="35">
        <f t="shared" si="3"/>
        <v>0</v>
      </c>
      <c r="K94" s="36">
        <f t="shared" si="4"/>
        <v>0</v>
      </c>
      <c r="L94" s="12"/>
      <c r="M94" s="206">
        <f t="shared" si="5"/>
        <v>0</v>
      </c>
    </row>
    <row r="95" spans="1:13" x14ac:dyDescent="0.4">
      <c r="A95" s="80"/>
      <c r="B95" s="16"/>
      <c r="C95" s="16"/>
      <c r="D95" s="33"/>
      <c r="E95" s="33"/>
      <c r="F95" s="91"/>
      <c r="G95" s="91"/>
      <c r="H95" s="241"/>
      <c r="I95" s="34"/>
      <c r="J95" s="35">
        <f t="shared" si="3"/>
        <v>0</v>
      </c>
      <c r="K95" s="36">
        <f t="shared" si="4"/>
        <v>0</v>
      </c>
      <c r="L95" s="12"/>
      <c r="M95" s="206">
        <f t="shared" si="5"/>
        <v>0</v>
      </c>
    </row>
    <row r="96" spans="1:13" x14ac:dyDescent="0.4">
      <c r="A96" s="80"/>
      <c r="B96" s="16"/>
      <c r="C96" s="16"/>
      <c r="D96" s="33"/>
      <c r="E96" s="33"/>
      <c r="F96" s="91"/>
      <c r="G96" s="91"/>
      <c r="H96" s="241"/>
      <c r="I96" s="34"/>
      <c r="J96" s="35">
        <f t="shared" si="3"/>
        <v>0</v>
      </c>
      <c r="K96" s="36">
        <f t="shared" si="4"/>
        <v>0</v>
      </c>
      <c r="L96" s="12"/>
      <c r="M96" s="206">
        <f t="shared" si="5"/>
        <v>0</v>
      </c>
    </row>
    <row r="97" spans="1:13" x14ac:dyDescent="0.4">
      <c r="A97" s="80"/>
      <c r="B97" s="16"/>
      <c r="C97" s="16"/>
      <c r="D97" s="33"/>
      <c r="E97" s="33"/>
      <c r="F97" s="91"/>
      <c r="G97" s="91"/>
      <c r="H97" s="241"/>
      <c r="I97" s="34"/>
      <c r="J97" s="35">
        <f t="shared" si="3"/>
        <v>0</v>
      </c>
      <c r="K97" s="36">
        <f t="shared" si="4"/>
        <v>0</v>
      </c>
      <c r="L97" s="12"/>
      <c r="M97" s="206">
        <f t="shared" si="5"/>
        <v>0</v>
      </c>
    </row>
    <row r="98" spans="1:13" x14ac:dyDescent="0.4">
      <c r="A98" s="32"/>
      <c r="B98" s="16"/>
      <c r="C98" s="16"/>
      <c r="D98" s="33"/>
      <c r="E98" s="33"/>
      <c r="F98" s="91"/>
      <c r="G98" s="91"/>
      <c r="H98" s="241"/>
      <c r="I98" s="34"/>
      <c r="J98" s="35">
        <f t="shared" si="3"/>
        <v>0</v>
      </c>
      <c r="K98" s="36">
        <f t="shared" si="4"/>
        <v>0</v>
      </c>
      <c r="L98" s="12"/>
      <c r="M98" s="206">
        <f t="shared" si="5"/>
        <v>0</v>
      </c>
    </row>
    <row r="99" spans="1:13" x14ac:dyDescent="0.4">
      <c r="A99" s="32"/>
      <c r="B99" s="16"/>
      <c r="C99" s="16"/>
      <c r="D99" s="33"/>
      <c r="E99" s="33"/>
      <c r="F99" s="91"/>
      <c r="G99" s="91"/>
      <c r="H99" s="241"/>
      <c r="I99" s="34"/>
      <c r="J99" s="35">
        <f t="shared" si="3"/>
        <v>0</v>
      </c>
      <c r="K99" s="36">
        <f t="shared" si="4"/>
        <v>0</v>
      </c>
      <c r="L99" s="12"/>
      <c r="M99" s="206">
        <f t="shared" si="5"/>
        <v>0</v>
      </c>
    </row>
    <row r="100" spans="1:13" x14ac:dyDescent="0.4">
      <c r="A100" s="32"/>
      <c r="B100" s="16"/>
      <c r="C100" s="74"/>
      <c r="D100" s="33"/>
      <c r="E100" s="33"/>
      <c r="F100" s="91"/>
      <c r="G100" s="91"/>
      <c r="H100" s="241"/>
      <c r="I100" s="34"/>
      <c r="J100" s="35">
        <f t="shared" si="3"/>
        <v>0</v>
      </c>
      <c r="K100" s="36">
        <f t="shared" si="4"/>
        <v>0</v>
      </c>
      <c r="L100" s="12"/>
      <c r="M100" s="206">
        <f t="shared" si="5"/>
        <v>0</v>
      </c>
    </row>
    <row r="101" spans="1:13" x14ac:dyDescent="0.4">
      <c r="A101" s="32"/>
      <c r="B101" s="16"/>
      <c r="C101" s="74"/>
      <c r="D101" s="33"/>
      <c r="E101" s="33"/>
      <c r="F101" s="91"/>
      <c r="G101" s="91"/>
      <c r="H101" s="241"/>
      <c r="I101" s="34"/>
      <c r="J101" s="35">
        <f t="shared" si="3"/>
        <v>0</v>
      </c>
      <c r="K101" s="36">
        <f t="shared" si="4"/>
        <v>0</v>
      </c>
      <c r="L101" s="12"/>
      <c r="M101" s="206">
        <f t="shared" si="5"/>
        <v>0</v>
      </c>
    </row>
    <row r="102" spans="1:13" x14ac:dyDescent="0.4">
      <c r="A102" s="32"/>
      <c r="B102" s="16"/>
      <c r="C102" s="16"/>
      <c r="D102" s="33"/>
      <c r="E102" s="33"/>
      <c r="F102" s="91"/>
      <c r="G102" s="91"/>
      <c r="H102" s="241"/>
      <c r="I102" s="34"/>
      <c r="J102" s="35">
        <f t="shared" si="3"/>
        <v>0</v>
      </c>
      <c r="K102" s="36">
        <f t="shared" si="4"/>
        <v>0</v>
      </c>
      <c r="L102" s="12"/>
      <c r="M102" s="206">
        <f t="shared" si="5"/>
        <v>0</v>
      </c>
    </row>
    <row r="103" spans="1:13" x14ac:dyDescent="0.4">
      <c r="A103" s="32"/>
      <c r="B103" s="16"/>
      <c r="C103" s="16"/>
      <c r="D103" s="33"/>
      <c r="E103" s="33"/>
      <c r="F103" s="91"/>
      <c r="G103" s="91"/>
      <c r="H103" s="241"/>
      <c r="I103" s="34"/>
      <c r="J103" s="35">
        <f t="shared" si="3"/>
        <v>0</v>
      </c>
      <c r="K103" s="36">
        <f t="shared" si="4"/>
        <v>0</v>
      </c>
      <c r="L103" s="12"/>
      <c r="M103" s="206">
        <f t="shared" si="5"/>
        <v>0</v>
      </c>
    </row>
    <row r="104" spans="1:13" x14ac:dyDescent="0.4">
      <c r="A104" s="32"/>
      <c r="B104" s="16"/>
      <c r="C104" s="16"/>
      <c r="D104" s="33"/>
      <c r="E104" s="33"/>
      <c r="F104" s="91"/>
      <c r="G104" s="91"/>
      <c r="H104" s="241"/>
      <c r="I104" s="34"/>
      <c r="J104" s="35">
        <f t="shared" si="3"/>
        <v>0</v>
      </c>
      <c r="K104" s="36">
        <f t="shared" si="4"/>
        <v>0</v>
      </c>
      <c r="L104" s="12"/>
      <c r="M104" s="206">
        <f t="shared" si="5"/>
        <v>0</v>
      </c>
    </row>
    <row r="105" spans="1:13" x14ac:dyDescent="0.4">
      <c r="A105" s="75"/>
      <c r="B105" s="76"/>
      <c r="C105" s="76"/>
      <c r="D105" s="77"/>
      <c r="E105" s="77"/>
      <c r="F105" s="92"/>
      <c r="G105" s="92"/>
      <c r="H105" s="242"/>
      <c r="I105" s="78"/>
      <c r="J105" s="35">
        <f t="shared" si="3"/>
        <v>0</v>
      </c>
      <c r="K105" s="36">
        <f t="shared" si="4"/>
        <v>0</v>
      </c>
      <c r="L105" s="12"/>
      <c r="M105" s="206">
        <f t="shared" si="5"/>
        <v>0</v>
      </c>
    </row>
    <row r="106" spans="1:13" x14ac:dyDescent="0.4">
      <c r="A106" s="73"/>
      <c r="B106" s="31"/>
      <c r="C106" s="31"/>
      <c r="D106" s="39"/>
      <c r="E106" s="39"/>
      <c r="F106" s="90"/>
      <c r="G106" s="90"/>
      <c r="H106" s="243"/>
      <c r="I106" s="40"/>
      <c r="J106" s="35">
        <f t="shared" si="3"/>
        <v>0</v>
      </c>
      <c r="K106" s="36">
        <f t="shared" si="4"/>
        <v>0</v>
      </c>
      <c r="L106" s="12"/>
      <c r="M106" s="206">
        <f t="shared" si="5"/>
        <v>0</v>
      </c>
    </row>
    <row r="107" spans="1:13" x14ac:dyDescent="0.4">
      <c r="A107" s="32"/>
      <c r="B107" s="16"/>
      <c r="C107" s="16"/>
      <c r="D107" s="33"/>
      <c r="E107" s="33"/>
      <c r="F107" s="91"/>
      <c r="G107" s="91"/>
      <c r="H107" s="241"/>
      <c r="I107" s="34"/>
      <c r="J107" s="35">
        <f t="shared" si="3"/>
        <v>0</v>
      </c>
      <c r="K107" s="36">
        <f t="shared" si="4"/>
        <v>0</v>
      </c>
      <c r="L107" s="12"/>
      <c r="M107" s="206">
        <f t="shared" si="5"/>
        <v>0</v>
      </c>
    </row>
    <row r="108" spans="1:13" x14ac:dyDescent="0.4">
      <c r="A108" s="32"/>
      <c r="B108" s="16"/>
      <c r="C108" s="16"/>
      <c r="D108" s="33"/>
      <c r="E108" s="33"/>
      <c r="F108" s="91"/>
      <c r="G108" s="91"/>
      <c r="H108" s="241"/>
      <c r="I108" s="34"/>
      <c r="J108" s="35">
        <f t="shared" si="3"/>
        <v>0</v>
      </c>
      <c r="K108" s="36">
        <f t="shared" si="4"/>
        <v>0</v>
      </c>
      <c r="L108" s="12"/>
      <c r="M108" s="206">
        <f t="shared" si="5"/>
        <v>0</v>
      </c>
    </row>
    <row r="109" spans="1:13" x14ac:dyDescent="0.4">
      <c r="A109" s="32"/>
      <c r="B109" s="16"/>
      <c r="C109" s="74"/>
      <c r="D109" s="33"/>
      <c r="E109" s="33"/>
      <c r="F109" s="91"/>
      <c r="G109" s="91"/>
      <c r="H109" s="241"/>
      <c r="I109" s="34"/>
      <c r="J109" s="35">
        <f t="shared" si="3"/>
        <v>0</v>
      </c>
      <c r="K109" s="36">
        <f t="shared" si="4"/>
        <v>0</v>
      </c>
      <c r="L109" s="12"/>
      <c r="M109" s="206">
        <f t="shared" si="5"/>
        <v>0</v>
      </c>
    </row>
    <row r="110" spans="1:13" x14ac:dyDescent="0.4">
      <c r="A110" s="32"/>
      <c r="B110" s="16"/>
      <c r="C110" s="16"/>
      <c r="D110" s="33"/>
      <c r="E110" s="33"/>
      <c r="F110" s="91"/>
      <c r="G110" s="91"/>
      <c r="H110" s="241"/>
      <c r="I110" s="34"/>
      <c r="J110" s="35">
        <f t="shared" si="3"/>
        <v>0</v>
      </c>
      <c r="K110" s="36">
        <f t="shared" si="4"/>
        <v>0</v>
      </c>
      <c r="L110" s="12"/>
      <c r="M110" s="206">
        <f t="shared" si="5"/>
        <v>0</v>
      </c>
    </row>
    <row r="111" spans="1:13" x14ac:dyDescent="0.4">
      <c r="A111" s="32"/>
      <c r="B111" s="16"/>
      <c r="C111" s="16"/>
      <c r="D111" s="33"/>
      <c r="E111" s="33"/>
      <c r="F111" s="91"/>
      <c r="G111" s="91"/>
      <c r="H111" s="241"/>
      <c r="I111" s="34"/>
      <c r="J111" s="35">
        <f t="shared" si="3"/>
        <v>0</v>
      </c>
      <c r="K111" s="36">
        <f t="shared" si="4"/>
        <v>0</v>
      </c>
      <c r="L111" s="12"/>
      <c r="M111" s="206">
        <f t="shared" si="5"/>
        <v>0</v>
      </c>
    </row>
    <row r="112" spans="1:13" x14ac:dyDescent="0.4">
      <c r="A112" s="32"/>
      <c r="B112" s="16"/>
      <c r="C112" s="16"/>
      <c r="D112" s="33"/>
      <c r="E112" s="33"/>
      <c r="F112" s="91"/>
      <c r="G112" s="91"/>
      <c r="H112" s="241"/>
      <c r="I112" s="34"/>
      <c r="J112" s="35">
        <f t="shared" si="3"/>
        <v>0</v>
      </c>
      <c r="K112" s="36">
        <f t="shared" si="4"/>
        <v>0</v>
      </c>
      <c r="L112" s="12"/>
      <c r="M112" s="206">
        <f t="shared" si="5"/>
        <v>0</v>
      </c>
    </row>
    <row r="113" spans="1:15" x14ac:dyDescent="0.4">
      <c r="A113" s="75"/>
      <c r="B113" s="76"/>
      <c r="C113" s="76"/>
      <c r="D113" s="77"/>
      <c r="E113" s="77"/>
      <c r="F113" s="92"/>
      <c r="G113" s="92"/>
      <c r="H113" s="242"/>
      <c r="I113" s="78"/>
      <c r="J113" s="35">
        <f t="shared" si="3"/>
        <v>0</v>
      </c>
      <c r="K113" s="36">
        <f t="shared" si="4"/>
        <v>0</v>
      </c>
      <c r="L113" s="12"/>
      <c r="M113" s="206">
        <f t="shared" si="5"/>
        <v>0</v>
      </c>
    </row>
    <row r="114" spans="1:15" x14ac:dyDescent="0.4">
      <c r="A114" s="73"/>
      <c r="B114" s="31"/>
      <c r="C114" s="31"/>
      <c r="D114" s="39"/>
      <c r="E114" s="39"/>
      <c r="F114" s="90"/>
      <c r="G114" s="90"/>
      <c r="H114" s="243"/>
      <c r="I114" s="40"/>
      <c r="J114" s="35">
        <f t="shared" si="3"/>
        <v>0</v>
      </c>
      <c r="K114" s="36">
        <f t="shared" si="4"/>
        <v>0</v>
      </c>
      <c r="L114" s="12"/>
      <c r="M114" s="206">
        <f t="shared" si="5"/>
        <v>0</v>
      </c>
    </row>
    <row r="115" spans="1:15" x14ac:dyDescent="0.4">
      <c r="A115" s="32"/>
      <c r="B115" s="16"/>
      <c r="C115" s="16"/>
      <c r="D115" s="33"/>
      <c r="E115" s="33"/>
      <c r="F115" s="91"/>
      <c r="G115" s="91"/>
      <c r="H115" s="241"/>
      <c r="I115" s="34"/>
      <c r="J115" s="35">
        <f t="shared" si="3"/>
        <v>0</v>
      </c>
      <c r="K115" s="36">
        <f t="shared" si="4"/>
        <v>0</v>
      </c>
      <c r="L115" s="12"/>
      <c r="M115" s="206">
        <f t="shared" si="5"/>
        <v>0</v>
      </c>
    </row>
    <row r="116" spans="1:15" x14ac:dyDescent="0.4">
      <c r="A116" s="32"/>
      <c r="B116" s="16"/>
      <c r="C116" s="16"/>
      <c r="D116" s="33"/>
      <c r="E116" s="33"/>
      <c r="F116" s="91"/>
      <c r="G116" s="91"/>
      <c r="H116" s="241"/>
      <c r="I116" s="34"/>
      <c r="J116" s="35">
        <f t="shared" si="3"/>
        <v>0</v>
      </c>
      <c r="K116" s="36">
        <f t="shared" si="4"/>
        <v>0</v>
      </c>
      <c r="L116" s="12"/>
      <c r="M116" s="206">
        <f t="shared" si="5"/>
        <v>0</v>
      </c>
    </row>
    <row r="117" spans="1:15" x14ac:dyDescent="0.4">
      <c r="A117" s="32"/>
      <c r="B117" s="16"/>
      <c r="C117" s="16"/>
      <c r="D117" s="33"/>
      <c r="E117" s="33"/>
      <c r="F117" s="91"/>
      <c r="G117" s="91"/>
      <c r="H117" s="241"/>
      <c r="I117" s="34"/>
      <c r="J117" s="35">
        <f t="shared" si="3"/>
        <v>0</v>
      </c>
      <c r="K117" s="36">
        <f t="shared" si="4"/>
        <v>0</v>
      </c>
      <c r="L117" s="12"/>
      <c r="M117" s="206">
        <f t="shared" si="5"/>
        <v>0</v>
      </c>
    </row>
    <row r="118" spans="1:15" x14ac:dyDescent="0.4">
      <c r="A118" s="32"/>
      <c r="B118" s="16"/>
      <c r="C118" s="16"/>
      <c r="D118" s="33"/>
      <c r="E118" s="33"/>
      <c r="F118" s="91"/>
      <c r="G118" s="91"/>
      <c r="H118" s="241"/>
      <c r="I118" s="34"/>
      <c r="J118" s="35">
        <f t="shared" si="3"/>
        <v>0</v>
      </c>
      <c r="K118" s="36">
        <f t="shared" si="4"/>
        <v>0</v>
      </c>
      <c r="L118" s="12"/>
      <c r="M118" s="206">
        <f t="shared" si="5"/>
        <v>0</v>
      </c>
    </row>
    <row r="119" spans="1:15" x14ac:dyDescent="0.4">
      <c r="A119" s="32"/>
      <c r="B119" s="16"/>
      <c r="C119" s="16"/>
      <c r="D119" s="33"/>
      <c r="E119" s="33"/>
      <c r="F119" s="91"/>
      <c r="G119" s="91"/>
      <c r="H119" s="241"/>
      <c r="I119" s="34"/>
      <c r="J119" s="35">
        <f t="shared" si="3"/>
        <v>0</v>
      </c>
      <c r="K119" s="36">
        <f t="shared" si="4"/>
        <v>0</v>
      </c>
      <c r="L119" s="12"/>
      <c r="M119" s="206">
        <f t="shared" si="5"/>
        <v>0</v>
      </c>
    </row>
    <row r="120" spans="1:15" x14ac:dyDescent="0.4">
      <c r="A120" s="146"/>
      <c r="B120" s="97"/>
      <c r="C120" s="97"/>
      <c r="D120" s="98"/>
      <c r="E120" s="98"/>
      <c r="F120" s="213"/>
      <c r="G120" s="213"/>
      <c r="H120" s="244"/>
      <c r="I120" s="99"/>
      <c r="J120" s="96">
        <f t="shared" si="3"/>
        <v>0</v>
      </c>
      <c r="K120" s="36">
        <f t="shared" si="4"/>
        <v>0</v>
      </c>
      <c r="L120" s="12"/>
      <c r="M120" s="206">
        <f t="shared" si="5"/>
        <v>0</v>
      </c>
    </row>
    <row r="121" spans="1:15" ht="15.4" thickBot="1" x14ac:dyDescent="0.45">
      <c r="A121" s="147"/>
      <c r="B121" s="148"/>
      <c r="C121" s="148"/>
      <c r="D121" s="149"/>
      <c r="E121" s="149"/>
      <c r="F121" s="214"/>
      <c r="G121" s="214"/>
      <c r="H121" s="245"/>
      <c r="I121" s="211"/>
      <c r="J121" s="195">
        <f t="shared" si="3"/>
        <v>0</v>
      </c>
      <c r="K121" s="38">
        <f t="shared" si="4"/>
        <v>0</v>
      </c>
      <c r="L121" s="12"/>
      <c r="M121" s="206">
        <f t="shared" si="5"/>
        <v>0</v>
      </c>
    </row>
    <row r="122" spans="1:15" x14ac:dyDescent="0.4">
      <c r="A122" s="190"/>
      <c r="B122" s="191"/>
      <c r="C122" s="192"/>
      <c r="D122" s="193"/>
      <c r="E122" s="194"/>
      <c r="F122" s="212"/>
      <c r="G122" s="212"/>
      <c r="H122" s="240"/>
      <c r="I122" s="145"/>
      <c r="J122" s="49">
        <f t="shared" si="3"/>
        <v>0</v>
      </c>
      <c r="K122" s="50">
        <f t="shared" si="4"/>
        <v>0</v>
      </c>
      <c r="L122" s="12"/>
      <c r="M122" s="206">
        <f t="shared" si="5"/>
        <v>0</v>
      </c>
    </row>
    <row r="123" spans="1:15" x14ac:dyDescent="0.4">
      <c r="A123" s="82"/>
      <c r="B123" s="16"/>
      <c r="C123" s="97"/>
      <c r="D123" s="104"/>
      <c r="E123" s="33"/>
      <c r="F123" s="91"/>
      <c r="G123" s="91"/>
      <c r="H123" s="241"/>
      <c r="I123" s="34"/>
      <c r="J123" s="35">
        <f t="shared" si="3"/>
        <v>0</v>
      </c>
      <c r="K123" s="36">
        <f t="shared" si="4"/>
        <v>0</v>
      </c>
      <c r="L123" s="12"/>
      <c r="M123" s="206">
        <f t="shared" si="5"/>
        <v>0</v>
      </c>
    </row>
    <row r="124" spans="1:15" x14ac:dyDescent="0.4">
      <c r="A124" s="82"/>
      <c r="B124" s="16"/>
      <c r="C124" s="97"/>
      <c r="D124" s="104"/>
      <c r="E124" s="33"/>
      <c r="F124" s="91"/>
      <c r="G124" s="91"/>
      <c r="H124" s="241"/>
      <c r="I124" s="34"/>
      <c r="J124" s="35">
        <f t="shared" si="3"/>
        <v>0</v>
      </c>
      <c r="K124" s="36">
        <f t="shared" si="4"/>
        <v>0</v>
      </c>
      <c r="L124" s="12"/>
      <c r="M124" s="206">
        <f t="shared" si="5"/>
        <v>0</v>
      </c>
      <c r="O124" s="163"/>
    </row>
    <row r="125" spans="1:15" x14ac:dyDescent="0.4">
      <c r="A125" s="82"/>
      <c r="B125" s="16"/>
      <c r="C125" s="97"/>
      <c r="D125" s="104"/>
      <c r="E125" s="33"/>
      <c r="F125" s="91"/>
      <c r="G125" s="91"/>
      <c r="H125" s="241"/>
      <c r="I125" s="34"/>
      <c r="J125" s="35">
        <f t="shared" si="3"/>
        <v>0</v>
      </c>
      <c r="K125" s="36">
        <f t="shared" si="4"/>
        <v>0</v>
      </c>
      <c r="L125" s="12"/>
      <c r="M125" s="206">
        <f t="shared" si="5"/>
        <v>0</v>
      </c>
    </row>
    <row r="126" spans="1:15" x14ac:dyDescent="0.4">
      <c r="A126" s="82"/>
      <c r="B126" s="16"/>
      <c r="C126" s="97"/>
      <c r="D126" s="104"/>
      <c r="E126" s="33"/>
      <c r="F126" s="91"/>
      <c r="G126" s="91"/>
      <c r="H126" s="241"/>
      <c r="I126" s="34"/>
      <c r="J126" s="35">
        <f t="shared" si="3"/>
        <v>0</v>
      </c>
      <c r="K126" s="36">
        <f t="shared" si="4"/>
        <v>0</v>
      </c>
      <c r="L126" s="12"/>
      <c r="M126" s="206">
        <f t="shared" si="5"/>
        <v>0</v>
      </c>
    </row>
    <row r="127" spans="1:15" x14ac:dyDescent="0.4">
      <c r="A127" s="82"/>
      <c r="B127" s="16"/>
      <c r="C127" s="97"/>
      <c r="D127" s="104"/>
      <c r="E127" s="33"/>
      <c r="F127" s="91"/>
      <c r="G127" s="91"/>
      <c r="H127" s="241"/>
      <c r="I127" s="34"/>
      <c r="J127" s="35">
        <f t="shared" si="3"/>
        <v>0</v>
      </c>
      <c r="K127" s="36">
        <f t="shared" si="4"/>
        <v>0</v>
      </c>
      <c r="L127" s="12"/>
      <c r="M127" s="206">
        <f t="shared" si="5"/>
        <v>0</v>
      </c>
    </row>
    <row r="128" spans="1:15" x14ac:dyDescent="0.4">
      <c r="A128" s="80"/>
      <c r="B128" s="16"/>
      <c r="C128" s="97"/>
      <c r="D128" s="104"/>
      <c r="E128" s="33"/>
      <c r="F128" s="91"/>
      <c r="G128" s="91"/>
      <c r="H128" s="241"/>
      <c r="I128" s="34"/>
      <c r="J128" s="35">
        <f t="shared" si="3"/>
        <v>0</v>
      </c>
      <c r="K128" s="36">
        <f t="shared" si="4"/>
        <v>0</v>
      </c>
      <c r="L128" s="12"/>
      <c r="M128" s="206">
        <f t="shared" si="5"/>
        <v>0</v>
      </c>
      <c r="O128" s="162"/>
    </row>
    <row r="129" spans="1:14" x14ac:dyDescent="0.4">
      <c r="A129" s="80"/>
      <c r="B129" s="16"/>
      <c r="C129" s="97"/>
      <c r="D129" s="33"/>
      <c r="E129" s="33"/>
      <c r="F129" s="91"/>
      <c r="G129" s="91"/>
      <c r="H129" s="241"/>
      <c r="I129" s="34"/>
      <c r="J129" s="35">
        <f t="shared" si="3"/>
        <v>0</v>
      </c>
      <c r="K129" s="36">
        <f t="shared" si="4"/>
        <v>0</v>
      </c>
      <c r="L129" s="12"/>
      <c r="M129" s="206">
        <f t="shared" si="5"/>
        <v>0</v>
      </c>
    </row>
    <row r="130" spans="1:14" x14ac:dyDescent="0.4">
      <c r="A130" s="82"/>
      <c r="B130" s="16"/>
      <c r="C130" s="97"/>
      <c r="D130" s="104"/>
      <c r="E130" s="33"/>
      <c r="F130" s="91"/>
      <c r="G130" s="91"/>
      <c r="H130" s="241"/>
      <c r="I130" s="34"/>
      <c r="J130" s="35">
        <f t="shared" si="3"/>
        <v>0</v>
      </c>
      <c r="K130" s="36">
        <f t="shared" si="4"/>
        <v>0</v>
      </c>
      <c r="L130" s="12"/>
      <c r="M130" s="206">
        <f t="shared" si="5"/>
        <v>0</v>
      </c>
    </row>
    <row r="131" spans="1:14" x14ac:dyDescent="0.4">
      <c r="A131" s="82"/>
      <c r="B131" s="16"/>
      <c r="C131" s="97"/>
      <c r="D131" s="104"/>
      <c r="E131" s="33"/>
      <c r="F131" s="91"/>
      <c r="G131" s="91"/>
      <c r="H131" s="241"/>
      <c r="I131" s="34"/>
      <c r="J131" s="35">
        <f t="shared" si="3"/>
        <v>0</v>
      </c>
      <c r="K131" s="36">
        <f t="shared" si="4"/>
        <v>0</v>
      </c>
      <c r="L131" s="12"/>
      <c r="M131" s="206">
        <f t="shared" si="5"/>
        <v>0</v>
      </c>
    </row>
    <row r="132" spans="1:14" x14ac:dyDescent="0.4">
      <c r="A132" s="80"/>
      <c r="B132" s="16"/>
      <c r="C132" s="97"/>
      <c r="D132" s="104"/>
      <c r="E132" s="33"/>
      <c r="F132" s="91"/>
      <c r="G132" s="91"/>
      <c r="H132" s="241"/>
      <c r="I132" s="34"/>
      <c r="J132" s="35">
        <f t="shared" si="3"/>
        <v>0</v>
      </c>
      <c r="K132" s="36">
        <f t="shared" si="4"/>
        <v>0</v>
      </c>
      <c r="L132" s="12"/>
      <c r="M132" s="206">
        <f t="shared" si="5"/>
        <v>0</v>
      </c>
    </row>
    <row r="133" spans="1:14" x14ac:dyDescent="0.4">
      <c r="A133" s="80"/>
      <c r="B133" s="16"/>
      <c r="C133" s="16"/>
      <c r="D133" s="33"/>
      <c r="E133" s="33"/>
      <c r="F133" s="91"/>
      <c r="G133" s="91"/>
      <c r="H133" s="241"/>
      <c r="I133" s="34"/>
      <c r="J133" s="35">
        <f t="shared" si="3"/>
        <v>0</v>
      </c>
      <c r="K133" s="36">
        <f t="shared" si="4"/>
        <v>0</v>
      </c>
      <c r="L133" s="12"/>
      <c r="M133" s="206">
        <f t="shared" si="5"/>
        <v>0</v>
      </c>
      <c r="N133" s="161"/>
    </row>
    <row r="134" spans="1:14" x14ac:dyDescent="0.4">
      <c r="A134" s="80"/>
      <c r="B134" s="16"/>
      <c r="C134" s="97"/>
      <c r="D134" s="33"/>
      <c r="E134" s="33"/>
      <c r="F134" s="91"/>
      <c r="G134" s="91"/>
      <c r="H134" s="241"/>
      <c r="I134" s="34"/>
      <c r="J134" s="35">
        <f t="shared" ref="J134:J197" si="6">IF(F134="TLX",ROUND(M134/32*H134,2),ROUND(M134*H134,2))</f>
        <v>0</v>
      </c>
      <c r="K134" s="36">
        <f t="shared" ref="K134:K197" si="7">SUM(I134+J134)</f>
        <v>0</v>
      </c>
      <c r="L134" s="12"/>
      <c r="M134" s="206">
        <f t="shared" ref="M134:M197" si="8">ROUND(D134+E134/60,2)</f>
        <v>0</v>
      </c>
      <c r="N134" s="161"/>
    </row>
    <row r="135" spans="1:14" x14ac:dyDescent="0.4">
      <c r="A135" s="82"/>
      <c r="B135" s="16"/>
      <c r="C135" s="97"/>
      <c r="D135" s="104"/>
      <c r="E135" s="33"/>
      <c r="F135" s="91"/>
      <c r="G135" s="91"/>
      <c r="H135" s="241"/>
      <c r="I135" s="34"/>
      <c r="J135" s="35">
        <f t="shared" si="6"/>
        <v>0</v>
      </c>
      <c r="K135" s="36">
        <f t="shared" si="7"/>
        <v>0</v>
      </c>
      <c r="L135" s="12"/>
      <c r="M135" s="206">
        <f t="shared" si="8"/>
        <v>0</v>
      </c>
      <c r="N135" s="161"/>
    </row>
    <row r="136" spans="1:14" x14ac:dyDescent="0.4">
      <c r="A136" s="80"/>
      <c r="B136" s="16"/>
      <c r="C136" s="97"/>
      <c r="D136" s="104"/>
      <c r="E136" s="33"/>
      <c r="F136" s="91"/>
      <c r="G136" s="91"/>
      <c r="H136" s="241"/>
      <c r="I136" s="34"/>
      <c r="J136" s="35">
        <f t="shared" si="6"/>
        <v>0</v>
      </c>
      <c r="K136" s="36">
        <f t="shared" si="7"/>
        <v>0</v>
      </c>
      <c r="L136" s="12"/>
      <c r="M136" s="206">
        <f t="shared" si="8"/>
        <v>0</v>
      </c>
      <c r="N136" s="161"/>
    </row>
    <row r="137" spans="1:14" x14ac:dyDescent="0.4">
      <c r="A137" s="80"/>
      <c r="B137" s="16"/>
      <c r="C137" s="97"/>
      <c r="D137" s="104"/>
      <c r="E137" s="33"/>
      <c r="F137" s="91"/>
      <c r="G137" s="91"/>
      <c r="H137" s="241"/>
      <c r="I137" s="34"/>
      <c r="J137" s="35">
        <f t="shared" si="6"/>
        <v>0</v>
      </c>
      <c r="K137" s="36">
        <f t="shared" si="7"/>
        <v>0</v>
      </c>
      <c r="L137" s="12"/>
      <c r="M137" s="206">
        <f t="shared" si="8"/>
        <v>0</v>
      </c>
      <c r="N137" s="161"/>
    </row>
    <row r="138" spans="1:14" x14ac:dyDescent="0.4">
      <c r="A138" s="80"/>
      <c r="B138" s="16"/>
      <c r="C138" s="97"/>
      <c r="D138" s="33"/>
      <c r="E138" s="33"/>
      <c r="F138" s="91"/>
      <c r="G138" s="91"/>
      <c r="H138" s="241"/>
      <c r="I138" s="34"/>
      <c r="J138" s="35">
        <f t="shared" si="6"/>
        <v>0</v>
      </c>
      <c r="K138" s="36">
        <f t="shared" si="7"/>
        <v>0</v>
      </c>
      <c r="L138" s="12"/>
      <c r="M138" s="206">
        <f t="shared" si="8"/>
        <v>0</v>
      </c>
      <c r="N138" s="161"/>
    </row>
    <row r="139" spans="1:14" x14ac:dyDescent="0.4">
      <c r="A139" s="80"/>
      <c r="B139" s="16"/>
      <c r="C139" s="97"/>
      <c r="D139" s="33"/>
      <c r="E139" s="33"/>
      <c r="F139" s="91"/>
      <c r="G139" s="91"/>
      <c r="H139" s="241"/>
      <c r="I139" s="34"/>
      <c r="J139" s="35">
        <f t="shared" si="6"/>
        <v>0</v>
      </c>
      <c r="K139" s="36">
        <f t="shared" si="7"/>
        <v>0</v>
      </c>
      <c r="L139" s="12"/>
      <c r="M139" s="206">
        <f t="shared" si="8"/>
        <v>0</v>
      </c>
    </row>
    <row r="140" spans="1:14" x14ac:dyDescent="0.4">
      <c r="A140" s="80"/>
      <c r="B140" s="16"/>
      <c r="C140" s="97"/>
      <c r="D140" s="33"/>
      <c r="E140" s="33"/>
      <c r="F140" s="91"/>
      <c r="G140" s="91"/>
      <c r="H140" s="241"/>
      <c r="I140" s="34"/>
      <c r="J140" s="35">
        <f t="shared" si="6"/>
        <v>0</v>
      </c>
      <c r="K140" s="36">
        <f t="shared" si="7"/>
        <v>0</v>
      </c>
      <c r="L140" s="12"/>
      <c r="M140" s="206">
        <f t="shared" si="8"/>
        <v>0</v>
      </c>
    </row>
    <row r="141" spans="1:14" x14ac:dyDescent="0.4">
      <c r="A141" s="80"/>
      <c r="B141" s="16"/>
      <c r="C141" s="97"/>
      <c r="D141" s="33"/>
      <c r="E141" s="33"/>
      <c r="F141" s="91"/>
      <c r="G141" s="91"/>
      <c r="H141" s="241"/>
      <c r="I141" s="34"/>
      <c r="J141" s="35">
        <f t="shared" si="6"/>
        <v>0</v>
      </c>
      <c r="K141" s="36">
        <f t="shared" si="7"/>
        <v>0</v>
      </c>
      <c r="L141" s="12"/>
      <c r="M141" s="206">
        <f t="shared" si="8"/>
        <v>0</v>
      </c>
    </row>
    <row r="142" spans="1:14" x14ac:dyDescent="0.4">
      <c r="A142" s="80"/>
      <c r="B142" s="16"/>
      <c r="C142" s="97"/>
      <c r="D142" s="33"/>
      <c r="E142" s="33"/>
      <c r="F142" s="91"/>
      <c r="G142" s="91"/>
      <c r="H142" s="241"/>
      <c r="I142" s="34"/>
      <c r="J142" s="35">
        <f t="shared" si="6"/>
        <v>0</v>
      </c>
      <c r="K142" s="36">
        <f t="shared" si="7"/>
        <v>0</v>
      </c>
      <c r="L142" s="12"/>
      <c r="M142" s="206">
        <f t="shared" si="8"/>
        <v>0</v>
      </c>
    </row>
    <row r="143" spans="1:14" x14ac:dyDescent="0.4">
      <c r="A143" s="80"/>
      <c r="B143" s="16"/>
      <c r="C143" s="97"/>
      <c r="D143" s="33"/>
      <c r="E143" s="33"/>
      <c r="F143" s="91"/>
      <c r="G143" s="91"/>
      <c r="H143" s="241"/>
      <c r="I143" s="34"/>
      <c r="J143" s="35">
        <f t="shared" si="6"/>
        <v>0</v>
      </c>
      <c r="K143" s="36">
        <f t="shared" si="7"/>
        <v>0</v>
      </c>
      <c r="L143" s="12"/>
      <c r="M143" s="206">
        <f t="shared" si="8"/>
        <v>0</v>
      </c>
    </row>
    <row r="144" spans="1:14" x14ac:dyDescent="0.4">
      <c r="A144" s="80"/>
      <c r="B144" s="16"/>
      <c r="C144" s="97"/>
      <c r="D144" s="33"/>
      <c r="E144" s="33"/>
      <c r="F144" s="91"/>
      <c r="G144" s="91"/>
      <c r="H144" s="241"/>
      <c r="I144" s="34"/>
      <c r="J144" s="35">
        <f t="shared" si="6"/>
        <v>0</v>
      </c>
      <c r="K144" s="36">
        <f t="shared" si="7"/>
        <v>0</v>
      </c>
      <c r="L144" s="12"/>
      <c r="M144" s="206">
        <f t="shared" si="8"/>
        <v>0</v>
      </c>
    </row>
    <row r="145" spans="1:13" x14ac:dyDescent="0.4">
      <c r="A145" s="80"/>
      <c r="B145" s="16"/>
      <c r="C145" s="74"/>
      <c r="D145" s="33"/>
      <c r="E145" s="33"/>
      <c r="F145" s="91"/>
      <c r="G145" s="91"/>
      <c r="H145" s="241"/>
      <c r="I145" s="15"/>
      <c r="J145" s="35">
        <f t="shared" si="6"/>
        <v>0</v>
      </c>
      <c r="K145" s="36">
        <f t="shared" si="7"/>
        <v>0</v>
      </c>
      <c r="L145" s="12"/>
      <c r="M145" s="206">
        <f t="shared" si="8"/>
        <v>0</v>
      </c>
    </row>
    <row r="146" spans="1:13" x14ac:dyDescent="0.4">
      <c r="A146" s="80"/>
      <c r="B146" s="16"/>
      <c r="C146" s="74"/>
      <c r="D146" s="33"/>
      <c r="E146" s="33"/>
      <c r="F146" s="91"/>
      <c r="G146" s="91"/>
      <c r="H146" s="241"/>
      <c r="I146" s="15"/>
      <c r="J146" s="35">
        <f t="shared" si="6"/>
        <v>0</v>
      </c>
      <c r="K146" s="36">
        <f t="shared" si="7"/>
        <v>0</v>
      </c>
      <c r="L146" s="12"/>
      <c r="M146" s="206">
        <f t="shared" si="8"/>
        <v>0</v>
      </c>
    </row>
    <row r="147" spans="1:13" x14ac:dyDescent="0.4">
      <c r="A147" s="80"/>
      <c r="B147" s="16"/>
      <c r="C147" s="74"/>
      <c r="D147" s="33"/>
      <c r="E147" s="33"/>
      <c r="F147" s="91"/>
      <c r="G147" s="91"/>
      <c r="H147" s="241"/>
      <c r="I147" s="34"/>
      <c r="J147" s="35">
        <f t="shared" si="6"/>
        <v>0</v>
      </c>
      <c r="K147" s="36">
        <f t="shared" si="7"/>
        <v>0</v>
      </c>
      <c r="L147" s="12"/>
      <c r="M147" s="206">
        <f t="shared" si="8"/>
        <v>0</v>
      </c>
    </row>
    <row r="148" spans="1:13" x14ac:dyDescent="0.4">
      <c r="A148" s="80"/>
      <c r="B148" s="16"/>
      <c r="C148" s="74"/>
      <c r="D148" s="33"/>
      <c r="E148" s="33"/>
      <c r="F148" s="91"/>
      <c r="G148" s="91"/>
      <c r="H148" s="241"/>
      <c r="I148" s="34"/>
      <c r="J148" s="35">
        <f t="shared" si="6"/>
        <v>0</v>
      </c>
      <c r="K148" s="36">
        <f t="shared" si="7"/>
        <v>0</v>
      </c>
      <c r="L148" s="12"/>
      <c r="M148" s="206">
        <f t="shared" si="8"/>
        <v>0</v>
      </c>
    </row>
    <row r="149" spans="1:13" x14ac:dyDescent="0.4">
      <c r="A149" s="80"/>
      <c r="B149" s="16"/>
      <c r="C149" s="74"/>
      <c r="D149" s="33"/>
      <c r="E149" s="33"/>
      <c r="F149" s="91"/>
      <c r="G149" s="91"/>
      <c r="H149" s="241"/>
      <c r="I149" s="34"/>
      <c r="J149" s="35">
        <f t="shared" si="6"/>
        <v>0</v>
      </c>
      <c r="K149" s="36">
        <f t="shared" si="7"/>
        <v>0</v>
      </c>
      <c r="L149" s="12"/>
      <c r="M149" s="206">
        <f t="shared" si="8"/>
        <v>0</v>
      </c>
    </row>
    <row r="150" spans="1:13" x14ac:dyDescent="0.4">
      <c r="A150" s="80"/>
      <c r="B150" s="16"/>
      <c r="C150" s="74"/>
      <c r="D150" s="33"/>
      <c r="E150" s="33"/>
      <c r="F150" s="91"/>
      <c r="G150" s="91"/>
      <c r="H150" s="241"/>
      <c r="I150" s="34"/>
      <c r="J150" s="35">
        <f t="shared" si="6"/>
        <v>0</v>
      </c>
      <c r="K150" s="36">
        <f t="shared" si="7"/>
        <v>0</v>
      </c>
      <c r="L150" s="12"/>
      <c r="M150" s="206">
        <f t="shared" si="8"/>
        <v>0</v>
      </c>
    </row>
    <row r="151" spans="1:13" x14ac:dyDescent="0.4">
      <c r="A151" s="80"/>
      <c r="B151" s="16"/>
      <c r="C151" s="74"/>
      <c r="D151" s="33"/>
      <c r="E151" s="33"/>
      <c r="F151" s="91"/>
      <c r="G151" s="91"/>
      <c r="H151" s="241"/>
      <c r="I151" s="34"/>
      <c r="J151" s="35">
        <f t="shared" si="6"/>
        <v>0</v>
      </c>
      <c r="K151" s="36">
        <f t="shared" si="7"/>
        <v>0</v>
      </c>
      <c r="L151" s="12"/>
      <c r="M151" s="206">
        <f t="shared" si="8"/>
        <v>0</v>
      </c>
    </row>
    <row r="152" spans="1:13" x14ac:dyDescent="0.4">
      <c r="A152" s="80"/>
      <c r="B152" s="16"/>
      <c r="C152" s="74"/>
      <c r="D152" s="33"/>
      <c r="E152" s="33"/>
      <c r="F152" s="91"/>
      <c r="G152" s="91"/>
      <c r="H152" s="241"/>
      <c r="I152" s="34"/>
      <c r="J152" s="35">
        <f t="shared" si="6"/>
        <v>0</v>
      </c>
      <c r="K152" s="36">
        <f t="shared" si="7"/>
        <v>0</v>
      </c>
      <c r="L152" s="12"/>
      <c r="M152" s="206">
        <f t="shared" si="8"/>
        <v>0</v>
      </c>
    </row>
    <row r="153" spans="1:13" x14ac:dyDescent="0.4">
      <c r="A153" s="80"/>
      <c r="B153" s="16"/>
      <c r="C153" s="16"/>
      <c r="D153" s="33"/>
      <c r="E153" s="33"/>
      <c r="F153" s="91"/>
      <c r="G153" s="91"/>
      <c r="H153" s="241"/>
      <c r="I153" s="34"/>
      <c r="J153" s="35">
        <f t="shared" si="6"/>
        <v>0</v>
      </c>
      <c r="K153" s="36">
        <f t="shared" si="7"/>
        <v>0</v>
      </c>
      <c r="L153" s="12"/>
      <c r="M153" s="206">
        <f t="shared" si="8"/>
        <v>0</v>
      </c>
    </row>
    <row r="154" spans="1:13" x14ac:dyDescent="0.4">
      <c r="A154" s="80"/>
      <c r="B154" s="16"/>
      <c r="C154" s="16"/>
      <c r="D154" s="33"/>
      <c r="E154" s="33"/>
      <c r="F154" s="91"/>
      <c r="G154" s="91"/>
      <c r="H154" s="241"/>
      <c r="I154" s="34"/>
      <c r="J154" s="35">
        <f t="shared" si="6"/>
        <v>0</v>
      </c>
      <c r="K154" s="36">
        <f t="shared" si="7"/>
        <v>0</v>
      </c>
      <c r="L154" s="12"/>
      <c r="M154" s="206">
        <f t="shared" si="8"/>
        <v>0</v>
      </c>
    </row>
    <row r="155" spans="1:13" x14ac:dyDescent="0.4">
      <c r="A155" s="80"/>
      <c r="B155" s="16"/>
      <c r="C155" s="16"/>
      <c r="D155" s="33"/>
      <c r="E155" s="33"/>
      <c r="F155" s="91"/>
      <c r="G155" s="91"/>
      <c r="H155" s="241"/>
      <c r="I155" s="34"/>
      <c r="J155" s="35">
        <f t="shared" si="6"/>
        <v>0</v>
      </c>
      <c r="K155" s="36">
        <f t="shared" si="7"/>
        <v>0</v>
      </c>
      <c r="L155" s="12"/>
      <c r="M155" s="206">
        <f t="shared" si="8"/>
        <v>0</v>
      </c>
    </row>
    <row r="156" spans="1:13" x14ac:dyDescent="0.4">
      <c r="A156" s="32"/>
      <c r="B156" s="16"/>
      <c r="C156" s="16"/>
      <c r="D156" s="33"/>
      <c r="E156" s="33"/>
      <c r="F156" s="91"/>
      <c r="G156" s="91"/>
      <c r="H156" s="241"/>
      <c r="I156" s="34"/>
      <c r="J156" s="35">
        <f t="shared" si="6"/>
        <v>0</v>
      </c>
      <c r="K156" s="36">
        <f t="shared" si="7"/>
        <v>0</v>
      </c>
      <c r="L156" s="12"/>
      <c r="M156" s="206">
        <f t="shared" si="8"/>
        <v>0</v>
      </c>
    </row>
    <row r="157" spans="1:13" x14ac:dyDescent="0.4">
      <c r="A157" s="32"/>
      <c r="B157" s="16"/>
      <c r="C157" s="16"/>
      <c r="D157" s="33"/>
      <c r="E157" s="33"/>
      <c r="F157" s="91"/>
      <c r="G157" s="91"/>
      <c r="H157" s="241"/>
      <c r="I157" s="34"/>
      <c r="J157" s="35">
        <f t="shared" si="6"/>
        <v>0</v>
      </c>
      <c r="K157" s="36">
        <f t="shared" si="7"/>
        <v>0</v>
      </c>
      <c r="L157" s="12"/>
      <c r="M157" s="206">
        <f t="shared" si="8"/>
        <v>0</v>
      </c>
    </row>
    <row r="158" spans="1:13" x14ac:dyDescent="0.4">
      <c r="A158" s="32"/>
      <c r="B158" s="16"/>
      <c r="C158" s="74"/>
      <c r="D158" s="33"/>
      <c r="E158" s="33"/>
      <c r="F158" s="91"/>
      <c r="G158" s="91"/>
      <c r="H158" s="241"/>
      <c r="I158" s="34"/>
      <c r="J158" s="35">
        <f t="shared" si="6"/>
        <v>0</v>
      </c>
      <c r="K158" s="36">
        <f t="shared" si="7"/>
        <v>0</v>
      </c>
      <c r="L158" s="12"/>
      <c r="M158" s="206">
        <f t="shared" si="8"/>
        <v>0</v>
      </c>
    </row>
    <row r="159" spans="1:13" x14ac:dyDescent="0.4">
      <c r="A159" s="32"/>
      <c r="B159" s="16"/>
      <c r="C159" s="74"/>
      <c r="D159" s="33"/>
      <c r="E159" s="33"/>
      <c r="F159" s="91"/>
      <c r="G159" s="91"/>
      <c r="H159" s="241"/>
      <c r="I159" s="34"/>
      <c r="J159" s="35">
        <f t="shared" si="6"/>
        <v>0</v>
      </c>
      <c r="K159" s="36">
        <f t="shared" si="7"/>
        <v>0</v>
      </c>
      <c r="L159" s="12"/>
      <c r="M159" s="206">
        <f t="shared" si="8"/>
        <v>0</v>
      </c>
    </row>
    <row r="160" spans="1:13" x14ac:dyDescent="0.4">
      <c r="A160" s="32"/>
      <c r="B160" s="16"/>
      <c r="C160" s="16"/>
      <c r="D160" s="33"/>
      <c r="E160" s="33"/>
      <c r="F160" s="91"/>
      <c r="G160" s="91"/>
      <c r="H160" s="241"/>
      <c r="I160" s="34"/>
      <c r="J160" s="35">
        <f t="shared" si="6"/>
        <v>0</v>
      </c>
      <c r="K160" s="36">
        <f t="shared" si="7"/>
        <v>0</v>
      </c>
      <c r="L160" s="12"/>
      <c r="M160" s="206">
        <f t="shared" si="8"/>
        <v>0</v>
      </c>
    </row>
    <row r="161" spans="1:13" x14ac:dyDescent="0.4">
      <c r="A161" s="32"/>
      <c r="B161" s="16"/>
      <c r="C161" s="16"/>
      <c r="D161" s="33"/>
      <c r="E161" s="33"/>
      <c r="F161" s="91"/>
      <c r="G161" s="91"/>
      <c r="H161" s="241"/>
      <c r="I161" s="34"/>
      <c r="J161" s="35">
        <f t="shared" si="6"/>
        <v>0</v>
      </c>
      <c r="K161" s="36">
        <f t="shared" si="7"/>
        <v>0</v>
      </c>
      <c r="L161" s="12"/>
      <c r="M161" s="206">
        <f t="shared" si="8"/>
        <v>0</v>
      </c>
    </row>
    <row r="162" spans="1:13" x14ac:dyDescent="0.4">
      <c r="A162" s="80"/>
      <c r="B162" s="16"/>
      <c r="C162" s="16"/>
      <c r="D162" s="33"/>
      <c r="E162" s="33"/>
      <c r="F162" s="91"/>
      <c r="G162" s="91"/>
      <c r="H162" s="241"/>
      <c r="I162" s="34"/>
      <c r="J162" s="35">
        <f t="shared" si="6"/>
        <v>0</v>
      </c>
      <c r="K162" s="36">
        <f t="shared" si="7"/>
        <v>0</v>
      </c>
      <c r="L162" s="12"/>
      <c r="M162" s="206">
        <f t="shared" si="8"/>
        <v>0</v>
      </c>
    </row>
    <row r="163" spans="1:13" x14ac:dyDescent="0.4">
      <c r="A163" s="80"/>
      <c r="B163" s="16"/>
      <c r="C163" s="16"/>
      <c r="D163" s="33"/>
      <c r="E163" s="33"/>
      <c r="F163" s="91"/>
      <c r="G163" s="91"/>
      <c r="H163" s="241"/>
      <c r="I163" s="34"/>
      <c r="J163" s="35">
        <f t="shared" si="6"/>
        <v>0</v>
      </c>
      <c r="K163" s="36">
        <f t="shared" si="7"/>
        <v>0</v>
      </c>
      <c r="L163" s="12"/>
      <c r="M163" s="206">
        <f t="shared" si="8"/>
        <v>0</v>
      </c>
    </row>
    <row r="164" spans="1:13" x14ac:dyDescent="0.4">
      <c r="A164" s="80"/>
      <c r="B164" s="16"/>
      <c r="C164" s="16"/>
      <c r="D164" s="33"/>
      <c r="E164" s="33"/>
      <c r="F164" s="91"/>
      <c r="G164" s="91"/>
      <c r="H164" s="241"/>
      <c r="I164" s="34"/>
      <c r="J164" s="35">
        <f t="shared" si="6"/>
        <v>0</v>
      </c>
      <c r="K164" s="36">
        <f t="shared" si="7"/>
        <v>0</v>
      </c>
      <c r="L164" s="12"/>
      <c r="M164" s="206">
        <f t="shared" si="8"/>
        <v>0</v>
      </c>
    </row>
    <row r="165" spans="1:13" x14ac:dyDescent="0.4">
      <c r="A165" s="32"/>
      <c r="B165" s="16"/>
      <c r="C165" s="16"/>
      <c r="D165" s="33"/>
      <c r="E165" s="33"/>
      <c r="F165" s="91"/>
      <c r="G165" s="91"/>
      <c r="H165" s="241"/>
      <c r="I165" s="34"/>
      <c r="J165" s="35">
        <f t="shared" si="6"/>
        <v>0</v>
      </c>
      <c r="K165" s="36">
        <f t="shared" si="7"/>
        <v>0</v>
      </c>
      <c r="L165" s="12"/>
      <c r="M165" s="206">
        <f t="shared" si="8"/>
        <v>0</v>
      </c>
    </row>
    <row r="166" spans="1:13" x14ac:dyDescent="0.4">
      <c r="A166" s="32"/>
      <c r="B166" s="16"/>
      <c r="C166" s="16"/>
      <c r="D166" s="33"/>
      <c r="E166" s="33"/>
      <c r="F166" s="91"/>
      <c r="G166" s="91"/>
      <c r="H166" s="241"/>
      <c r="I166" s="34"/>
      <c r="J166" s="35">
        <f t="shared" si="6"/>
        <v>0</v>
      </c>
      <c r="K166" s="36">
        <f t="shared" si="7"/>
        <v>0</v>
      </c>
      <c r="L166" s="12"/>
      <c r="M166" s="206">
        <f t="shared" si="8"/>
        <v>0</v>
      </c>
    </row>
    <row r="167" spans="1:13" x14ac:dyDescent="0.4">
      <c r="A167" s="32"/>
      <c r="B167" s="16"/>
      <c r="C167" s="74"/>
      <c r="D167" s="33"/>
      <c r="E167" s="33"/>
      <c r="F167" s="91"/>
      <c r="G167" s="91"/>
      <c r="H167" s="241"/>
      <c r="I167" s="34"/>
      <c r="J167" s="35">
        <f t="shared" si="6"/>
        <v>0</v>
      </c>
      <c r="K167" s="36">
        <f t="shared" si="7"/>
        <v>0</v>
      </c>
      <c r="L167" s="12"/>
      <c r="M167" s="206">
        <f t="shared" si="8"/>
        <v>0</v>
      </c>
    </row>
    <row r="168" spans="1:13" x14ac:dyDescent="0.4">
      <c r="A168" s="32"/>
      <c r="B168" s="16"/>
      <c r="C168" s="74"/>
      <c r="D168" s="33"/>
      <c r="E168" s="33"/>
      <c r="F168" s="91"/>
      <c r="G168" s="91"/>
      <c r="H168" s="241"/>
      <c r="I168" s="34"/>
      <c r="J168" s="35">
        <f t="shared" si="6"/>
        <v>0</v>
      </c>
      <c r="K168" s="36">
        <f t="shared" si="7"/>
        <v>0</v>
      </c>
      <c r="L168" s="12"/>
      <c r="M168" s="206">
        <f t="shared" si="8"/>
        <v>0</v>
      </c>
    </row>
    <row r="169" spans="1:13" x14ac:dyDescent="0.4">
      <c r="A169" s="32"/>
      <c r="B169" s="16"/>
      <c r="C169" s="16"/>
      <c r="D169" s="33"/>
      <c r="E169" s="33"/>
      <c r="F169" s="91"/>
      <c r="G169" s="91"/>
      <c r="H169" s="241"/>
      <c r="I169" s="34"/>
      <c r="J169" s="35">
        <f t="shared" si="6"/>
        <v>0</v>
      </c>
      <c r="K169" s="36">
        <f t="shared" si="7"/>
        <v>0</v>
      </c>
      <c r="L169" s="12"/>
      <c r="M169" s="206">
        <f t="shared" si="8"/>
        <v>0</v>
      </c>
    </row>
    <row r="170" spans="1:13" x14ac:dyDescent="0.4">
      <c r="A170" s="32"/>
      <c r="B170" s="16"/>
      <c r="C170" s="16"/>
      <c r="D170" s="33"/>
      <c r="E170" s="33"/>
      <c r="F170" s="91"/>
      <c r="G170" s="91"/>
      <c r="H170" s="241"/>
      <c r="I170" s="34"/>
      <c r="J170" s="35">
        <f t="shared" si="6"/>
        <v>0</v>
      </c>
      <c r="K170" s="36">
        <f t="shared" si="7"/>
        <v>0</v>
      </c>
      <c r="L170" s="12"/>
      <c r="M170" s="206">
        <f t="shared" si="8"/>
        <v>0</v>
      </c>
    </row>
    <row r="171" spans="1:13" x14ac:dyDescent="0.4">
      <c r="A171" s="75"/>
      <c r="B171" s="76"/>
      <c r="C171" s="76"/>
      <c r="D171" s="77"/>
      <c r="E171" s="77"/>
      <c r="F171" s="92"/>
      <c r="G171" s="92"/>
      <c r="H171" s="242"/>
      <c r="I171" s="78"/>
      <c r="J171" s="35">
        <f t="shared" si="6"/>
        <v>0</v>
      </c>
      <c r="K171" s="36">
        <f t="shared" si="7"/>
        <v>0</v>
      </c>
      <c r="L171" s="12"/>
      <c r="M171" s="206">
        <f t="shared" si="8"/>
        <v>0</v>
      </c>
    </row>
    <row r="172" spans="1:13" x14ac:dyDescent="0.4">
      <c r="A172" s="73"/>
      <c r="B172" s="31"/>
      <c r="C172" s="31"/>
      <c r="D172" s="39"/>
      <c r="E172" s="39"/>
      <c r="F172" s="90"/>
      <c r="G172" s="90"/>
      <c r="H172" s="243"/>
      <c r="I172" s="40"/>
      <c r="J172" s="35">
        <f t="shared" si="6"/>
        <v>0</v>
      </c>
      <c r="K172" s="36">
        <f t="shared" si="7"/>
        <v>0</v>
      </c>
      <c r="L172" s="12"/>
      <c r="M172" s="206">
        <f t="shared" si="8"/>
        <v>0</v>
      </c>
    </row>
    <row r="173" spans="1:13" x14ac:dyDescent="0.4">
      <c r="A173" s="32"/>
      <c r="B173" s="16"/>
      <c r="C173" s="16"/>
      <c r="D173" s="33"/>
      <c r="E173" s="33"/>
      <c r="F173" s="91"/>
      <c r="G173" s="91"/>
      <c r="H173" s="241"/>
      <c r="I173" s="34"/>
      <c r="J173" s="35">
        <f t="shared" si="6"/>
        <v>0</v>
      </c>
      <c r="K173" s="36">
        <f t="shared" si="7"/>
        <v>0</v>
      </c>
      <c r="L173" s="12"/>
      <c r="M173" s="206">
        <f t="shared" si="8"/>
        <v>0</v>
      </c>
    </row>
    <row r="174" spans="1:13" x14ac:dyDescent="0.4">
      <c r="A174" s="32"/>
      <c r="B174" s="16"/>
      <c r="C174" s="16"/>
      <c r="D174" s="33"/>
      <c r="E174" s="33"/>
      <c r="F174" s="91"/>
      <c r="G174" s="91"/>
      <c r="H174" s="241"/>
      <c r="I174" s="34"/>
      <c r="J174" s="35">
        <f t="shared" si="6"/>
        <v>0</v>
      </c>
      <c r="K174" s="36">
        <f t="shared" si="7"/>
        <v>0</v>
      </c>
      <c r="L174" s="12"/>
      <c r="M174" s="206">
        <f t="shared" si="8"/>
        <v>0</v>
      </c>
    </row>
    <row r="175" spans="1:13" x14ac:dyDescent="0.4">
      <c r="A175" s="32"/>
      <c r="B175" s="16"/>
      <c r="C175" s="16"/>
      <c r="D175" s="33"/>
      <c r="E175" s="33"/>
      <c r="F175" s="91"/>
      <c r="G175" s="91"/>
      <c r="H175" s="241"/>
      <c r="I175" s="34"/>
      <c r="J175" s="35">
        <f t="shared" si="6"/>
        <v>0</v>
      </c>
      <c r="K175" s="36">
        <f t="shared" si="7"/>
        <v>0</v>
      </c>
      <c r="L175" s="12"/>
      <c r="M175" s="206">
        <f t="shared" si="8"/>
        <v>0</v>
      </c>
    </row>
    <row r="176" spans="1:13" x14ac:dyDescent="0.4">
      <c r="A176" s="32"/>
      <c r="B176" s="16"/>
      <c r="C176" s="16"/>
      <c r="D176" s="33"/>
      <c r="E176" s="33"/>
      <c r="F176" s="91"/>
      <c r="G176" s="91"/>
      <c r="H176" s="241"/>
      <c r="I176" s="34"/>
      <c r="J176" s="35">
        <f t="shared" si="6"/>
        <v>0</v>
      </c>
      <c r="K176" s="36">
        <f t="shared" si="7"/>
        <v>0</v>
      </c>
      <c r="L176" s="12"/>
      <c r="M176" s="206">
        <f t="shared" si="8"/>
        <v>0</v>
      </c>
    </row>
    <row r="177" spans="1:15" x14ac:dyDescent="0.4">
      <c r="A177" s="32"/>
      <c r="B177" s="16"/>
      <c r="C177" s="16"/>
      <c r="D177" s="33"/>
      <c r="E177" s="33"/>
      <c r="F177" s="91"/>
      <c r="G177" s="91"/>
      <c r="H177" s="241"/>
      <c r="I177" s="34"/>
      <c r="J177" s="35">
        <f t="shared" si="6"/>
        <v>0</v>
      </c>
      <c r="K177" s="36">
        <f t="shared" si="7"/>
        <v>0</v>
      </c>
      <c r="L177" s="12"/>
      <c r="M177" s="206">
        <f t="shared" si="8"/>
        <v>0</v>
      </c>
    </row>
    <row r="178" spans="1:15" x14ac:dyDescent="0.4">
      <c r="A178" s="146"/>
      <c r="B178" s="97"/>
      <c r="C178" s="97"/>
      <c r="D178" s="98"/>
      <c r="E178" s="98"/>
      <c r="F178" s="213"/>
      <c r="G178" s="213"/>
      <c r="H178" s="244"/>
      <c r="I178" s="99"/>
      <c r="J178" s="96">
        <f t="shared" si="6"/>
        <v>0</v>
      </c>
      <c r="K178" s="36">
        <f t="shared" si="7"/>
        <v>0</v>
      </c>
      <c r="L178" s="12"/>
      <c r="M178" s="206">
        <f t="shared" si="8"/>
        <v>0</v>
      </c>
    </row>
    <row r="179" spans="1:15" ht="15.4" thickBot="1" x14ac:dyDescent="0.45">
      <c r="A179" s="147"/>
      <c r="B179" s="148"/>
      <c r="C179" s="148"/>
      <c r="D179" s="149"/>
      <c r="E179" s="149"/>
      <c r="F179" s="214"/>
      <c r="G179" s="214"/>
      <c r="H179" s="245"/>
      <c r="I179" s="211"/>
      <c r="J179" s="195">
        <f t="shared" si="6"/>
        <v>0</v>
      </c>
      <c r="K179" s="38">
        <f t="shared" si="7"/>
        <v>0</v>
      </c>
      <c r="L179" s="12"/>
      <c r="M179" s="206">
        <f t="shared" si="8"/>
        <v>0</v>
      </c>
    </row>
    <row r="180" spans="1:15" x14ac:dyDescent="0.4">
      <c r="A180" s="190"/>
      <c r="B180" s="191"/>
      <c r="C180" s="192"/>
      <c r="D180" s="193"/>
      <c r="E180" s="194"/>
      <c r="F180" s="212"/>
      <c r="G180" s="212"/>
      <c r="H180" s="240"/>
      <c r="I180" s="145"/>
      <c r="J180" s="49">
        <f t="shared" si="6"/>
        <v>0</v>
      </c>
      <c r="K180" s="50">
        <f t="shared" si="7"/>
        <v>0</v>
      </c>
      <c r="L180" s="12"/>
      <c r="M180" s="206">
        <f t="shared" si="8"/>
        <v>0</v>
      </c>
    </row>
    <row r="181" spans="1:15" x14ac:dyDescent="0.4">
      <c r="A181" s="82"/>
      <c r="B181" s="16"/>
      <c r="C181" s="97"/>
      <c r="D181" s="104"/>
      <c r="E181" s="33"/>
      <c r="F181" s="91"/>
      <c r="G181" s="91"/>
      <c r="H181" s="241"/>
      <c r="I181" s="34"/>
      <c r="J181" s="35">
        <f t="shared" si="6"/>
        <v>0</v>
      </c>
      <c r="K181" s="36">
        <f t="shared" si="7"/>
        <v>0</v>
      </c>
      <c r="L181" s="12"/>
      <c r="M181" s="206">
        <f t="shared" si="8"/>
        <v>0</v>
      </c>
    </row>
    <row r="182" spans="1:15" x14ac:dyDescent="0.4">
      <c r="A182" s="82"/>
      <c r="B182" s="16"/>
      <c r="C182" s="97"/>
      <c r="D182" s="104"/>
      <c r="E182" s="33"/>
      <c r="F182" s="91"/>
      <c r="G182" s="91"/>
      <c r="H182" s="241"/>
      <c r="I182" s="34"/>
      <c r="J182" s="35">
        <f t="shared" si="6"/>
        <v>0</v>
      </c>
      <c r="K182" s="36">
        <f t="shared" si="7"/>
        <v>0</v>
      </c>
      <c r="L182" s="12"/>
      <c r="M182" s="206">
        <f t="shared" si="8"/>
        <v>0</v>
      </c>
      <c r="O182" s="163"/>
    </row>
    <row r="183" spans="1:15" x14ac:dyDescent="0.4">
      <c r="A183" s="82"/>
      <c r="B183" s="16"/>
      <c r="C183" s="97"/>
      <c r="D183" s="104"/>
      <c r="E183" s="33"/>
      <c r="F183" s="91"/>
      <c r="G183" s="91"/>
      <c r="H183" s="241"/>
      <c r="I183" s="34"/>
      <c r="J183" s="35">
        <f t="shared" si="6"/>
        <v>0</v>
      </c>
      <c r="K183" s="36">
        <f t="shared" si="7"/>
        <v>0</v>
      </c>
      <c r="L183" s="12"/>
      <c r="M183" s="206">
        <f t="shared" si="8"/>
        <v>0</v>
      </c>
    </row>
    <row r="184" spans="1:15" x14ac:dyDescent="0.4">
      <c r="A184" s="82"/>
      <c r="B184" s="16"/>
      <c r="C184" s="97"/>
      <c r="D184" s="104"/>
      <c r="E184" s="33"/>
      <c r="F184" s="91"/>
      <c r="G184" s="91"/>
      <c r="H184" s="241"/>
      <c r="I184" s="34"/>
      <c r="J184" s="35">
        <f t="shared" si="6"/>
        <v>0</v>
      </c>
      <c r="K184" s="36">
        <f t="shared" si="7"/>
        <v>0</v>
      </c>
      <c r="L184" s="12"/>
      <c r="M184" s="206">
        <f t="shared" si="8"/>
        <v>0</v>
      </c>
    </row>
    <row r="185" spans="1:15" x14ac:dyDescent="0.4">
      <c r="A185" s="82"/>
      <c r="B185" s="16"/>
      <c r="C185" s="97"/>
      <c r="D185" s="104"/>
      <c r="E185" s="33"/>
      <c r="F185" s="91"/>
      <c r="G185" s="91"/>
      <c r="H185" s="241"/>
      <c r="I185" s="34"/>
      <c r="J185" s="35">
        <f t="shared" si="6"/>
        <v>0</v>
      </c>
      <c r="K185" s="36">
        <f t="shared" si="7"/>
        <v>0</v>
      </c>
      <c r="L185" s="12"/>
      <c r="M185" s="206">
        <f t="shared" si="8"/>
        <v>0</v>
      </c>
    </row>
    <row r="186" spans="1:15" x14ac:dyDescent="0.4">
      <c r="A186" s="80"/>
      <c r="B186" s="16"/>
      <c r="C186" s="97"/>
      <c r="D186" s="104"/>
      <c r="E186" s="33"/>
      <c r="F186" s="91"/>
      <c r="G186" s="91"/>
      <c r="H186" s="241"/>
      <c r="I186" s="34"/>
      <c r="J186" s="35">
        <f t="shared" si="6"/>
        <v>0</v>
      </c>
      <c r="K186" s="36">
        <f t="shared" si="7"/>
        <v>0</v>
      </c>
      <c r="L186" s="12"/>
      <c r="M186" s="206">
        <f t="shared" si="8"/>
        <v>0</v>
      </c>
      <c r="O186" s="162"/>
    </row>
    <row r="187" spans="1:15" x14ac:dyDescent="0.4">
      <c r="A187" s="80"/>
      <c r="B187" s="16"/>
      <c r="C187" s="97"/>
      <c r="D187" s="33"/>
      <c r="E187" s="33"/>
      <c r="F187" s="91"/>
      <c r="G187" s="91"/>
      <c r="H187" s="241"/>
      <c r="I187" s="34"/>
      <c r="J187" s="35">
        <f t="shared" si="6"/>
        <v>0</v>
      </c>
      <c r="K187" s="36">
        <f t="shared" si="7"/>
        <v>0</v>
      </c>
      <c r="L187" s="12"/>
      <c r="M187" s="206">
        <f t="shared" si="8"/>
        <v>0</v>
      </c>
    </row>
    <row r="188" spans="1:15" x14ac:dyDescent="0.4">
      <c r="A188" s="82"/>
      <c r="B188" s="16"/>
      <c r="C188" s="97"/>
      <c r="D188" s="104"/>
      <c r="E188" s="33"/>
      <c r="F188" s="91"/>
      <c r="G188" s="91"/>
      <c r="H188" s="241"/>
      <c r="I188" s="34"/>
      <c r="J188" s="35">
        <f t="shared" si="6"/>
        <v>0</v>
      </c>
      <c r="K188" s="36">
        <f t="shared" si="7"/>
        <v>0</v>
      </c>
      <c r="L188" s="12"/>
      <c r="M188" s="206">
        <f t="shared" si="8"/>
        <v>0</v>
      </c>
    </row>
    <row r="189" spans="1:15" x14ac:dyDescent="0.4">
      <c r="A189" s="82"/>
      <c r="B189" s="16"/>
      <c r="C189" s="97"/>
      <c r="D189" s="104"/>
      <c r="E189" s="33"/>
      <c r="F189" s="91"/>
      <c r="G189" s="91"/>
      <c r="H189" s="241"/>
      <c r="I189" s="34"/>
      <c r="J189" s="35">
        <f t="shared" si="6"/>
        <v>0</v>
      </c>
      <c r="K189" s="36">
        <f t="shared" si="7"/>
        <v>0</v>
      </c>
      <c r="L189" s="12"/>
      <c r="M189" s="206">
        <f t="shared" si="8"/>
        <v>0</v>
      </c>
    </row>
    <row r="190" spans="1:15" x14ac:dyDescent="0.4">
      <c r="A190" s="80"/>
      <c r="B190" s="16"/>
      <c r="C190" s="97"/>
      <c r="D190" s="104"/>
      <c r="E190" s="33"/>
      <c r="F190" s="91"/>
      <c r="G190" s="91"/>
      <c r="H190" s="241"/>
      <c r="I190" s="34"/>
      <c r="J190" s="35">
        <f t="shared" si="6"/>
        <v>0</v>
      </c>
      <c r="K190" s="36">
        <f t="shared" si="7"/>
        <v>0</v>
      </c>
      <c r="L190" s="12"/>
      <c r="M190" s="206">
        <f t="shared" si="8"/>
        <v>0</v>
      </c>
    </row>
    <row r="191" spans="1:15" x14ac:dyDescent="0.4">
      <c r="A191" s="80"/>
      <c r="B191" s="16"/>
      <c r="C191" s="16"/>
      <c r="D191" s="33"/>
      <c r="E191" s="33"/>
      <c r="F191" s="91"/>
      <c r="G191" s="91"/>
      <c r="H191" s="241"/>
      <c r="I191" s="34"/>
      <c r="J191" s="35">
        <f t="shared" si="6"/>
        <v>0</v>
      </c>
      <c r="K191" s="36">
        <f t="shared" si="7"/>
        <v>0</v>
      </c>
      <c r="L191" s="12"/>
      <c r="M191" s="206">
        <f t="shared" si="8"/>
        <v>0</v>
      </c>
      <c r="N191" s="161"/>
    </row>
    <row r="192" spans="1:15" x14ac:dyDescent="0.4">
      <c r="A192" s="80"/>
      <c r="B192" s="16"/>
      <c r="C192" s="97"/>
      <c r="D192" s="33"/>
      <c r="E192" s="33"/>
      <c r="F192" s="91"/>
      <c r="G192" s="91"/>
      <c r="H192" s="241"/>
      <c r="I192" s="34"/>
      <c r="J192" s="35">
        <f t="shared" si="6"/>
        <v>0</v>
      </c>
      <c r="K192" s="36">
        <f t="shared" si="7"/>
        <v>0</v>
      </c>
      <c r="L192" s="12"/>
      <c r="M192" s="206">
        <f t="shared" si="8"/>
        <v>0</v>
      </c>
      <c r="N192" s="161"/>
    </row>
    <row r="193" spans="1:14" x14ac:dyDescent="0.4">
      <c r="A193" s="82"/>
      <c r="B193" s="16"/>
      <c r="C193" s="97"/>
      <c r="D193" s="104"/>
      <c r="E193" s="33"/>
      <c r="F193" s="91"/>
      <c r="G193" s="91"/>
      <c r="H193" s="241"/>
      <c r="I193" s="34"/>
      <c r="J193" s="35">
        <f t="shared" si="6"/>
        <v>0</v>
      </c>
      <c r="K193" s="36">
        <f t="shared" si="7"/>
        <v>0</v>
      </c>
      <c r="L193" s="12"/>
      <c r="M193" s="206">
        <f t="shared" si="8"/>
        <v>0</v>
      </c>
      <c r="N193" s="161"/>
    </row>
    <row r="194" spans="1:14" x14ac:dyDescent="0.4">
      <c r="A194" s="80"/>
      <c r="B194" s="16"/>
      <c r="C194" s="97"/>
      <c r="D194" s="104"/>
      <c r="E194" s="33"/>
      <c r="F194" s="91"/>
      <c r="G194" s="91"/>
      <c r="H194" s="241"/>
      <c r="I194" s="34"/>
      <c r="J194" s="35">
        <f t="shared" si="6"/>
        <v>0</v>
      </c>
      <c r="K194" s="36">
        <f t="shared" si="7"/>
        <v>0</v>
      </c>
      <c r="L194" s="12"/>
      <c r="M194" s="206">
        <f t="shared" si="8"/>
        <v>0</v>
      </c>
      <c r="N194" s="161"/>
    </row>
    <row r="195" spans="1:14" x14ac:dyDescent="0.4">
      <c r="A195" s="80"/>
      <c r="B195" s="16"/>
      <c r="C195" s="97"/>
      <c r="D195" s="104"/>
      <c r="E195" s="33"/>
      <c r="F195" s="91"/>
      <c r="G195" s="91"/>
      <c r="H195" s="241"/>
      <c r="I195" s="34"/>
      <c r="J195" s="35">
        <f t="shared" si="6"/>
        <v>0</v>
      </c>
      <c r="K195" s="36">
        <f t="shared" si="7"/>
        <v>0</v>
      </c>
      <c r="L195" s="12"/>
      <c r="M195" s="206">
        <f t="shared" si="8"/>
        <v>0</v>
      </c>
      <c r="N195" s="161"/>
    </row>
    <row r="196" spans="1:14" x14ac:dyDescent="0.4">
      <c r="A196" s="80"/>
      <c r="B196" s="16"/>
      <c r="C196" s="97"/>
      <c r="D196" s="33"/>
      <c r="E196" s="33"/>
      <c r="F196" s="91"/>
      <c r="G196" s="91"/>
      <c r="H196" s="241"/>
      <c r="I196" s="34"/>
      <c r="J196" s="35">
        <f t="shared" si="6"/>
        <v>0</v>
      </c>
      <c r="K196" s="36">
        <f t="shared" si="7"/>
        <v>0</v>
      </c>
      <c r="L196" s="12"/>
      <c r="M196" s="206">
        <f t="shared" si="8"/>
        <v>0</v>
      </c>
      <c r="N196" s="161"/>
    </row>
    <row r="197" spans="1:14" x14ac:dyDescent="0.4">
      <c r="A197" s="80"/>
      <c r="B197" s="16"/>
      <c r="C197" s="97"/>
      <c r="D197" s="33"/>
      <c r="E197" s="33"/>
      <c r="F197" s="91"/>
      <c r="G197" s="91"/>
      <c r="H197" s="241"/>
      <c r="I197" s="34"/>
      <c r="J197" s="35">
        <f t="shared" si="6"/>
        <v>0</v>
      </c>
      <c r="K197" s="36">
        <f t="shared" si="7"/>
        <v>0</v>
      </c>
      <c r="L197" s="12"/>
      <c r="M197" s="206">
        <f t="shared" si="8"/>
        <v>0</v>
      </c>
    </row>
    <row r="198" spans="1:14" x14ac:dyDescent="0.4">
      <c r="A198" s="80"/>
      <c r="B198" s="16"/>
      <c r="C198" s="97"/>
      <c r="D198" s="33"/>
      <c r="E198" s="33"/>
      <c r="F198" s="91"/>
      <c r="G198" s="91"/>
      <c r="H198" s="241"/>
      <c r="I198" s="34"/>
      <c r="J198" s="35">
        <f t="shared" ref="J198:J229" si="9">IF(F198="TLX",ROUND(M198/32*H198,2),ROUND(M198*H198,2))</f>
        <v>0</v>
      </c>
      <c r="K198" s="36">
        <f t="shared" ref="K198:K229" si="10">SUM(I198+J198)</f>
        <v>0</v>
      </c>
      <c r="L198" s="12"/>
      <c r="M198" s="206">
        <f t="shared" ref="M198:M232" si="11">ROUND(D198+E198/60,2)</f>
        <v>0</v>
      </c>
    </row>
    <row r="199" spans="1:14" x14ac:dyDescent="0.4">
      <c r="A199" s="80"/>
      <c r="B199" s="16"/>
      <c r="C199" s="97"/>
      <c r="D199" s="33"/>
      <c r="E199" s="33"/>
      <c r="F199" s="91"/>
      <c r="G199" s="91"/>
      <c r="H199" s="241"/>
      <c r="I199" s="34"/>
      <c r="J199" s="35">
        <f t="shared" si="9"/>
        <v>0</v>
      </c>
      <c r="K199" s="36">
        <f t="shared" si="10"/>
        <v>0</v>
      </c>
      <c r="L199" s="12"/>
      <c r="M199" s="206">
        <f t="shared" si="11"/>
        <v>0</v>
      </c>
    </row>
    <row r="200" spans="1:14" x14ac:dyDescent="0.4">
      <c r="A200" s="80"/>
      <c r="B200" s="16"/>
      <c r="C200" s="97"/>
      <c r="D200" s="33"/>
      <c r="E200" s="33"/>
      <c r="F200" s="91"/>
      <c r="G200" s="91"/>
      <c r="H200" s="241"/>
      <c r="I200" s="34"/>
      <c r="J200" s="35">
        <f t="shared" si="9"/>
        <v>0</v>
      </c>
      <c r="K200" s="36">
        <f t="shared" si="10"/>
        <v>0</v>
      </c>
      <c r="L200" s="12"/>
      <c r="M200" s="206">
        <f t="shared" si="11"/>
        <v>0</v>
      </c>
    </row>
    <row r="201" spans="1:14" x14ac:dyDescent="0.4">
      <c r="A201" s="80"/>
      <c r="B201" s="16"/>
      <c r="C201" s="97"/>
      <c r="D201" s="33"/>
      <c r="E201" s="33"/>
      <c r="F201" s="91"/>
      <c r="G201" s="91"/>
      <c r="H201" s="241"/>
      <c r="I201" s="34"/>
      <c r="J201" s="35">
        <f t="shared" si="9"/>
        <v>0</v>
      </c>
      <c r="K201" s="36">
        <f t="shared" si="10"/>
        <v>0</v>
      </c>
      <c r="L201" s="12"/>
      <c r="M201" s="206">
        <f t="shared" si="11"/>
        <v>0</v>
      </c>
    </row>
    <row r="202" spans="1:14" x14ac:dyDescent="0.4">
      <c r="A202" s="80"/>
      <c r="B202" s="16"/>
      <c r="C202" s="97"/>
      <c r="D202" s="33"/>
      <c r="E202" s="33"/>
      <c r="F202" s="91"/>
      <c r="G202" s="91"/>
      <c r="H202" s="241"/>
      <c r="I202" s="34"/>
      <c r="J202" s="35">
        <f t="shared" si="9"/>
        <v>0</v>
      </c>
      <c r="K202" s="36">
        <f t="shared" si="10"/>
        <v>0</v>
      </c>
      <c r="L202" s="12"/>
      <c r="M202" s="206">
        <f t="shared" si="11"/>
        <v>0</v>
      </c>
    </row>
    <row r="203" spans="1:14" x14ac:dyDescent="0.4">
      <c r="A203" s="80"/>
      <c r="B203" s="16"/>
      <c r="C203" s="74"/>
      <c r="D203" s="33"/>
      <c r="E203" s="33"/>
      <c r="F203" s="91"/>
      <c r="G203" s="91"/>
      <c r="H203" s="241"/>
      <c r="I203" s="15"/>
      <c r="J203" s="35">
        <f t="shared" si="9"/>
        <v>0</v>
      </c>
      <c r="K203" s="36">
        <f t="shared" si="10"/>
        <v>0</v>
      </c>
      <c r="L203" s="12"/>
      <c r="M203" s="206">
        <f t="shared" si="11"/>
        <v>0</v>
      </c>
    </row>
    <row r="204" spans="1:14" x14ac:dyDescent="0.4">
      <c r="A204" s="80"/>
      <c r="B204" s="16"/>
      <c r="C204" s="74"/>
      <c r="D204" s="33"/>
      <c r="E204" s="33"/>
      <c r="F204" s="91"/>
      <c r="G204" s="91"/>
      <c r="H204" s="241"/>
      <c r="I204" s="15"/>
      <c r="J204" s="35">
        <f t="shared" si="9"/>
        <v>0</v>
      </c>
      <c r="K204" s="36">
        <f t="shared" si="10"/>
        <v>0</v>
      </c>
      <c r="L204" s="12"/>
      <c r="M204" s="206">
        <f t="shared" si="11"/>
        <v>0</v>
      </c>
    </row>
    <row r="205" spans="1:14" x14ac:dyDescent="0.4">
      <c r="A205" s="80"/>
      <c r="B205" s="16"/>
      <c r="C205" s="74"/>
      <c r="D205" s="33"/>
      <c r="E205" s="33"/>
      <c r="F205" s="91"/>
      <c r="G205" s="91"/>
      <c r="H205" s="241"/>
      <c r="I205" s="34"/>
      <c r="J205" s="35">
        <f t="shared" si="9"/>
        <v>0</v>
      </c>
      <c r="K205" s="36">
        <f t="shared" si="10"/>
        <v>0</v>
      </c>
      <c r="L205" s="12"/>
      <c r="M205" s="206">
        <f t="shared" si="11"/>
        <v>0</v>
      </c>
    </row>
    <row r="206" spans="1:14" x14ac:dyDescent="0.4">
      <c r="A206" s="80"/>
      <c r="B206" s="16"/>
      <c r="C206" s="74"/>
      <c r="D206" s="33"/>
      <c r="E206" s="33"/>
      <c r="F206" s="91"/>
      <c r="G206" s="91"/>
      <c r="H206" s="241"/>
      <c r="I206" s="34"/>
      <c r="J206" s="35">
        <f t="shared" si="9"/>
        <v>0</v>
      </c>
      <c r="K206" s="36">
        <f t="shared" si="10"/>
        <v>0</v>
      </c>
      <c r="L206" s="12"/>
      <c r="M206" s="206">
        <f t="shared" si="11"/>
        <v>0</v>
      </c>
    </row>
    <row r="207" spans="1:14" x14ac:dyDescent="0.4">
      <c r="A207" s="80"/>
      <c r="B207" s="16"/>
      <c r="C207" s="74"/>
      <c r="D207" s="33"/>
      <c r="E207" s="33"/>
      <c r="F207" s="91"/>
      <c r="G207" s="91"/>
      <c r="H207" s="241"/>
      <c r="I207" s="34"/>
      <c r="J207" s="35">
        <f t="shared" si="9"/>
        <v>0</v>
      </c>
      <c r="K207" s="36">
        <f t="shared" si="10"/>
        <v>0</v>
      </c>
      <c r="L207" s="12"/>
      <c r="M207" s="206">
        <f t="shared" si="11"/>
        <v>0</v>
      </c>
    </row>
    <row r="208" spans="1:14" x14ac:dyDescent="0.4">
      <c r="A208" s="80"/>
      <c r="B208" s="16"/>
      <c r="C208" s="74"/>
      <c r="D208" s="33"/>
      <c r="E208" s="33"/>
      <c r="F208" s="91"/>
      <c r="G208" s="91"/>
      <c r="H208" s="241"/>
      <c r="I208" s="34"/>
      <c r="J208" s="35">
        <f t="shared" si="9"/>
        <v>0</v>
      </c>
      <c r="K208" s="36">
        <f t="shared" si="10"/>
        <v>0</v>
      </c>
      <c r="L208" s="12"/>
      <c r="M208" s="206">
        <f t="shared" si="11"/>
        <v>0</v>
      </c>
    </row>
    <row r="209" spans="1:13" x14ac:dyDescent="0.4">
      <c r="A209" s="80"/>
      <c r="B209" s="16"/>
      <c r="C209" s="74"/>
      <c r="D209" s="33"/>
      <c r="E209" s="33"/>
      <c r="F209" s="91"/>
      <c r="G209" s="91"/>
      <c r="H209" s="241"/>
      <c r="I209" s="34"/>
      <c r="J209" s="35">
        <f t="shared" si="9"/>
        <v>0</v>
      </c>
      <c r="K209" s="36">
        <f t="shared" si="10"/>
        <v>0</v>
      </c>
      <c r="L209" s="12"/>
      <c r="M209" s="206">
        <f t="shared" si="11"/>
        <v>0</v>
      </c>
    </row>
    <row r="210" spans="1:13" x14ac:dyDescent="0.4">
      <c r="A210" s="80"/>
      <c r="B210" s="16"/>
      <c r="C210" s="74"/>
      <c r="D210" s="33"/>
      <c r="E210" s="33"/>
      <c r="F210" s="91"/>
      <c r="G210" s="91"/>
      <c r="H210" s="241"/>
      <c r="I210" s="34"/>
      <c r="J210" s="35">
        <f t="shared" si="9"/>
        <v>0</v>
      </c>
      <c r="K210" s="36">
        <f t="shared" si="10"/>
        <v>0</v>
      </c>
      <c r="L210" s="12"/>
      <c r="M210" s="206">
        <f t="shared" si="11"/>
        <v>0</v>
      </c>
    </row>
    <row r="211" spans="1:13" x14ac:dyDescent="0.4">
      <c r="A211" s="80"/>
      <c r="B211" s="16"/>
      <c r="C211" s="16"/>
      <c r="D211" s="33"/>
      <c r="E211" s="33"/>
      <c r="F211" s="91"/>
      <c r="G211" s="91"/>
      <c r="H211" s="241"/>
      <c r="I211" s="34"/>
      <c r="J211" s="35">
        <f t="shared" si="9"/>
        <v>0</v>
      </c>
      <c r="K211" s="36">
        <f t="shared" si="10"/>
        <v>0</v>
      </c>
      <c r="L211" s="12"/>
      <c r="M211" s="206">
        <f t="shared" si="11"/>
        <v>0</v>
      </c>
    </row>
    <row r="212" spans="1:13" x14ac:dyDescent="0.4">
      <c r="A212" s="80"/>
      <c r="B212" s="16"/>
      <c r="C212" s="16"/>
      <c r="D212" s="33"/>
      <c r="E212" s="33"/>
      <c r="F212" s="91"/>
      <c r="G212" s="91"/>
      <c r="H212" s="241"/>
      <c r="I212" s="34"/>
      <c r="J212" s="35">
        <f t="shared" si="9"/>
        <v>0</v>
      </c>
      <c r="K212" s="36">
        <f t="shared" si="10"/>
        <v>0</v>
      </c>
      <c r="L212" s="12"/>
      <c r="M212" s="206">
        <f t="shared" si="11"/>
        <v>0</v>
      </c>
    </row>
    <row r="213" spans="1:13" x14ac:dyDescent="0.4">
      <c r="A213" s="80"/>
      <c r="B213" s="16"/>
      <c r="C213" s="16"/>
      <c r="D213" s="33"/>
      <c r="E213" s="33"/>
      <c r="F213" s="91"/>
      <c r="G213" s="91"/>
      <c r="H213" s="241"/>
      <c r="I213" s="34"/>
      <c r="J213" s="35">
        <f t="shared" si="9"/>
        <v>0</v>
      </c>
      <c r="K213" s="36">
        <f t="shared" si="10"/>
        <v>0</v>
      </c>
      <c r="L213" s="12"/>
      <c r="M213" s="206">
        <f t="shared" si="11"/>
        <v>0</v>
      </c>
    </row>
    <row r="214" spans="1:13" x14ac:dyDescent="0.4">
      <c r="A214" s="32"/>
      <c r="B214" s="16"/>
      <c r="C214" s="16"/>
      <c r="D214" s="33"/>
      <c r="E214" s="33"/>
      <c r="F214" s="91"/>
      <c r="G214" s="91"/>
      <c r="H214" s="241"/>
      <c r="I214" s="34"/>
      <c r="J214" s="35">
        <f t="shared" si="9"/>
        <v>0</v>
      </c>
      <c r="K214" s="36">
        <f t="shared" si="10"/>
        <v>0</v>
      </c>
      <c r="L214" s="12"/>
      <c r="M214" s="206">
        <f t="shared" si="11"/>
        <v>0</v>
      </c>
    </row>
    <row r="215" spans="1:13" x14ac:dyDescent="0.4">
      <c r="A215" s="32"/>
      <c r="B215" s="16"/>
      <c r="C215" s="16"/>
      <c r="D215" s="33"/>
      <c r="E215" s="33"/>
      <c r="F215" s="91"/>
      <c r="G215" s="91"/>
      <c r="H215" s="241"/>
      <c r="I215" s="34"/>
      <c r="J215" s="35">
        <f t="shared" si="9"/>
        <v>0</v>
      </c>
      <c r="K215" s="36">
        <f t="shared" si="10"/>
        <v>0</v>
      </c>
      <c r="L215" s="12"/>
      <c r="M215" s="206">
        <f t="shared" si="11"/>
        <v>0</v>
      </c>
    </row>
    <row r="216" spans="1:13" x14ac:dyDescent="0.4">
      <c r="A216" s="32"/>
      <c r="B216" s="16"/>
      <c r="C216" s="74"/>
      <c r="D216" s="33"/>
      <c r="E216" s="33"/>
      <c r="F216" s="91"/>
      <c r="G216" s="91"/>
      <c r="H216" s="241"/>
      <c r="I216" s="34"/>
      <c r="J216" s="35">
        <f t="shared" si="9"/>
        <v>0</v>
      </c>
      <c r="K216" s="36">
        <f t="shared" si="10"/>
        <v>0</v>
      </c>
      <c r="L216" s="12"/>
      <c r="M216" s="206">
        <f t="shared" si="11"/>
        <v>0</v>
      </c>
    </row>
    <row r="217" spans="1:13" x14ac:dyDescent="0.4">
      <c r="A217" s="32"/>
      <c r="B217" s="16"/>
      <c r="C217" s="74"/>
      <c r="D217" s="33"/>
      <c r="E217" s="33"/>
      <c r="F217" s="91"/>
      <c r="G217" s="91"/>
      <c r="H217" s="241"/>
      <c r="I217" s="34"/>
      <c r="J217" s="35">
        <f t="shared" si="9"/>
        <v>0</v>
      </c>
      <c r="K217" s="36">
        <f t="shared" si="10"/>
        <v>0</v>
      </c>
      <c r="L217" s="12"/>
      <c r="M217" s="206">
        <f t="shared" si="11"/>
        <v>0</v>
      </c>
    </row>
    <row r="218" spans="1:13" x14ac:dyDescent="0.4">
      <c r="A218" s="32"/>
      <c r="B218" s="16"/>
      <c r="C218" s="16"/>
      <c r="D218" s="33"/>
      <c r="E218" s="33"/>
      <c r="F218" s="91"/>
      <c r="G218" s="91"/>
      <c r="H218" s="241"/>
      <c r="I218" s="34"/>
      <c r="J218" s="35">
        <f t="shared" si="9"/>
        <v>0</v>
      </c>
      <c r="K218" s="36">
        <f t="shared" si="10"/>
        <v>0</v>
      </c>
      <c r="L218" s="12"/>
      <c r="M218" s="206">
        <f t="shared" si="11"/>
        <v>0</v>
      </c>
    </row>
    <row r="219" spans="1:13" x14ac:dyDescent="0.4">
      <c r="A219" s="32"/>
      <c r="B219" s="16"/>
      <c r="C219" s="16"/>
      <c r="D219" s="33"/>
      <c r="E219" s="33"/>
      <c r="F219" s="91"/>
      <c r="G219" s="91"/>
      <c r="H219" s="241"/>
      <c r="I219" s="34"/>
      <c r="J219" s="35">
        <f t="shared" si="9"/>
        <v>0</v>
      </c>
      <c r="K219" s="36">
        <f t="shared" si="10"/>
        <v>0</v>
      </c>
      <c r="L219" s="12"/>
      <c r="M219" s="206">
        <f t="shared" si="11"/>
        <v>0</v>
      </c>
    </row>
    <row r="220" spans="1:13" x14ac:dyDescent="0.4">
      <c r="A220" s="32"/>
      <c r="B220" s="16"/>
      <c r="C220" s="16"/>
      <c r="D220" s="33"/>
      <c r="E220" s="33"/>
      <c r="F220" s="91"/>
      <c r="G220" s="91"/>
      <c r="H220" s="241"/>
      <c r="I220" s="34"/>
      <c r="J220" s="35">
        <f t="shared" si="9"/>
        <v>0</v>
      </c>
      <c r="K220" s="36">
        <f t="shared" si="10"/>
        <v>0</v>
      </c>
      <c r="L220" s="12"/>
      <c r="M220" s="206">
        <f t="shared" si="11"/>
        <v>0</v>
      </c>
    </row>
    <row r="221" spans="1:13" x14ac:dyDescent="0.4">
      <c r="A221" s="75"/>
      <c r="B221" s="76"/>
      <c r="C221" s="76"/>
      <c r="D221" s="77"/>
      <c r="E221" s="77"/>
      <c r="F221" s="92"/>
      <c r="G221" s="92"/>
      <c r="H221" s="242"/>
      <c r="I221" s="78"/>
      <c r="J221" s="35">
        <f t="shared" si="9"/>
        <v>0</v>
      </c>
      <c r="K221" s="36">
        <f t="shared" si="10"/>
        <v>0</v>
      </c>
      <c r="L221" s="12"/>
      <c r="M221" s="206">
        <f t="shared" si="11"/>
        <v>0</v>
      </c>
    </row>
    <row r="222" spans="1:13" x14ac:dyDescent="0.4">
      <c r="A222" s="73"/>
      <c r="B222" s="31"/>
      <c r="C222" s="31"/>
      <c r="D222" s="39"/>
      <c r="E222" s="39"/>
      <c r="F222" s="90"/>
      <c r="G222" s="90"/>
      <c r="H222" s="243"/>
      <c r="I222" s="40"/>
      <c r="J222" s="35">
        <f t="shared" si="9"/>
        <v>0</v>
      </c>
      <c r="K222" s="36">
        <f t="shared" si="10"/>
        <v>0</v>
      </c>
      <c r="L222" s="12"/>
      <c r="M222" s="206">
        <f t="shared" si="11"/>
        <v>0</v>
      </c>
    </row>
    <row r="223" spans="1:13" x14ac:dyDescent="0.4">
      <c r="A223" s="32"/>
      <c r="B223" s="16"/>
      <c r="C223" s="16"/>
      <c r="D223" s="33"/>
      <c r="E223" s="33"/>
      <c r="F223" s="91"/>
      <c r="G223" s="91"/>
      <c r="H223" s="241"/>
      <c r="I223" s="34"/>
      <c r="J223" s="35">
        <f t="shared" si="9"/>
        <v>0</v>
      </c>
      <c r="K223" s="36">
        <f t="shared" si="10"/>
        <v>0</v>
      </c>
      <c r="L223" s="12"/>
      <c r="M223" s="206">
        <f t="shared" si="11"/>
        <v>0</v>
      </c>
    </row>
    <row r="224" spans="1:13" x14ac:dyDescent="0.4">
      <c r="A224" s="32"/>
      <c r="B224" s="16"/>
      <c r="C224" s="16"/>
      <c r="D224" s="33"/>
      <c r="E224" s="33"/>
      <c r="F224" s="91"/>
      <c r="G224" s="91"/>
      <c r="H224" s="241"/>
      <c r="I224" s="34"/>
      <c r="J224" s="35">
        <f t="shared" si="9"/>
        <v>0</v>
      </c>
      <c r="K224" s="36">
        <f t="shared" si="10"/>
        <v>0</v>
      </c>
      <c r="L224" s="12"/>
      <c r="M224" s="206">
        <f t="shared" si="11"/>
        <v>0</v>
      </c>
    </row>
    <row r="225" spans="1:13" x14ac:dyDescent="0.4">
      <c r="A225" s="32"/>
      <c r="B225" s="16"/>
      <c r="C225" s="16"/>
      <c r="D225" s="33"/>
      <c r="E225" s="33"/>
      <c r="F225" s="91"/>
      <c r="G225" s="91"/>
      <c r="H225" s="241"/>
      <c r="I225" s="34"/>
      <c r="J225" s="35">
        <f t="shared" si="9"/>
        <v>0</v>
      </c>
      <c r="K225" s="36">
        <f t="shared" si="10"/>
        <v>0</v>
      </c>
      <c r="L225" s="12"/>
      <c r="M225" s="206">
        <f t="shared" si="11"/>
        <v>0</v>
      </c>
    </row>
    <row r="226" spans="1:13" x14ac:dyDescent="0.4">
      <c r="A226" s="32"/>
      <c r="B226" s="16"/>
      <c r="C226" s="16"/>
      <c r="D226" s="33"/>
      <c r="E226" s="33"/>
      <c r="F226" s="91"/>
      <c r="G226" s="91"/>
      <c r="H226" s="241"/>
      <c r="I226" s="34"/>
      <c r="J226" s="35">
        <f t="shared" si="9"/>
        <v>0</v>
      </c>
      <c r="K226" s="36">
        <f t="shared" si="10"/>
        <v>0</v>
      </c>
      <c r="L226" s="12"/>
      <c r="M226" s="206">
        <f t="shared" si="11"/>
        <v>0</v>
      </c>
    </row>
    <row r="227" spans="1:13" x14ac:dyDescent="0.4">
      <c r="A227" s="32"/>
      <c r="B227" s="16"/>
      <c r="C227" s="16"/>
      <c r="D227" s="33"/>
      <c r="E227" s="33"/>
      <c r="F227" s="91"/>
      <c r="G227" s="91"/>
      <c r="H227" s="241"/>
      <c r="I227" s="34"/>
      <c r="J227" s="35">
        <f t="shared" si="9"/>
        <v>0</v>
      </c>
      <c r="K227" s="36">
        <f t="shared" si="10"/>
        <v>0</v>
      </c>
      <c r="L227" s="12"/>
      <c r="M227" s="206">
        <f t="shared" si="11"/>
        <v>0</v>
      </c>
    </row>
    <row r="228" spans="1:13" x14ac:dyDescent="0.4">
      <c r="A228" s="146"/>
      <c r="B228" s="97"/>
      <c r="C228" s="97"/>
      <c r="D228" s="98"/>
      <c r="E228" s="98"/>
      <c r="F228" s="213"/>
      <c r="G228" s="213"/>
      <c r="H228" s="244"/>
      <c r="I228" s="99"/>
      <c r="J228" s="96">
        <f t="shared" si="9"/>
        <v>0</v>
      </c>
      <c r="K228" s="36">
        <f t="shared" si="10"/>
        <v>0</v>
      </c>
      <c r="L228" s="12"/>
      <c r="M228" s="206">
        <f t="shared" si="11"/>
        <v>0</v>
      </c>
    </row>
    <row r="229" spans="1:13" ht="15.4" thickBot="1" x14ac:dyDescent="0.45">
      <c r="A229" s="147"/>
      <c r="B229" s="148"/>
      <c r="C229" s="148"/>
      <c r="D229" s="149"/>
      <c r="E229" s="149"/>
      <c r="F229" s="214"/>
      <c r="G229" s="214"/>
      <c r="H229" s="245"/>
      <c r="I229" s="211"/>
      <c r="J229" s="195">
        <f t="shared" si="9"/>
        <v>0</v>
      </c>
      <c r="K229" s="38">
        <f t="shared" si="10"/>
        <v>0</v>
      </c>
      <c r="L229" s="12"/>
      <c r="M229" s="206">
        <f t="shared" si="11"/>
        <v>0</v>
      </c>
    </row>
    <row r="230" spans="1:13" x14ac:dyDescent="0.4">
      <c r="A230" s="141"/>
      <c r="B230" s="142"/>
      <c r="C230" s="142"/>
      <c r="D230" s="143"/>
      <c r="E230" s="143"/>
      <c r="F230" s="215"/>
      <c r="G230" s="215"/>
      <c r="H230" s="246"/>
      <c r="I230" s="144"/>
      <c r="J230" s="139"/>
      <c r="K230" s="41"/>
      <c r="L230" s="12"/>
      <c r="M230" s="206">
        <f t="shared" si="11"/>
        <v>0</v>
      </c>
    </row>
    <row r="231" spans="1:13" x14ac:dyDescent="0.4">
      <c r="A231" s="42"/>
      <c r="B231" s="43"/>
      <c r="C231" s="17"/>
      <c r="D231" s="44"/>
      <c r="E231" s="44"/>
      <c r="F231" s="93"/>
      <c r="G231" s="93"/>
      <c r="H231" s="247"/>
      <c r="I231" s="35"/>
      <c r="J231" s="208" t="s">
        <v>36</v>
      </c>
      <c r="K231" s="209">
        <f>SUM(K6:K229)</f>
        <v>0</v>
      </c>
      <c r="L231" s="12"/>
      <c r="M231" s="206">
        <f t="shared" si="11"/>
        <v>0</v>
      </c>
    </row>
    <row r="232" spans="1:13" ht="15.4" thickBot="1" x14ac:dyDescent="0.45">
      <c r="A232" s="45"/>
      <c r="B232" s="46"/>
      <c r="C232" s="18"/>
      <c r="D232" s="47"/>
      <c r="E232" s="47"/>
      <c r="F232" s="94"/>
      <c r="G232" s="94"/>
      <c r="H232" s="248"/>
      <c r="I232" s="37"/>
      <c r="J232" s="37"/>
      <c r="K232" s="38"/>
      <c r="L232" s="12"/>
      <c r="M232" s="206">
        <f t="shared" si="11"/>
        <v>0</v>
      </c>
    </row>
    <row r="233" spans="1:13" x14ac:dyDescent="0.4">
      <c r="A233" s="6"/>
      <c r="B233" s="7"/>
      <c r="C233" s="10"/>
      <c r="D233" s="8"/>
      <c r="E233" s="8"/>
      <c r="F233" s="95"/>
      <c r="G233" s="95"/>
      <c r="H233" s="249"/>
      <c r="I233" s="4"/>
      <c r="J233" s="4"/>
      <c r="K233" s="4"/>
      <c r="L233" s="4" t="s">
        <v>4</v>
      </c>
      <c r="M233" s="206" t="s">
        <v>4</v>
      </c>
    </row>
    <row r="234" spans="1:13" x14ac:dyDescent="0.4">
      <c r="A234" s="6"/>
      <c r="B234" s="7"/>
      <c r="C234" s="10"/>
      <c r="D234" s="8"/>
      <c r="E234" s="8"/>
      <c r="F234" s="95"/>
      <c r="G234" s="95"/>
      <c r="H234" s="249"/>
      <c r="I234" s="4"/>
      <c r="J234" s="4"/>
      <c r="K234" s="4"/>
      <c r="L234" s="4" t="s">
        <v>4</v>
      </c>
      <c r="M234" s="206" t="s">
        <v>4</v>
      </c>
    </row>
    <row r="235" spans="1:13" x14ac:dyDescent="0.4">
      <c r="A235" s="6"/>
      <c r="B235" s="7"/>
      <c r="C235" s="10"/>
      <c r="D235" s="8"/>
      <c r="E235" s="8"/>
      <c r="F235" s="95"/>
      <c r="G235" s="95"/>
      <c r="H235" s="249"/>
      <c r="I235" s="4"/>
      <c r="J235" s="4"/>
      <c r="K235" s="4"/>
      <c r="L235" s="4" t="s">
        <v>4</v>
      </c>
      <c r="M235" s="206" t="s">
        <v>4</v>
      </c>
    </row>
    <row r="236" spans="1:13" x14ac:dyDescent="0.4">
      <c r="A236" s="6"/>
      <c r="B236" s="7"/>
      <c r="C236" s="10"/>
      <c r="D236" s="8"/>
      <c r="E236" s="8"/>
      <c r="F236" s="95"/>
      <c r="G236" s="95"/>
      <c r="H236" s="249"/>
      <c r="I236" s="4"/>
      <c r="J236" s="4"/>
      <c r="K236" s="4"/>
      <c r="L236" s="4" t="s">
        <v>4</v>
      </c>
      <c r="M236" s="206" t="s">
        <v>4</v>
      </c>
    </row>
    <row r="237" spans="1:13" x14ac:dyDescent="0.4">
      <c r="A237" s="6"/>
      <c r="B237" s="7"/>
      <c r="C237" s="10"/>
      <c r="D237" s="8"/>
      <c r="E237" s="8"/>
      <c r="F237" s="95"/>
      <c r="G237" s="95"/>
      <c r="H237" s="249"/>
      <c r="I237" s="4"/>
      <c r="J237" s="4"/>
      <c r="K237" s="4"/>
      <c r="L237" s="4" t="s">
        <v>4</v>
      </c>
      <c r="M237" s="206" t="s">
        <v>4</v>
      </c>
    </row>
    <row r="238" spans="1:13" x14ac:dyDescent="0.4">
      <c r="A238" s="6"/>
      <c r="B238" s="7"/>
      <c r="C238" s="10"/>
      <c r="D238" s="8"/>
      <c r="E238" s="8"/>
      <c r="F238" s="95"/>
      <c r="G238" s="95"/>
      <c r="H238" s="249"/>
      <c r="I238" s="4"/>
      <c r="J238" s="4"/>
      <c r="K238" s="4"/>
      <c r="L238" s="4" t="s">
        <v>4</v>
      </c>
      <c r="M238" s="206" t="s">
        <v>4</v>
      </c>
    </row>
    <row r="239" spans="1:13" x14ac:dyDescent="0.4">
      <c r="A239" s="6"/>
      <c r="B239" s="7"/>
      <c r="C239" s="10"/>
      <c r="D239" s="8"/>
      <c r="E239" s="8"/>
      <c r="F239" s="95"/>
      <c r="G239" s="95"/>
      <c r="H239" s="249"/>
      <c r="I239" s="4"/>
      <c r="J239" s="4"/>
      <c r="K239" s="4"/>
      <c r="L239" s="4" t="s">
        <v>4</v>
      </c>
      <c r="M239" s="206" t="s">
        <v>4</v>
      </c>
    </row>
    <row r="240" spans="1:13" x14ac:dyDescent="0.4">
      <c r="A240" s="6"/>
      <c r="B240" s="7"/>
      <c r="C240" s="10"/>
      <c r="D240" s="8"/>
      <c r="E240" s="8"/>
      <c r="F240" s="95"/>
      <c r="G240" s="95"/>
      <c r="H240" s="249"/>
      <c r="I240" s="4"/>
      <c r="J240" s="4"/>
      <c r="K240" s="4"/>
      <c r="L240" s="4" t="s">
        <v>4</v>
      </c>
      <c r="M240" s="206" t="s">
        <v>4</v>
      </c>
    </row>
    <row r="241" spans="1:13" x14ac:dyDescent="0.4">
      <c r="A241" s="6"/>
      <c r="B241" s="7"/>
      <c r="C241" s="10"/>
      <c r="D241" s="8"/>
      <c r="E241" s="8"/>
      <c r="F241" s="95"/>
      <c r="G241" s="95"/>
      <c r="H241" s="249"/>
      <c r="I241" s="4"/>
      <c r="J241" s="4"/>
      <c r="K241" s="4"/>
      <c r="L241" s="4" t="s">
        <v>4</v>
      </c>
      <c r="M241" s="206" t="s">
        <v>4</v>
      </c>
    </row>
    <row r="242" spans="1:13" x14ac:dyDescent="0.4">
      <c r="A242" s="6"/>
      <c r="B242" s="7"/>
      <c r="C242" s="10"/>
      <c r="D242" s="8"/>
      <c r="E242" s="8"/>
      <c r="F242" s="95"/>
      <c r="G242" s="95"/>
      <c r="H242" s="249"/>
      <c r="I242" s="4"/>
      <c r="J242" s="4" t="s">
        <v>4</v>
      </c>
      <c r="K242" s="4" t="s">
        <v>4</v>
      </c>
      <c r="L242" s="4" t="s">
        <v>4</v>
      </c>
      <c r="M242" s="206" t="s">
        <v>4</v>
      </c>
    </row>
    <row r="243" spans="1:13" x14ac:dyDescent="0.4">
      <c r="A243" s="6"/>
      <c r="B243" s="7"/>
      <c r="C243" s="10"/>
      <c r="D243" s="8"/>
      <c r="E243" s="8"/>
      <c r="F243" s="95"/>
      <c r="G243" s="95"/>
      <c r="H243" s="249"/>
      <c r="I243" s="4"/>
      <c r="J243" s="4" t="s">
        <v>4</v>
      </c>
      <c r="K243" s="4" t="s">
        <v>4</v>
      </c>
      <c r="L243" s="4" t="s">
        <v>4</v>
      </c>
      <c r="M243" s="206" t="s">
        <v>4</v>
      </c>
    </row>
    <row r="244" spans="1:13" x14ac:dyDescent="0.4">
      <c r="A244" s="6"/>
      <c r="B244" s="7"/>
      <c r="C244" s="10"/>
      <c r="D244" s="8"/>
      <c r="E244" s="8"/>
      <c r="F244" s="95"/>
      <c r="G244" s="95"/>
      <c r="H244" s="249"/>
      <c r="I244" s="4"/>
      <c r="J244" s="4" t="s">
        <v>4</v>
      </c>
      <c r="K244" s="4" t="s">
        <v>4</v>
      </c>
      <c r="L244" s="4" t="s">
        <v>4</v>
      </c>
      <c r="M244" s="206" t="s">
        <v>4</v>
      </c>
    </row>
    <row r="245" spans="1:13" x14ac:dyDescent="0.4">
      <c r="A245" s="6"/>
      <c r="B245" s="7"/>
      <c r="C245" s="10"/>
      <c r="D245" s="8"/>
      <c r="E245" s="8"/>
      <c r="F245" s="95"/>
      <c r="G245" s="95"/>
      <c r="H245" s="249"/>
      <c r="I245" s="4"/>
      <c r="J245" s="4" t="s">
        <v>4</v>
      </c>
      <c r="K245" s="4" t="s">
        <v>4</v>
      </c>
      <c r="L245" s="4" t="s">
        <v>4</v>
      </c>
      <c r="M245" s="206" t="s">
        <v>4</v>
      </c>
    </row>
    <row r="246" spans="1:13" x14ac:dyDescent="0.4">
      <c r="A246" s="6"/>
      <c r="B246" s="7"/>
      <c r="C246" s="2"/>
      <c r="D246" s="8"/>
      <c r="E246" s="8"/>
      <c r="F246" s="95"/>
      <c r="G246" s="95"/>
      <c r="H246" s="249"/>
      <c r="I246" s="4"/>
      <c r="J246" s="4" t="s">
        <v>4</v>
      </c>
      <c r="K246" s="4" t="s">
        <v>4</v>
      </c>
      <c r="L246" s="4" t="s">
        <v>4</v>
      </c>
      <c r="M246" s="206" t="s">
        <v>4</v>
      </c>
    </row>
    <row r="247" spans="1:13" x14ac:dyDescent="0.4">
      <c r="A247" s="6"/>
      <c r="B247" s="7"/>
      <c r="C247" s="2"/>
      <c r="D247" s="8"/>
      <c r="E247" s="8"/>
      <c r="F247" s="95"/>
      <c r="G247" s="95"/>
      <c r="H247" s="249"/>
      <c r="I247" s="4"/>
      <c r="J247" s="4" t="s">
        <v>4</v>
      </c>
      <c r="K247" s="4" t="s">
        <v>4</v>
      </c>
      <c r="L247" s="4" t="s">
        <v>4</v>
      </c>
      <c r="M247" s="206" t="s">
        <v>4</v>
      </c>
    </row>
    <row r="248" spans="1:13" x14ac:dyDescent="0.4">
      <c r="A248" s="6"/>
      <c r="B248" s="7"/>
      <c r="C248" s="2"/>
      <c r="D248" s="8"/>
      <c r="E248" s="8"/>
      <c r="F248" s="95"/>
      <c r="G248" s="95"/>
      <c r="H248" s="249"/>
      <c r="I248" s="4"/>
      <c r="J248" s="4" t="s">
        <v>4</v>
      </c>
      <c r="K248" s="4" t="s">
        <v>4</v>
      </c>
      <c r="L248" s="4" t="s">
        <v>4</v>
      </c>
      <c r="M248" s="206" t="s">
        <v>4</v>
      </c>
    </row>
    <row r="249" spans="1:13" x14ac:dyDescent="0.4">
      <c r="A249" s="6"/>
      <c r="B249" s="7"/>
      <c r="C249" s="2"/>
      <c r="D249" s="8"/>
      <c r="E249" s="8"/>
      <c r="F249" s="95"/>
      <c r="G249" s="95"/>
      <c r="H249" s="249"/>
      <c r="I249" s="4"/>
      <c r="J249" s="4" t="s">
        <v>4</v>
      </c>
      <c r="K249" s="4" t="s">
        <v>4</v>
      </c>
      <c r="L249" s="4" t="s">
        <v>4</v>
      </c>
      <c r="M249" s="206" t="s">
        <v>4</v>
      </c>
    </row>
    <row r="250" spans="1:13" x14ac:dyDescent="0.4">
      <c r="A250" s="6"/>
      <c r="B250" s="7"/>
      <c r="C250" s="2"/>
      <c r="D250" s="8"/>
      <c r="E250" s="8"/>
      <c r="F250" s="95"/>
      <c r="G250" s="95"/>
      <c r="H250" s="249"/>
      <c r="I250" s="4"/>
      <c r="J250" s="4" t="s">
        <v>4</v>
      </c>
      <c r="K250" s="4" t="s">
        <v>4</v>
      </c>
      <c r="L250" s="4" t="s">
        <v>4</v>
      </c>
      <c r="M250" s="206" t="s">
        <v>4</v>
      </c>
    </row>
    <row r="251" spans="1:13" x14ac:dyDescent="0.4">
      <c r="A251" s="6"/>
      <c r="B251" s="7"/>
      <c r="C251" s="2"/>
      <c r="D251" s="8"/>
      <c r="E251" s="8"/>
      <c r="F251" s="95"/>
      <c r="G251" s="95"/>
      <c r="H251" s="249"/>
      <c r="I251" s="4"/>
      <c r="J251" s="4" t="s">
        <v>4</v>
      </c>
      <c r="K251" s="4" t="s">
        <v>4</v>
      </c>
      <c r="L251" s="4" t="s">
        <v>4</v>
      </c>
      <c r="M251" s="206" t="s">
        <v>4</v>
      </c>
    </row>
    <row r="252" spans="1:13" x14ac:dyDescent="0.4">
      <c r="A252" s="6"/>
      <c r="B252" s="7"/>
      <c r="C252" s="2"/>
      <c r="D252" s="8"/>
      <c r="E252" s="8"/>
      <c r="F252" s="95"/>
      <c r="G252" s="95"/>
      <c r="H252" s="249"/>
      <c r="I252" s="4"/>
      <c r="J252" s="4" t="s">
        <v>4</v>
      </c>
      <c r="K252" s="4" t="s">
        <v>4</v>
      </c>
      <c r="L252" s="4" t="s">
        <v>4</v>
      </c>
      <c r="M252" s="206" t="s">
        <v>4</v>
      </c>
    </row>
    <row r="253" spans="1:13" x14ac:dyDescent="0.4">
      <c r="A253" s="6"/>
      <c r="B253" s="7"/>
      <c r="C253" s="2"/>
      <c r="D253" s="8"/>
      <c r="E253" s="8"/>
      <c r="F253" s="95"/>
      <c r="G253" s="95"/>
      <c r="H253" s="249"/>
      <c r="I253" s="4"/>
      <c r="J253" s="4" t="s">
        <v>4</v>
      </c>
      <c r="K253" s="4" t="s">
        <v>4</v>
      </c>
      <c r="L253" s="4" t="s">
        <v>4</v>
      </c>
      <c r="M253" s="206" t="s">
        <v>4</v>
      </c>
    </row>
    <row r="254" spans="1:13" x14ac:dyDescent="0.4">
      <c r="A254" s="6"/>
      <c r="B254" s="7"/>
      <c r="C254" s="2"/>
      <c r="D254" s="8"/>
      <c r="E254" s="8"/>
      <c r="F254" s="95"/>
      <c r="G254" s="95"/>
      <c r="H254" s="249"/>
      <c r="I254" s="4"/>
      <c r="J254" s="4" t="s">
        <v>4</v>
      </c>
      <c r="K254" s="4" t="s">
        <v>4</v>
      </c>
      <c r="L254" s="4" t="s">
        <v>4</v>
      </c>
      <c r="M254" s="206" t="s">
        <v>4</v>
      </c>
    </row>
    <row r="255" spans="1:13" x14ac:dyDescent="0.4">
      <c r="A255" s="6"/>
      <c r="B255" s="7"/>
      <c r="C255" s="2"/>
      <c r="D255" s="8"/>
      <c r="E255" s="8"/>
      <c r="F255" s="95"/>
      <c r="G255" s="95"/>
      <c r="H255" s="249"/>
      <c r="I255" s="4"/>
      <c r="J255" s="4" t="s">
        <v>4</v>
      </c>
      <c r="K255" s="4" t="s">
        <v>4</v>
      </c>
      <c r="L255" s="4" t="s">
        <v>4</v>
      </c>
      <c r="M255" s="206" t="s">
        <v>4</v>
      </c>
    </row>
    <row r="256" spans="1:13" x14ac:dyDescent="0.4">
      <c r="A256" s="6"/>
      <c r="B256" s="7"/>
      <c r="C256" s="2"/>
      <c r="D256" s="8"/>
      <c r="E256" s="8"/>
      <c r="F256" s="95"/>
      <c r="G256" s="95"/>
      <c r="H256" s="249"/>
      <c r="I256" s="4"/>
      <c r="J256" s="4" t="s">
        <v>4</v>
      </c>
      <c r="K256" s="4" t="s">
        <v>4</v>
      </c>
      <c r="L256" s="4" t="s">
        <v>4</v>
      </c>
      <c r="M256" s="206" t="s">
        <v>4</v>
      </c>
    </row>
    <row r="257" spans="1:13" x14ac:dyDescent="0.4">
      <c r="A257" s="6"/>
      <c r="B257" s="7"/>
      <c r="C257" s="2"/>
      <c r="D257" s="8"/>
      <c r="E257" s="8"/>
      <c r="F257" s="95"/>
      <c r="G257" s="95"/>
      <c r="H257" s="249"/>
      <c r="I257" s="4"/>
      <c r="J257" s="4" t="s">
        <v>4</v>
      </c>
      <c r="K257" s="4" t="s">
        <v>4</v>
      </c>
      <c r="L257" s="4" t="s">
        <v>4</v>
      </c>
      <c r="M257" s="206" t="s">
        <v>4</v>
      </c>
    </row>
    <row r="258" spans="1:13" x14ac:dyDescent="0.4">
      <c r="A258" s="6"/>
      <c r="B258" s="7"/>
      <c r="C258" s="2"/>
      <c r="D258" s="8"/>
      <c r="E258" s="8"/>
      <c r="F258" s="95"/>
      <c r="G258" s="95"/>
      <c r="H258" s="249"/>
      <c r="I258" s="4"/>
      <c r="J258" s="4" t="s">
        <v>4</v>
      </c>
      <c r="K258" s="4" t="s">
        <v>4</v>
      </c>
      <c r="L258" s="4" t="s">
        <v>4</v>
      </c>
      <c r="M258" s="206" t="s">
        <v>4</v>
      </c>
    </row>
    <row r="259" spans="1:13" x14ac:dyDescent="0.4">
      <c r="A259" s="6"/>
      <c r="B259" s="7"/>
      <c r="C259" s="2"/>
      <c r="D259" s="8"/>
      <c r="E259" s="8"/>
      <c r="F259" s="95"/>
      <c r="G259" s="95"/>
      <c r="H259" s="249"/>
      <c r="I259" s="4"/>
      <c r="J259" s="4" t="s">
        <v>4</v>
      </c>
      <c r="K259" s="4" t="s">
        <v>4</v>
      </c>
      <c r="L259" s="4" t="s">
        <v>4</v>
      </c>
      <c r="M259" s="206" t="s">
        <v>4</v>
      </c>
    </row>
    <row r="260" spans="1:13" x14ac:dyDescent="0.4">
      <c r="A260" s="6"/>
      <c r="B260" s="7"/>
      <c r="C260" s="2"/>
      <c r="D260" s="8"/>
      <c r="E260" s="8"/>
      <c r="F260" s="95"/>
      <c r="G260" s="95"/>
      <c r="H260" s="249"/>
      <c r="I260" s="4"/>
      <c r="J260" s="4" t="s">
        <v>4</v>
      </c>
      <c r="K260" s="4" t="s">
        <v>4</v>
      </c>
      <c r="L260" s="4" t="s">
        <v>4</v>
      </c>
      <c r="M260" s="206" t="s">
        <v>4</v>
      </c>
    </row>
    <row r="261" spans="1:13" x14ac:dyDescent="0.4">
      <c r="A261" s="6"/>
      <c r="B261" s="7"/>
      <c r="C261" s="2"/>
      <c r="D261" s="8"/>
      <c r="E261" s="8"/>
      <c r="F261" s="95"/>
      <c r="G261" s="95"/>
      <c r="H261" s="249"/>
      <c r="I261" s="4"/>
      <c r="J261" s="4" t="s">
        <v>4</v>
      </c>
      <c r="K261" s="4" t="s">
        <v>4</v>
      </c>
      <c r="L261" s="4" t="s">
        <v>4</v>
      </c>
      <c r="M261" s="206" t="s">
        <v>4</v>
      </c>
    </row>
    <row r="262" spans="1:13" x14ac:dyDescent="0.4">
      <c r="A262" s="6"/>
      <c r="B262" s="7"/>
      <c r="C262" s="2"/>
      <c r="D262" s="8"/>
      <c r="E262" s="8"/>
      <c r="F262" s="95"/>
      <c r="G262" s="95"/>
      <c r="H262" s="249"/>
      <c r="I262" s="4"/>
      <c r="J262" s="4" t="s">
        <v>4</v>
      </c>
      <c r="K262" s="4" t="s">
        <v>4</v>
      </c>
      <c r="L262" s="4" t="s">
        <v>4</v>
      </c>
      <c r="M262" s="206" t="s">
        <v>4</v>
      </c>
    </row>
    <row r="263" spans="1:13" x14ac:dyDescent="0.4">
      <c r="A263" s="6"/>
      <c r="B263" s="7"/>
      <c r="C263" s="2"/>
      <c r="D263" s="8"/>
      <c r="E263" s="8"/>
      <c r="F263" s="95"/>
      <c r="G263" s="95"/>
      <c r="H263" s="249"/>
      <c r="I263" s="4"/>
      <c r="J263" s="4" t="s">
        <v>4</v>
      </c>
      <c r="K263" s="4" t="s">
        <v>4</v>
      </c>
      <c r="L263" s="4" t="s">
        <v>4</v>
      </c>
      <c r="M263" s="206" t="s">
        <v>4</v>
      </c>
    </row>
    <row r="264" spans="1:13" x14ac:dyDescent="0.4">
      <c r="A264" s="6"/>
      <c r="B264" s="7"/>
      <c r="C264" s="2"/>
      <c r="D264" s="8"/>
      <c r="E264" s="8"/>
      <c r="F264" s="95"/>
      <c r="G264" s="95"/>
      <c r="H264" s="249"/>
      <c r="I264" s="4"/>
      <c r="J264" s="4" t="s">
        <v>4</v>
      </c>
      <c r="K264" s="4" t="s">
        <v>4</v>
      </c>
      <c r="L264" s="4" t="s">
        <v>4</v>
      </c>
      <c r="M264" s="206" t="s">
        <v>4</v>
      </c>
    </row>
    <row r="265" spans="1:13" x14ac:dyDescent="0.4">
      <c r="A265" s="6"/>
      <c r="B265" s="7"/>
      <c r="C265" s="2"/>
      <c r="D265" s="8"/>
      <c r="E265" s="8"/>
      <c r="F265" s="95"/>
      <c r="G265" s="95"/>
      <c r="H265" s="249"/>
      <c r="I265" s="4"/>
      <c r="J265" s="4" t="s">
        <v>4</v>
      </c>
      <c r="K265" s="4" t="s">
        <v>4</v>
      </c>
      <c r="L265" s="4" t="s">
        <v>4</v>
      </c>
      <c r="M265" s="206" t="s">
        <v>4</v>
      </c>
    </row>
    <row r="266" spans="1:13" x14ac:dyDescent="0.4">
      <c r="A266" s="6"/>
      <c r="B266" s="7"/>
      <c r="C266" s="2"/>
      <c r="D266" s="8"/>
      <c r="E266" s="8"/>
      <c r="F266" s="95"/>
      <c r="G266" s="95"/>
      <c r="H266" s="249"/>
      <c r="I266" s="4"/>
      <c r="J266" s="4" t="s">
        <v>4</v>
      </c>
      <c r="K266" s="4" t="s">
        <v>4</v>
      </c>
      <c r="L266" s="4" t="s">
        <v>4</v>
      </c>
      <c r="M266" s="206" t="s">
        <v>4</v>
      </c>
    </row>
    <row r="267" spans="1:13" x14ac:dyDescent="0.4">
      <c r="A267" s="6"/>
      <c r="B267" s="7"/>
      <c r="C267" s="2"/>
      <c r="D267" s="8"/>
      <c r="E267" s="8"/>
      <c r="F267" s="95"/>
      <c r="G267" s="95"/>
      <c r="H267" s="249"/>
      <c r="I267" s="4"/>
      <c r="J267" s="4" t="s">
        <v>4</v>
      </c>
      <c r="K267" s="4" t="s">
        <v>4</v>
      </c>
      <c r="L267" s="4" t="s">
        <v>4</v>
      </c>
      <c r="M267" s="206" t="s">
        <v>4</v>
      </c>
    </row>
    <row r="268" spans="1:13" x14ac:dyDescent="0.4">
      <c r="A268" s="6"/>
      <c r="B268" s="7"/>
      <c r="C268" s="2"/>
      <c r="D268" s="8"/>
      <c r="E268" s="8"/>
      <c r="F268" s="95"/>
      <c r="G268" s="95"/>
      <c r="H268" s="249"/>
      <c r="I268" s="4"/>
      <c r="J268" s="4" t="s">
        <v>4</v>
      </c>
      <c r="K268" s="4" t="s">
        <v>4</v>
      </c>
      <c r="L268" s="4" t="s">
        <v>4</v>
      </c>
      <c r="M268" s="206" t="s">
        <v>4</v>
      </c>
    </row>
    <row r="269" spans="1:13" x14ac:dyDescent="0.4">
      <c r="A269" s="6"/>
      <c r="B269" s="7"/>
      <c r="C269" s="2"/>
      <c r="D269" s="8"/>
      <c r="E269" s="8"/>
      <c r="F269" s="95"/>
      <c r="G269" s="95"/>
      <c r="H269" s="249"/>
      <c r="I269" s="4"/>
      <c r="J269" s="4" t="s">
        <v>4</v>
      </c>
      <c r="K269" s="4" t="s">
        <v>4</v>
      </c>
      <c r="L269" s="4" t="s">
        <v>4</v>
      </c>
      <c r="M269" s="206" t="s">
        <v>4</v>
      </c>
    </row>
    <row r="270" spans="1:13" x14ac:dyDescent="0.4">
      <c r="A270" s="6"/>
      <c r="B270" s="7"/>
      <c r="C270" s="2"/>
      <c r="D270" s="8"/>
      <c r="E270" s="8"/>
      <c r="F270" s="95"/>
      <c r="G270" s="95"/>
      <c r="H270" s="249"/>
      <c r="I270" s="4"/>
      <c r="J270" s="4" t="s">
        <v>4</v>
      </c>
      <c r="K270" s="4" t="s">
        <v>4</v>
      </c>
      <c r="L270" s="4" t="s">
        <v>4</v>
      </c>
      <c r="M270" s="206" t="s">
        <v>4</v>
      </c>
    </row>
    <row r="271" spans="1:13" x14ac:dyDescent="0.4">
      <c r="A271" s="6"/>
      <c r="B271" s="7"/>
      <c r="C271" s="2"/>
      <c r="D271" s="8"/>
      <c r="E271" s="8"/>
      <c r="F271" s="95"/>
      <c r="G271" s="95"/>
      <c r="H271" s="249"/>
      <c r="I271" s="4"/>
      <c r="J271" s="4" t="s">
        <v>4</v>
      </c>
      <c r="K271" s="4" t="s">
        <v>4</v>
      </c>
      <c r="L271" s="4" t="s">
        <v>4</v>
      </c>
      <c r="M271" s="206" t="s">
        <v>4</v>
      </c>
    </row>
    <row r="272" spans="1:13" x14ac:dyDescent="0.4">
      <c r="A272" s="6"/>
      <c r="B272" s="7"/>
      <c r="C272" s="2"/>
      <c r="D272" s="8"/>
      <c r="E272" s="8"/>
      <c r="F272" s="95"/>
      <c r="G272" s="95"/>
      <c r="H272" s="249"/>
      <c r="I272" s="4"/>
      <c r="J272" s="4" t="s">
        <v>4</v>
      </c>
      <c r="K272" s="4" t="s">
        <v>4</v>
      </c>
      <c r="L272" s="4" t="s">
        <v>4</v>
      </c>
      <c r="M272" s="206" t="s">
        <v>4</v>
      </c>
    </row>
    <row r="273" spans="1:13" x14ac:dyDescent="0.4">
      <c r="A273" s="6"/>
      <c r="B273" s="7"/>
      <c r="C273" s="2"/>
      <c r="D273" s="8"/>
      <c r="E273" s="8"/>
      <c r="F273" s="95"/>
      <c r="G273" s="95"/>
      <c r="H273" s="249"/>
      <c r="I273" s="4"/>
      <c r="J273" s="4" t="s">
        <v>4</v>
      </c>
      <c r="K273" s="4" t="s">
        <v>4</v>
      </c>
      <c r="L273" s="4" t="s">
        <v>4</v>
      </c>
      <c r="M273" s="206" t="s">
        <v>4</v>
      </c>
    </row>
    <row r="274" spans="1:13" x14ac:dyDescent="0.4">
      <c r="A274" s="6"/>
      <c r="B274" s="7"/>
      <c r="C274" s="2"/>
      <c r="D274" s="8"/>
      <c r="E274" s="8"/>
      <c r="F274" s="95"/>
      <c r="G274" s="95"/>
      <c r="H274" s="249"/>
      <c r="I274" s="4"/>
      <c r="J274" s="4" t="s">
        <v>4</v>
      </c>
      <c r="K274" s="4" t="s">
        <v>4</v>
      </c>
      <c r="L274" s="4" t="s">
        <v>4</v>
      </c>
      <c r="M274" s="206" t="s">
        <v>4</v>
      </c>
    </row>
    <row r="275" spans="1:13" x14ac:dyDescent="0.4">
      <c r="A275" s="6"/>
      <c r="B275" s="7"/>
      <c r="C275" s="2"/>
      <c r="D275" s="8"/>
      <c r="E275" s="8"/>
      <c r="F275" s="95"/>
      <c r="G275" s="95"/>
      <c r="H275" s="249"/>
      <c r="I275" s="4"/>
      <c r="J275" s="4" t="s">
        <v>4</v>
      </c>
      <c r="K275" s="4" t="s">
        <v>4</v>
      </c>
      <c r="L275" s="4" t="s">
        <v>4</v>
      </c>
      <c r="M275" s="206" t="s">
        <v>4</v>
      </c>
    </row>
    <row r="276" spans="1:13" x14ac:dyDescent="0.4">
      <c r="A276" s="6"/>
      <c r="B276" s="7"/>
      <c r="C276" s="2"/>
      <c r="D276" s="8"/>
      <c r="E276" s="8"/>
      <c r="F276" s="95"/>
      <c r="G276" s="95"/>
      <c r="H276" s="249"/>
      <c r="I276" s="4"/>
      <c r="J276" s="4" t="s">
        <v>4</v>
      </c>
      <c r="K276" s="4" t="s">
        <v>4</v>
      </c>
      <c r="L276" s="4" t="s">
        <v>4</v>
      </c>
      <c r="M276" s="206" t="s">
        <v>4</v>
      </c>
    </row>
    <row r="277" spans="1:13" x14ac:dyDescent="0.4">
      <c r="A277" s="6"/>
      <c r="B277" s="7"/>
      <c r="C277" s="2"/>
      <c r="D277" s="8"/>
      <c r="E277" s="8"/>
      <c r="F277" s="95"/>
      <c r="G277" s="95"/>
      <c r="H277" s="249"/>
      <c r="I277" s="4"/>
      <c r="J277" s="4" t="s">
        <v>4</v>
      </c>
      <c r="K277" s="4" t="s">
        <v>4</v>
      </c>
      <c r="L277" s="4" t="s">
        <v>4</v>
      </c>
      <c r="M277" s="206" t="s">
        <v>4</v>
      </c>
    </row>
    <row r="278" spans="1:13" x14ac:dyDescent="0.4">
      <c r="A278" s="6"/>
      <c r="B278" s="7"/>
      <c r="C278" s="2"/>
      <c r="D278" s="8"/>
      <c r="E278" s="8"/>
      <c r="F278" s="95"/>
      <c r="G278" s="95"/>
      <c r="H278" s="249"/>
      <c r="I278" s="4"/>
      <c r="J278" s="4" t="s">
        <v>4</v>
      </c>
      <c r="K278" s="4" t="s">
        <v>4</v>
      </c>
      <c r="L278" s="4" t="s">
        <v>4</v>
      </c>
      <c r="M278" s="206" t="s">
        <v>4</v>
      </c>
    </row>
    <row r="279" spans="1:13" x14ac:dyDescent="0.4">
      <c r="A279" s="6"/>
      <c r="B279" s="7"/>
      <c r="C279" s="2"/>
      <c r="D279" s="8"/>
      <c r="E279" s="8"/>
      <c r="F279" s="95"/>
      <c r="G279" s="95"/>
      <c r="H279" s="249"/>
      <c r="I279" s="4"/>
      <c r="J279" s="4" t="s">
        <v>4</v>
      </c>
      <c r="K279" s="4" t="s">
        <v>4</v>
      </c>
      <c r="L279" s="4" t="s">
        <v>4</v>
      </c>
      <c r="M279" s="206" t="s">
        <v>4</v>
      </c>
    </row>
    <row r="280" spans="1:13" x14ac:dyDescent="0.4">
      <c r="A280" s="6"/>
      <c r="B280" s="7"/>
      <c r="C280" s="2"/>
      <c r="D280" s="8"/>
      <c r="E280" s="8"/>
      <c r="F280" s="95"/>
      <c r="G280" s="95"/>
      <c r="H280" s="249"/>
      <c r="I280" s="4"/>
      <c r="J280" s="4" t="s">
        <v>4</v>
      </c>
      <c r="K280" s="4" t="s">
        <v>4</v>
      </c>
      <c r="L280" s="4" t="s">
        <v>4</v>
      </c>
      <c r="M280" s="206" t="s">
        <v>4</v>
      </c>
    </row>
    <row r="281" spans="1:13" x14ac:dyDescent="0.4">
      <c r="A281" s="6"/>
      <c r="B281" s="7"/>
      <c r="C281" s="2"/>
      <c r="D281" s="8"/>
      <c r="E281" s="8"/>
      <c r="F281" s="95"/>
      <c r="G281" s="95"/>
      <c r="H281" s="249"/>
      <c r="I281" s="4"/>
      <c r="J281" s="4" t="s">
        <v>4</v>
      </c>
      <c r="K281" s="4" t="s">
        <v>4</v>
      </c>
      <c r="L281" s="4" t="s">
        <v>4</v>
      </c>
      <c r="M281" s="206" t="s">
        <v>4</v>
      </c>
    </row>
    <row r="282" spans="1:13" x14ac:dyDescent="0.4">
      <c r="A282" s="6"/>
      <c r="B282" s="7"/>
      <c r="C282" s="2"/>
      <c r="D282" s="8"/>
      <c r="E282" s="8"/>
      <c r="F282" s="95"/>
      <c r="G282" s="95"/>
      <c r="H282" s="249"/>
      <c r="I282" s="4"/>
      <c r="J282" s="4" t="s">
        <v>4</v>
      </c>
      <c r="K282" s="4" t="s">
        <v>4</v>
      </c>
      <c r="L282" s="4" t="s">
        <v>4</v>
      </c>
      <c r="M282" s="206" t="s">
        <v>4</v>
      </c>
    </row>
    <row r="283" spans="1:13" x14ac:dyDescent="0.4">
      <c r="A283" s="6"/>
      <c r="B283" s="7"/>
      <c r="C283" s="2"/>
      <c r="D283" s="8"/>
      <c r="E283" s="8"/>
      <c r="F283" s="95"/>
      <c r="G283" s="95"/>
      <c r="H283" s="249"/>
      <c r="I283" s="4"/>
      <c r="J283" s="4" t="s">
        <v>4</v>
      </c>
      <c r="K283" s="4" t="s">
        <v>4</v>
      </c>
      <c r="L283" s="4" t="s">
        <v>4</v>
      </c>
      <c r="M283" s="206" t="s">
        <v>4</v>
      </c>
    </row>
    <row r="284" spans="1:13" x14ac:dyDescent="0.4">
      <c r="A284" s="6"/>
      <c r="B284" s="7"/>
      <c r="C284" s="2"/>
      <c r="D284" s="8"/>
      <c r="E284" s="8"/>
      <c r="F284" s="95"/>
      <c r="G284" s="95"/>
      <c r="H284" s="249"/>
      <c r="I284" s="4"/>
      <c r="J284" s="4" t="s">
        <v>4</v>
      </c>
      <c r="K284" s="4" t="s">
        <v>4</v>
      </c>
      <c r="L284" s="4" t="s">
        <v>4</v>
      </c>
      <c r="M284" s="206" t="s">
        <v>4</v>
      </c>
    </row>
    <row r="285" spans="1:13" x14ac:dyDescent="0.4">
      <c r="A285" s="6"/>
      <c r="B285" s="7"/>
      <c r="C285" s="2"/>
      <c r="D285" s="8"/>
      <c r="E285" s="8"/>
      <c r="F285" s="95"/>
      <c r="G285" s="95"/>
      <c r="H285" s="249"/>
      <c r="I285" s="4"/>
      <c r="J285" s="4" t="s">
        <v>4</v>
      </c>
      <c r="K285" s="4" t="s">
        <v>4</v>
      </c>
      <c r="L285" s="4" t="s">
        <v>4</v>
      </c>
      <c r="M285" s="206" t="s">
        <v>4</v>
      </c>
    </row>
    <row r="286" spans="1:13" x14ac:dyDescent="0.4">
      <c r="A286" s="6"/>
      <c r="B286" s="7"/>
      <c r="C286" s="2"/>
      <c r="D286" s="8"/>
      <c r="E286" s="8"/>
      <c r="F286" s="95"/>
      <c r="G286" s="95"/>
      <c r="H286" s="249"/>
      <c r="I286" s="4"/>
      <c r="J286" s="4" t="s">
        <v>4</v>
      </c>
      <c r="K286" s="4" t="s">
        <v>4</v>
      </c>
      <c r="L286" s="4" t="s">
        <v>4</v>
      </c>
      <c r="M286" s="206" t="s">
        <v>4</v>
      </c>
    </row>
    <row r="287" spans="1:13" x14ac:dyDescent="0.4">
      <c r="A287" s="6"/>
      <c r="B287" s="7"/>
      <c r="C287" s="2"/>
      <c r="D287" s="8"/>
      <c r="E287" s="8"/>
      <c r="F287" s="95"/>
      <c r="G287" s="95"/>
      <c r="H287" s="249"/>
      <c r="I287" s="4"/>
      <c r="J287" s="4" t="s">
        <v>4</v>
      </c>
      <c r="K287" s="4" t="s">
        <v>4</v>
      </c>
      <c r="L287" s="4" t="s">
        <v>4</v>
      </c>
      <c r="M287" s="206" t="s">
        <v>4</v>
      </c>
    </row>
    <row r="288" spans="1:13" x14ac:dyDescent="0.4">
      <c r="A288" s="6"/>
      <c r="B288" s="7"/>
      <c r="C288" s="2"/>
      <c r="D288" s="8"/>
      <c r="E288" s="8"/>
      <c r="F288" s="95"/>
      <c r="G288" s="95"/>
      <c r="H288" s="249"/>
      <c r="I288" s="4"/>
      <c r="J288" s="4" t="s">
        <v>4</v>
      </c>
      <c r="K288" s="4" t="s">
        <v>4</v>
      </c>
      <c r="L288" s="4" t="s">
        <v>4</v>
      </c>
      <c r="M288" s="206" t="s">
        <v>4</v>
      </c>
    </row>
    <row r="289" spans="1:13" x14ac:dyDescent="0.4">
      <c r="A289" s="6"/>
      <c r="B289" s="7"/>
      <c r="C289" s="2"/>
      <c r="D289" s="8"/>
      <c r="E289" s="8"/>
      <c r="F289" s="95"/>
      <c r="G289" s="95"/>
      <c r="H289" s="249"/>
      <c r="I289" s="4"/>
      <c r="J289" s="4" t="s">
        <v>4</v>
      </c>
      <c r="K289" s="4" t="s">
        <v>4</v>
      </c>
      <c r="L289" s="4" t="s">
        <v>4</v>
      </c>
      <c r="M289" s="206" t="s">
        <v>4</v>
      </c>
    </row>
    <row r="290" spans="1:13" x14ac:dyDescent="0.4">
      <c r="A290" s="6"/>
      <c r="B290" s="7"/>
      <c r="C290" s="2"/>
      <c r="D290" s="8"/>
      <c r="E290" s="8"/>
      <c r="F290" s="95"/>
      <c r="G290" s="95"/>
      <c r="H290" s="249"/>
      <c r="I290" s="4"/>
      <c r="J290" s="4" t="s">
        <v>4</v>
      </c>
      <c r="K290" s="4" t="s">
        <v>4</v>
      </c>
      <c r="L290" s="4" t="s">
        <v>4</v>
      </c>
      <c r="M290" s="206" t="s">
        <v>4</v>
      </c>
    </row>
    <row r="291" spans="1:13" x14ac:dyDescent="0.4">
      <c r="A291" s="6"/>
      <c r="B291" s="7"/>
      <c r="C291" s="2"/>
      <c r="D291" s="8"/>
      <c r="E291" s="8"/>
      <c r="F291" s="95"/>
      <c r="G291" s="95"/>
      <c r="H291" s="249"/>
      <c r="I291" s="4"/>
      <c r="J291" s="4" t="s">
        <v>4</v>
      </c>
      <c r="K291" s="4" t="s">
        <v>4</v>
      </c>
      <c r="L291" s="4" t="s">
        <v>4</v>
      </c>
      <c r="M291" s="206" t="s">
        <v>4</v>
      </c>
    </row>
    <row r="292" spans="1:13" x14ac:dyDescent="0.4">
      <c r="A292" s="6"/>
      <c r="B292" s="7"/>
      <c r="C292" s="2"/>
      <c r="D292" s="8"/>
      <c r="E292" s="8"/>
      <c r="F292" s="95"/>
      <c r="G292" s="95"/>
      <c r="H292" s="249"/>
      <c r="I292" s="4"/>
      <c r="J292" s="4" t="s">
        <v>4</v>
      </c>
      <c r="K292" s="4" t="s">
        <v>4</v>
      </c>
      <c r="L292" s="4" t="s">
        <v>4</v>
      </c>
      <c r="M292" s="206" t="s">
        <v>4</v>
      </c>
    </row>
    <row r="293" spans="1:13" x14ac:dyDescent="0.4">
      <c r="A293" s="6"/>
      <c r="B293" s="7"/>
      <c r="C293" s="2"/>
      <c r="D293" s="8"/>
      <c r="E293" s="8"/>
      <c r="F293" s="95"/>
      <c r="G293" s="95"/>
      <c r="H293" s="249"/>
      <c r="I293" s="4"/>
      <c r="J293" s="4" t="s">
        <v>4</v>
      </c>
      <c r="K293" s="4" t="s">
        <v>4</v>
      </c>
      <c r="L293" s="4" t="s">
        <v>4</v>
      </c>
      <c r="M293" s="206" t="s">
        <v>4</v>
      </c>
    </row>
    <row r="294" spans="1:13" x14ac:dyDescent="0.4">
      <c r="A294" s="6"/>
      <c r="B294" s="7"/>
      <c r="C294" s="2"/>
      <c r="D294" s="8"/>
      <c r="E294" s="8"/>
      <c r="F294" s="95"/>
      <c r="G294" s="95"/>
      <c r="H294" s="249"/>
      <c r="I294" s="4"/>
      <c r="J294" s="4" t="s">
        <v>4</v>
      </c>
      <c r="K294" s="4" t="s">
        <v>4</v>
      </c>
      <c r="L294" s="4" t="s">
        <v>4</v>
      </c>
      <c r="M294" s="206" t="s">
        <v>4</v>
      </c>
    </row>
    <row r="295" spans="1:13" x14ac:dyDescent="0.4">
      <c r="A295" s="6"/>
      <c r="B295" s="7"/>
      <c r="C295" s="2"/>
      <c r="D295" s="8"/>
      <c r="E295" s="8"/>
      <c r="F295" s="95"/>
      <c r="G295" s="95"/>
      <c r="H295" s="249"/>
      <c r="I295" s="4"/>
      <c r="J295" s="4" t="s">
        <v>4</v>
      </c>
      <c r="K295" s="4" t="s">
        <v>4</v>
      </c>
      <c r="L295" s="4" t="s">
        <v>4</v>
      </c>
      <c r="M295" s="206" t="s">
        <v>4</v>
      </c>
    </row>
    <row r="296" spans="1:13" x14ac:dyDescent="0.4">
      <c r="A296" s="6"/>
      <c r="B296" s="7"/>
      <c r="C296" s="2"/>
      <c r="D296" s="8"/>
      <c r="E296" s="8"/>
      <c r="F296" s="95"/>
      <c r="G296" s="95"/>
      <c r="H296" s="249"/>
      <c r="I296" s="4"/>
      <c r="J296" s="4" t="s">
        <v>4</v>
      </c>
      <c r="K296" s="4" t="s">
        <v>4</v>
      </c>
      <c r="L296" s="4" t="s">
        <v>4</v>
      </c>
      <c r="M296" s="206" t="s">
        <v>4</v>
      </c>
    </row>
    <row r="297" spans="1:13" x14ac:dyDescent="0.4">
      <c r="A297" s="6"/>
      <c r="B297" s="7"/>
      <c r="C297" s="2"/>
      <c r="D297" s="8"/>
      <c r="E297" s="8"/>
      <c r="F297" s="95"/>
      <c r="G297" s="95"/>
      <c r="H297" s="249"/>
      <c r="I297" s="4"/>
      <c r="J297" s="5" t="s">
        <v>4</v>
      </c>
      <c r="K297" s="5" t="s">
        <v>4</v>
      </c>
      <c r="L297" s="5" t="s">
        <v>4</v>
      </c>
      <c r="M297" s="207" t="s">
        <v>4</v>
      </c>
    </row>
    <row r="298" spans="1:13" x14ac:dyDescent="0.4">
      <c r="A298" s="6"/>
      <c r="B298" s="7"/>
      <c r="C298" s="2"/>
      <c r="D298" s="8"/>
      <c r="E298" s="8"/>
      <c r="F298" s="95"/>
      <c r="G298" s="95"/>
      <c r="H298" s="249"/>
      <c r="I298" s="4"/>
      <c r="J298" s="4"/>
      <c r="K298" s="4"/>
      <c r="L298" s="4"/>
      <c r="M298" s="206"/>
    </row>
    <row r="299" spans="1:13" x14ac:dyDescent="0.4">
      <c r="A299" s="6"/>
      <c r="B299" s="7"/>
      <c r="C299" s="2"/>
      <c r="D299" s="8"/>
      <c r="E299" s="8"/>
      <c r="F299" s="95"/>
      <c r="G299" s="95"/>
      <c r="H299" s="249"/>
      <c r="I299" s="4"/>
      <c r="J299" s="4"/>
      <c r="K299" s="4"/>
      <c r="L299" s="4"/>
      <c r="M299" s="206"/>
    </row>
    <row r="300" spans="1:13" x14ac:dyDescent="0.4">
      <c r="A300" s="6"/>
      <c r="B300" s="7"/>
      <c r="C300" s="2"/>
      <c r="D300" s="8"/>
      <c r="E300" s="8"/>
      <c r="F300" s="95"/>
      <c r="G300" s="95"/>
      <c r="H300" s="249"/>
      <c r="I300" s="4"/>
      <c r="J300" s="4"/>
      <c r="K300" s="4"/>
      <c r="L300" s="4"/>
      <c r="M300" s="206"/>
    </row>
    <row r="301" spans="1:13" x14ac:dyDescent="0.4">
      <c r="A301" s="6"/>
      <c r="B301" s="7"/>
      <c r="C301" s="2"/>
      <c r="D301" s="8"/>
      <c r="E301" s="8"/>
      <c r="F301" s="95"/>
      <c r="G301" s="95"/>
      <c r="H301" s="249"/>
      <c r="I301" s="4"/>
      <c r="J301" s="4"/>
      <c r="K301" s="4"/>
      <c r="L301" s="4"/>
      <c r="M301" s="206"/>
    </row>
    <row r="302" spans="1:13" x14ac:dyDescent="0.4">
      <c r="A302" s="6"/>
      <c r="B302" s="7"/>
      <c r="C302" s="2"/>
      <c r="D302" s="8"/>
      <c r="E302" s="8"/>
      <c r="F302" s="95"/>
      <c r="G302" s="95"/>
      <c r="H302" s="249"/>
      <c r="I302" s="4"/>
      <c r="J302" s="4"/>
      <c r="K302" s="4"/>
      <c r="L302" s="4"/>
      <c r="M302" s="206"/>
    </row>
    <row r="303" spans="1:13" x14ac:dyDescent="0.4">
      <c r="A303" s="6"/>
      <c r="B303" s="7"/>
      <c r="C303" s="2"/>
      <c r="D303" s="8"/>
      <c r="E303" s="8"/>
      <c r="F303" s="95"/>
      <c r="G303" s="95"/>
      <c r="H303" s="249"/>
      <c r="I303" s="4"/>
      <c r="J303" s="4"/>
      <c r="K303" s="4"/>
      <c r="L303" s="4"/>
      <c r="M303" s="206"/>
    </row>
    <row r="304" spans="1:13" x14ac:dyDescent="0.4">
      <c r="A304" s="6"/>
      <c r="B304" s="7"/>
      <c r="C304" s="2"/>
      <c r="D304" s="8"/>
      <c r="E304" s="8"/>
      <c r="F304" s="95"/>
      <c r="G304" s="95"/>
      <c r="H304" s="249"/>
      <c r="I304" s="4"/>
      <c r="J304" s="4"/>
      <c r="K304" s="4"/>
      <c r="L304" s="4"/>
      <c r="M304" s="206"/>
    </row>
    <row r="305" spans="1:13" x14ac:dyDescent="0.4">
      <c r="A305" s="6"/>
      <c r="B305" s="7"/>
      <c r="C305" s="2"/>
      <c r="D305" s="8"/>
      <c r="E305" s="8"/>
      <c r="F305" s="95"/>
      <c r="G305" s="95"/>
      <c r="H305" s="249"/>
      <c r="I305" s="4"/>
      <c r="J305" s="4"/>
      <c r="K305" s="4"/>
      <c r="L305" s="4"/>
      <c r="M305" s="206"/>
    </row>
    <row r="306" spans="1:13" x14ac:dyDescent="0.4">
      <c r="A306" s="6"/>
      <c r="B306" s="7"/>
      <c r="C306" s="2"/>
      <c r="D306" s="8"/>
      <c r="E306" s="8"/>
      <c r="F306" s="95"/>
      <c r="G306" s="95"/>
      <c r="H306" s="249"/>
      <c r="I306" s="4"/>
      <c r="J306" s="4"/>
      <c r="K306" s="4"/>
      <c r="L306" s="4"/>
      <c r="M306" s="206"/>
    </row>
    <row r="307" spans="1:13" x14ac:dyDescent="0.4">
      <c r="A307" s="6"/>
      <c r="B307" s="7"/>
      <c r="C307" s="2"/>
      <c r="D307" s="8"/>
      <c r="E307" s="8"/>
      <c r="F307" s="95"/>
      <c r="G307" s="95"/>
      <c r="H307" s="249"/>
      <c r="I307" s="4"/>
      <c r="J307" s="4"/>
      <c r="K307" s="4"/>
      <c r="L307" s="4"/>
      <c r="M307" s="206"/>
    </row>
    <row r="308" spans="1:13" x14ac:dyDescent="0.4">
      <c r="A308" s="6"/>
      <c r="B308" s="7"/>
      <c r="C308" s="2"/>
      <c r="D308" s="8"/>
      <c r="E308" s="8"/>
      <c r="F308" s="95"/>
      <c r="G308" s="95"/>
      <c r="H308" s="249"/>
      <c r="I308" s="4"/>
      <c r="J308" s="4"/>
      <c r="K308" s="4"/>
      <c r="L308" s="4"/>
      <c r="M308" s="206"/>
    </row>
    <row r="309" spans="1:13" x14ac:dyDescent="0.4">
      <c r="A309" s="6"/>
      <c r="B309" s="7"/>
      <c r="C309" s="2"/>
      <c r="D309" s="8"/>
      <c r="E309" s="8"/>
      <c r="F309" s="95"/>
      <c r="G309" s="95"/>
      <c r="H309" s="249"/>
      <c r="I309" s="4"/>
      <c r="J309" s="4"/>
      <c r="K309" s="4"/>
      <c r="L309" s="4"/>
      <c r="M309" s="206"/>
    </row>
    <row r="310" spans="1:13" x14ac:dyDescent="0.4">
      <c r="A310" s="6"/>
      <c r="B310" s="7"/>
      <c r="C310" s="2"/>
      <c r="D310" s="8"/>
      <c r="E310" s="8"/>
      <c r="F310" s="95"/>
      <c r="G310" s="95"/>
      <c r="H310" s="249"/>
      <c r="I310" s="4"/>
      <c r="J310" s="4"/>
      <c r="K310" s="4"/>
      <c r="L310" s="4"/>
      <c r="M310" s="206"/>
    </row>
    <row r="311" spans="1:13" x14ac:dyDescent="0.4">
      <c r="A311" s="6"/>
      <c r="B311" s="7"/>
      <c r="C311" s="2"/>
      <c r="D311" s="8"/>
      <c r="E311" s="8"/>
      <c r="F311" s="95"/>
      <c r="G311" s="95"/>
      <c r="H311" s="249"/>
      <c r="I311" s="4"/>
      <c r="J311" s="4"/>
      <c r="K311" s="4"/>
      <c r="L311" s="4"/>
      <c r="M311" s="206"/>
    </row>
    <row r="312" spans="1:13" x14ac:dyDescent="0.4">
      <c r="A312" s="6"/>
      <c r="B312" s="7"/>
      <c r="C312" s="2"/>
      <c r="D312" s="8"/>
      <c r="E312" s="8"/>
      <c r="F312" s="95"/>
      <c r="G312" s="95"/>
      <c r="H312" s="249"/>
      <c r="I312" s="4"/>
      <c r="J312" s="4"/>
      <c r="K312" s="4"/>
      <c r="L312" s="4"/>
      <c r="M312" s="206"/>
    </row>
    <row r="313" spans="1:13" x14ac:dyDescent="0.4">
      <c r="A313" s="6"/>
      <c r="B313" s="7"/>
      <c r="C313" s="2"/>
      <c r="D313" s="8"/>
      <c r="E313" s="8"/>
      <c r="F313" s="95"/>
      <c r="G313" s="95"/>
      <c r="H313" s="249"/>
      <c r="I313" s="4"/>
      <c r="J313" s="4"/>
      <c r="K313" s="4"/>
      <c r="L313" s="4"/>
      <c r="M313" s="206"/>
    </row>
    <row r="314" spans="1:13" x14ac:dyDescent="0.4">
      <c r="A314" s="6"/>
      <c r="B314" s="7"/>
      <c r="C314" s="2"/>
      <c r="D314" s="8"/>
      <c r="E314" s="8"/>
      <c r="F314" s="95"/>
      <c r="G314" s="95"/>
      <c r="H314" s="249"/>
      <c r="I314" s="4"/>
      <c r="J314" s="4"/>
      <c r="K314" s="4"/>
      <c r="L314" s="4"/>
      <c r="M314" s="206"/>
    </row>
    <row r="315" spans="1:13" x14ac:dyDescent="0.4">
      <c r="A315" s="6"/>
      <c r="B315" s="7"/>
      <c r="C315" s="2"/>
      <c r="D315" s="8"/>
      <c r="E315" s="8"/>
      <c r="F315" s="95"/>
      <c r="G315" s="95"/>
      <c r="H315" s="249"/>
      <c r="I315" s="4"/>
      <c r="J315" s="4"/>
      <c r="K315" s="4"/>
      <c r="L315" s="4"/>
      <c r="M315" s="206"/>
    </row>
    <row r="316" spans="1:13" x14ac:dyDescent="0.4">
      <c r="A316" s="6"/>
      <c r="B316" s="7"/>
      <c r="C316" s="2"/>
      <c r="D316" s="8"/>
      <c r="E316" s="8"/>
      <c r="F316" s="95"/>
      <c r="G316" s="95"/>
      <c r="H316" s="249"/>
      <c r="I316" s="4"/>
      <c r="J316" s="4"/>
      <c r="K316" s="4"/>
      <c r="L316" s="4"/>
      <c r="M316" s="206"/>
    </row>
    <row r="317" spans="1:13" x14ac:dyDescent="0.4">
      <c r="A317" s="6"/>
      <c r="B317" s="7"/>
      <c r="C317" s="2"/>
      <c r="D317" s="8"/>
      <c r="E317" s="8"/>
      <c r="F317" s="95"/>
      <c r="G317" s="95"/>
      <c r="H317" s="249"/>
      <c r="I317" s="4"/>
      <c r="J317" s="4"/>
      <c r="K317" s="4"/>
      <c r="L317" s="4"/>
      <c r="M317" s="206"/>
    </row>
    <row r="318" spans="1:13" x14ac:dyDescent="0.4">
      <c r="A318" s="6"/>
      <c r="B318" s="7"/>
      <c r="C318" s="2"/>
      <c r="D318" s="8"/>
      <c r="E318" s="8"/>
      <c r="F318" s="95"/>
      <c r="G318" s="95"/>
      <c r="H318" s="249"/>
      <c r="I318" s="4"/>
      <c r="J318" s="4"/>
      <c r="K318" s="4"/>
      <c r="L318" s="4"/>
      <c r="M318" s="206"/>
    </row>
    <row r="319" spans="1:13" x14ac:dyDescent="0.4">
      <c r="A319" s="6"/>
      <c r="B319" s="7"/>
      <c r="C319" s="2"/>
      <c r="D319" s="8"/>
      <c r="E319" s="8"/>
      <c r="F319" s="95"/>
      <c r="G319" s="95"/>
      <c r="H319" s="249"/>
      <c r="I319" s="4"/>
      <c r="J319" s="4"/>
      <c r="K319" s="4"/>
      <c r="L319" s="4"/>
      <c r="M319" s="206"/>
    </row>
    <row r="320" spans="1:13" x14ac:dyDescent="0.4">
      <c r="A320" s="6"/>
      <c r="B320" s="7"/>
      <c r="C320" s="2"/>
      <c r="D320" s="8"/>
      <c r="E320" s="8"/>
      <c r="F320" s="95"/>
      <c r="G320" s="95"/>
      <c r="H320" s="249"/>
      <c r="I320" s="4"/>
      <c r="J320" s="4"/>
      <c r="K320" s="4"/>
      <c r="L320" s="4"/>
      <c r="M320" s="206"/>
    </row>
    <row r="321" spans="1:13" x14ac:dyDescent="0.4">
      <c r="A321" s="6"/>
      <c r="B321" s="7"/>
      <c r="C321" s="2"/>
      <c r="D321" s="8"/>
      <c r="E321" s="8"/>
      <c r="F321" s="95"/>
      <c r="G321" s="95"/>
      <c r="H321" s="249"/>
      <c r="I321" s="4"/>
      <c r="J321" s="4"/>
      <c r="K321" s="4"/>
      <c r="L321" s="4"/>
      <c r="M321" s="206"/>
    </row>
    <row r="322" spans="1:13" x14ac:dyDescent="0.4">
      <c r="A322" s="6"/>
      <c r="B322" s="7"/>
      <c r="C322" s="2"/>
      <c r="D322" s="8"/>
      <c r="E322" s="8"/>
      <c r="F322" s="95"/>
      <c r="G322" s="95"/>
      <c r="H322" s="249"/>
      <c r="I322" s="4"/>
      <c r="J322" s="4"/>
      <c r="K322" s="4"/>
      <c r="L322" s="4"/>
      <c r="M322" s="206"/>
    </row>
    <row r="323" spans="1:13" x14ac:dyDescent="0.4">
      <c r="A323" s="6"/>
      <c r="B323" s="7"/>
      <c r="C323" s="2"/>
      <c r="D323" s="8"/>
      <c r="E323" s="8"/>
      <c r="F323" s="95"/>
      <c r="G323" s="95"/>
      <c r="H323" s="249"/>
      <c r="I323" s="4"/>
      <c r="J323" s="4"/>
      <c r="K323" s="4"/>
      <c r="L323" s="4"/>
      <c r="M323" s="206"/>
    </row>
    <row r="324" spans="1:13" x14ac:dyDescent="0.4">
      <c r="A324" s="6"/>
      <c r="B324" s="7"/>
      <c r="C324" s="2"/>
      <c r="D324" s="8"/>
      <c r="E324" s="8"/>
      <c r="F324" s="95"/>
      <c r="G324" s="95"/>
      <c r="H324" s="249"/>
      <c r="I324" s="4"/>
      <c r="J324" s="4"/>
      <c r="K324" s="4"/>
      <c r="L324" s="4"/>
      <c r="M324" s="206"/>
    </row>
    <row r="325" spans="1:13" x14ac:dyDescent="0.4">
      <c r="A325" s="6"/>
      <c r="B325" s="7"/>
      <c r="C325" s="2"/>
      <c r="D325" s="8"/>
      <c r="E325" s="8"/>
      <c r="F325" s="95"/>
      <c r="G325" s="95"/>
      <c r="H325" s="249"/>
      <c r="I325" s="4"/>
      <c r="J325" s="4"/>
      <c r="K325" s="4"/>
      <c r="L325" s="4"/>
      <c r="M325" s="206"/>
    </row>
    <row r="326" spans="1:13" x14ac:dyDescent="0.4">
      <c r="A326" s="6"/>
      <c r="B326" s="7"/>
      <c r="C326" s="2"/>
      <c r="D326" s="8"/>
      <c r="E326" s="8"/>
      <c r="F326" s="95"/>
      <c r="G326" s="95"/>
      <c r="H326" s="249"/>
      <c r="I326" s="4"/>
      <c r="J326" s="4"/>
      <c r="K326" s="4"/>
      <c r="L326" s="4"/>
      <c r="M326" s="206"/>
    </row>
    <row r="327" spans="1:13" x14ac:dyDescent="0.4">
      <c r="A327" s="6"/>
      <c r="B327" s="7"/>
      <c r="C327" s="2"/>
      <c r="D327" s="8"/>
      <c r="E327" s="8"/>
      <c r="F327" s="95"/>
      <c r="G327" s="95"/>
      <c r="H327" s="249"/>
      <c r="I327" s="4"/>
      <c r="J327" s="4"/>
      <c r="K327" s="4"/>
      <c r="L327" s="4"/>
      <c r="M327" s="206"/>
    </row>
    <row r="328" spans="1:13" x14ac:dyDescent="0.4">
      <c r="A328" s="6"/>
      <c r="B328" s="7"/>
      <c r="C328" s="2"/>
      <c r="D328" s="8"/>
      <c r="E328" s="8"/>
      <c r="F328" s="95"/>
      <c r="G328" s="95"/>
      <c r="H328" s="249"/>
      <c r="I328" s="4"/>
      <c r="J328" s="4"/>
      <c r="K328" s="4"/>
      <c r="L328" s="4"/>
      <c r="M328" s="206"/>
    </row>
    <row r="329" spans="1:13" x14ac:dyDescent="0.4">
      <c r="A329" s="6"/>
      <c r="B329" s="7"/>
      <c r="C329" s="2"/>
      <c r="D329" s="8"/>
      <c r="E329" s="8"/>
      <c r="F329" s="95"/>
      <c r="G329" s="95"/>
      <c r="H329" s="249"/>
      <c r="I329" s="4"/>
      <c r="J329" s="4"/>
      <c r="K329" s="4"/>
      <c r="L329" s="4"/>
      <c r="M329" s="206"/>
    </row>
    <row r="330" spans="1:13" x14ac:dyDescent="0.4">
      <c r="A330" s="6"/>
      <c r="B330" s="7"/>
      <c r="C330" s="2"/>
      <c r="D330" s="8"/>
      <c r="E330" s="8"/>
      <c r="F330" s="95"/>
      <c r="G330" s="95"/>
      <c r="H330" s="249"/>
      <c r="I330" s="4"/>
      <c r="J330" s="4"/>
      <c r="K330" s="4"/>
      <c r="L330" s="4"/>
      <c r="M330" s="206"/>
    </row>
    <row r="331" spans="1:13" x14ac:dyDescent="0.4">
      <c r="A331" s="6"/>
      <c r="B331" s="7"/>
      <c r="C331" s="2"/>
      <c r="D331" s="8"/>
      <c r="E331" s="8"/>
      <c r="F331" s="95"/>
      <c r="G331" s="95"/>
      <c r="H331" s="249"/>
      <c r="I331" s="4"/>
      <c r="J331" s="4"/>
      <c r="K331" s="4"/>
      <c r="L331" s="4"/>
      <c r="M331" s="206"/>
    </row>
    <row r="332" spans="1:13" x14ac:dyDescent="0.4">
      <c r="A332" s="6"/>
      <c r="B332" s="7"/>
      <c r="C332" s="2"/>
      <c r="D332" s="8"/>
      <c r="E332" s="8"/>
      <c r="F332" s="95"/>
      <c r="G332" s="95"/>
      <c r="H332" s="249"/>
      <c r="I332" s="4"/>
      <c r="J332" s="4"/>
      <c r="K332" s="4"/>
      <c r="L332" s="4"/>
      <c r="M332" s="206"/>
    </row>
    <row r="333" spans="1:13" x14ac:dyDescent="0.4">
      <c r="A333" s="6"/>
      <c r="B333" s="7"/>
      <c r="C333" s="2"/>
      <c r="D333" s="8"/>
      <c r="E333" s="8"/>
      <c r="F333" s="95"/>
      <c r="G333" s="95"/>
      <c r="H333" s="249"/>
      <c r="I333" s="4"/>
      <c r="J333" s="4"/>
      <c r="K333" s="4"/>
      <c r="L333" s="4"/>
      <c r="M333" s="206"/>
    </row>
    <row r="334" spans="1:13" x14ac:dyDescent="0.4">
      <c r="A334" s="6"/>
      <c r="B334" s="7"/>
      <c r="C334" s="2"/>
      <c r="D334" s="8"/>
      <c r="E334" s="8"/>
      <c r="F334" s="95"/>
      <c r="G334" s="95"/>
      <c r="H334" s="249"/>
      <c r="I334" s="4"/>
      <c r="J334" s="4"/>
      <c r="K334" s="4"/>
      <c r="L334" s="4"/>
      <c r="M334" s="206"/>
    </row>
    <row r="335" spans="1:13" x14ac:dyDescent="0.4">
      <c r="A335" s="6"/>
      <c r="B335" s="7"/>
      <c r="C335" s="2"/>
      <c r="D335" s="8"/>
      <c r="E335" s="8"/>
      <c r="F335" s="95"/>
      <c r="G335" s="95"/>
      <c r="H335" s="249"/>
      <c r="I335" s="4"/>
      <c r="J335" s="4"/>
      <c r="K335" s="4"/>
      <c r="L335" s="4"/>
      <c r="M335" s="206"/>
    </row>
    <row r="336" spans="1:13" x14ac:dyDescent="0.4">
      <c r="A336" s="6"/>
      <c r="B336" s="7"/>
      <c r="C336" s="2"/>
      <c r="D336" s="8"/>
      <c r="E336" s="8"/>
      <c r="F336" s="95"/>
      <c r="G336" s="95"/>
      <c r="H336" s="249"/>
      <c r="I336" s="4"/>
      <c r="J336" s="4"/>
      <c r="K336" s="4"/>
      <c r="L336" s="4"/>
      <c r="M336" s="206"/>
    </row>
    <row r="337" spans="1:13" x14ac:dyDescent="0.4">
      <c r="A337" s="6"/>
      <c r="B337" s="7"/>
      <c r="C337" s="2"/>
      <c r="D337" s="8"/>
      <c r="E337" s="8"/>
      <c r="F337" s="95"/>
      <c r="G337" s="95"/>
      <c r="H337" s="249"/>
      <c r="I337" s="4"/>
      <c r="J337" s="4"/>
      <c r="K337" s="4"/>
      <c r="L337" s="4"/>
      <c r="M337" s="206"/>
    </row>
    <row r="338" spans="1:13" x14ac:dyDescent="0.4">
      <c r="A338" s="6"/>
      <c r="B338" s="7"/>
      <c r="C338" s="2"/>
      <c r="D338" s="8"/>
      <c r="E338" s="8"/>
      <c r="F338" s="95"/>
      <c r="G338" s="95"/>
      <c r="H338" s="249"/>
      <c r="I338" s="4"/>
      <c r="J338" s="4"/>
      <c r="K338" s="4"/>
      <c r="L338" s="4"/>
      <c r="M338" s="206"/>
    </row>
    <row r="339" spans="1:13" x14ac:dyDescent="0.4">
      <c r="A339" s="6"/>
      <c r="B339" s="7"/>
      <c r="C339" s="2"/>
      <c r="D339" s="8"/>
      <c r="E339" s="8"/>
      <c r="F339" s="95"/>
      <c r="G339" s="95"/>
      <c r="H339" s="249"/>
      <c r="I339" s="4"/>
      <c r="J339" s="4"/>
      <c r="K339" s="4"/>
      <c r="L339" s="4"/>
      <c r="M339" s="206"/>
    </row>
    <row r="340" spans="1:13" x14ac:dyDescent="0.4">
      <c r="A340" s="6"/>
      <c r="B340" s="7"/>
      <c r="C340" s="2"/>
      <c r="D340" s="8"/>
      <c r="E340" s="8"/>
      <c r="F340" s="95"/>
      <c r="G340" s="95"/>
      <c r="H340" s="249"/>
      <c r="I340" s="4"/>
      <c r="J340" s="4"/>
      <c r="K340" s="4"/>
      <c r="L340" s="4"/>
      <c r="M340" s="206"/>
    </row>
    <row r="341" spans="1:13" x14ac:dyDescent="0.4">
      <c r="A341" s="6"/>
      <c r="B341" s="7"/>
      <c r="C341" s="2"/>
      <c r="D341" s="8"/>
      <c r="E341" s="8"/>
      <c r="F341" s="95"/>
      <c r="G341" s="95"/>
      <c r="H341" s="249"/>
      <c r="I341" s="4"/>
      <c r="J341" s="4"/>
      <c r="K341" s="4"/>
      <c r="L341" s="4"/>
      <c r="M341" s="206"/>
    </row>
    <row r="342" spans="1:13" x14ac:dyDescent="0.4">
      <c r="A342" s="6"/>
      <c r="B342" s="7"/>
      <c r="C342" s="2"/>
      <c r="D342" s="8"/>
      <c r="E342" s="8"/>
      <c r="F342" s="95"/>
      <c r="G342" s="95"/>
      <c r="H342" s="249"/>
      <c r="I342" s="4"/>
      <c r="J342" s="4"/>
      <c r="K342" s="4"/>
      <c r="L342" s="4"/>
      <c r="M342" s="206"/>
    </row>
    <row r="343" spans="1:13" x14ac:dyDescent="0.4">
      <c r="A343" s="6"/>
      <c r="B343" s="7"/>
      <c r="C343" s="2"/>
      <c r="D343" s="8"/>
      <c r="E343" s="8"/>
      <c r="F343" s="95"/>
      <c r="G343" s="95"/>
      <c r="H343" s="249"/>
      <c r="I343" s="4"/>
      <c r="J343" s="4"/>
      <c r="K343" s="4"/>
      <c r="L343" s="4"/>
      <c r="M343" s="206"/>
    </row>
    <row r="344" spans="1:13" x14ac:dyDescent="0.4">
      <c r="A344" s="6"/>
      <c r="B344" s="7"/>
      <c r="C344" s="2"/>
      <c r="D344" s="8"/>
      <c r="E344" s="8"/>
      <c r="F344" s="95"/>
      <c r="G344" s="95"/>
      <c r="H344" s="249"/>
      <c r="I344" s="4"/>
      <c r="J344" s="4"/>
      <c r="K344" s="4"/>
      <c r="L344" s="4"/>
      <c r="M344" s="206"/>
    </row>
    <row r="345" spans="1:13" x14ac:dyDescent="0.4">
      <c r="A345" s="6"/>
      <c r="B345" s="7"/>
      <c r="C345" s="2"/>
      <c r="D345" s="8"/>
      <c r="E345" s="8"/>
      <c r="F345" s="95"/>
      <c r="G345" s="95"/>
      <c r="H345" s="249"/>
      <c r="I345" s="4"/>
      <c r="J345" s="4"/>
      <c r="K345" s="4"/>
      <c r="L345" s="4"/>
      <c r="M345" s="206"/>
    </row>
    <row r="346" spans="1:13" x14ac:dyDescent="0.4">
      <c r="A346" s="6"/>
      <c r="B346" s="7"/>
      <c r="C346" s="2"/>
      <c r="D346" s="8"/>
      <c r="E346" s="8"/>
      <c r="F346" s="95"/>
      <c r="G346" s="95"/>
      <c r="H346" s="249"/>
      <c r="I346" s="4"/>
      <c r="J346" s="4"/>
      <c r="K346" s="4"/>
      <c r="L346" s="4"/>
      <c r="M346" s="206"/>
    </row>
    <row r="347" spans="1:13" x14ac:dyDescent="0.4">
      <c r="A347" s="6"/>
      <c r="B347" s="7"/>
      <c r="C347" s="2"/>
      <c r="D347" s="8"/>
      <c r="E347" s="8"/>
      <c r="F347" s="95"/>
      <c r="G347" s="95"/>
      <c r="H347" s="249"/>
      <c r="I347" s="4"/>
      <c r="J347" s="4"/>
      <c r="K347" s="4"/>
      <c r="L347" s="4"/>
      <c r="M347" s="206"/>
    </row>
  </sheetData>
  <phoneticPr fontId="0" type="noConversion"/>
  <pageMargins left="0.5" right="0.5" top="0.28000000000000003" bottom="0.53" header="0" footer="0"/>
  <pageSetup scale="75" orientation="portrait" r:id="rId1"/>
  <headerFooter alignWithMargins="0">
    <oddFooter>&amp;CP.&amp;P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L29"/>
  <sheetViews>
    <sheetView zoomScale="90" workbookViewId="0">
      <selection activeCell="N3" sqref="N3"/>
    </sheetView>
  </sheetViews>
  <sheetFormatPr defaultColWidth="7.109375" defaultRowHeight="12.75" x14ac:dyDescent="0.35"/>
  <cols>
    <col min="1" max="1" width="1.5546875" style="216" customWidth="1"/>
    <col min="2" max="2" width="7.88671875" style="216" bestFit="1" customWidth="1"/>
    <col min="3" max="3" width="6.109375" style="216" customWidth="1"/>
    <col min="4" max="4" width="11.38671875" style="216" customWidth="1"/>
    <col min="5" max="5" width="6.1640625" style="216" customWidth="1"/>
    <col min="6" max="6" width="7.5546875" style="216" customWidth="1"/>
    <col min="7" max="7" width="7.109375" style="216" customWidth="1"/>
    <col min="8" max="8" width="8" style="216" customWidth="1"/>
    <col min="9" max="9" width="3.5546875" style="222" customWidth="1"/>
    <col min="10" max="10" width="7.109375" style="216" customWidth="1"/>
    <col min="11" max="11" width="9.88671875" style="216" customWidth="1"/>
    <col min="12" max="16384" width="7.109375" style="216"/>
  </cols>
  <sheetData>
    <row r="2" spans="1:12" ht="20.25" customHeight="1" x14ac:dyDescent="0.4">
      <c r="B2" s="217" t="s">
        <v>42</v>
      </c>
      <c r="D2" s="217"/>
    </row>
    <row r="3" spans="1:12" ht="10.5" customHeight="1" x14ac:dyDescent="0.4">
      <c r="A3" s="217"/>
      <c r="D3" s="217"/>
    </row>
    <row r="4" spans="1:12" ht="16.5" customHeight="1" x14ac:dyDescent="0.4">
      <c r="B4" s="221" t="s">
        <v>49</v>
      </c>
      <c r="C4" s="218"/>
      <c r="D4" s="218"/>
      <c r="E4" s="219"/>
      <c r="F4" s="219"/>
      <c r="G4" s="221" t="s">
        <v>50</v>
      </c>
      <c r="H4" s="220"/>
    </row>
    <row r="5" spans="1:12" ht="13.5" customHeight="1" x14ac:dyDescent="0.4">
      <c r="B5" s="221"/>
      <c r="C5" s="218"/>
      <c r="D5" s="218"/>
      <c r="E5" s="219"/>
      <c r="F5" s="219"/>
      <c r="H5" s="220"/>
    </row>
    <row r="6" spans="1:12" ht="15" customHeight="1" x14ac:dyDescent="0.4">
      <c r="B6" s="230" t="s">
        <v>43</v>
      </c>
      <c r="D6" s="334" t="s">
        <v>53</v>
      </c>
      <c r="E6" s="334"/>
    </row>
    <row r="7" spans="1:12" x14ac:dyDescent="0.35">
      <c r="B7" s="222">
        <v>1</v>
      </c>
      <c r="C7" s="216" t="s">
        <v>44</v>
      </c>
      <c r="D7" s="232" t="s">
        <v>52</v>
      </c>
      <c r="E7" s="233">
        <v>0.13900000000000001</v>
      </c>
    </row>
    <row r="8" spans="1:12" x14ac:dyDescent="0.35">
      <c r="B8" s="222">
        <v>2</v>
      </c>
      <c r="C8" s="216" t="s">
        <v>41</v>
      </c>
      <c r="D8" s="232" t="s">
        <v>52</v>
      </c>
      <c r="E8" s="233">
        <v>0.14599999999999999</v>
      </c>
    </row>
    <row r="9" spans="1:12" ht="13.15" x14ac:dyDescent="0.4">
      <c r="J9" s="235" t="s">
        <v>58</v>
      </c>
      <c r="K9" s="235" t="s">
        <v>59</v>
      </c>
      <c r="L9" s="235" t="s">
        <v>60</v>
      </c>
    </row>
    <row r="10" spans="1:12" ht="16.5" customHeight="1" x14ac:dyDescent="0.4">
      <c r="B10" s="231" t="s">
        <v>38</v>
      </c>
      <c r="C10" s="231" t="s">
        <v>39</v>
      </c>
      <c r="D10" s="231" t="s">
        <v>51</v>
      </c>
      <c r="E10" s="231" t="s">
        <v>45</v>
      </c>
      <c r="F10" s="231" t="s">
        <v>48</v>
      </c>
      <c r="G10" s="231" t="s">
        <v>46</v>
      </c>
      <c r="H10" s="231" t="s">
        <v>47</v>
      </c>
      <c r="I10" s="231" t="s">
        <v>57</v>
      </c>
      <c r="J10" s="231" t="s">
        <v>54</v>
      </c>
      <c r="K10" s="231" t="s">
        <v>40</v>
      </c>
      <c r="L10" s="231" t="s">
        <v>55</v>
      </c>
    </row>
    <row r="11" spans="1:12" x14ac:dyDescent="0.35">
      <c r="B11" s="224"/>
      <c r="C11" s="225"/>
      <c r="D11" s="225"/>
      <c r="E11" s="223"/>
      <c r="F11" s="223" t="b">
        <f>IF($E11=1,+$C$7,IF($E11=2,+$C$8))</f>
        <v>0</v>
      </c>
      <c r="G11" s="223"/>
      <c r="H11" s="226" t="b">
        <f>IF(E11=1,ROUND((G11/256)*$E$7,2),IF(E11=2,ROUND((G11/256)*$E$8,2)))</f>
        <v>0</v>
      </c>
      <c r="I11" s="223"/>
      <c r="J11" s="228">
        <f>IF($I11=1,+$H11,0)</f>
        <v>0</v>
      </c>
      <c r="K11" s="228">
        <f>IF($I11=2,+$H11,0)</f>
        <v>0</v>
      </c>
      <c r="L11" s="228">
        <f>IF($I11=3,+$H11,0)</f>
        <v>0</v>
      </c>
    </row>
    <row r="12" spans="1:12" x14ac:dyDescent="0.35">
      <c r="B12" s="224"/>
      <c r="C12" s="225"/>
      <c r="D12" s="225"/>
      <c r="E12" s="223"/>
      <c r="F12" s="223" t="b">
        <f t="shared" ref="F12:F28" si="0">IF($E12=1,+$C$7,IF($E12=2,+$C$8))</f>
        <v>0</v>
      </c>
      <c r="G12" s="223"/>
      <c r="H12" s="226" t="b">
        <f t="shared" ref="H12:H19" si="1">IF(E12=1,ROUND((G12/256)*$E$7,2),IF(E12=2,ROUND((G12/256)*$E$8,2)))</f>
        <v>0</v>
      </c>
      <c r="I12" s="223"/>
      <c r="J12" s="228">
        <f t="shared" ref="J12:J28" si="2">IF($I12=1,+$H12,0)</f>
        <v>0</v>
      </c>
      <c r="K12" s="228">
        <f t="shared" ref="K12:K28" si="3">IF($I12=2,+$H12,0)</f>
        <v>0</v>
      </c>
      <c r="L12" s="228">
        <f t="shared" ref="L12:L28" si="4">IF($I12=3,+$H12,0)</f>
        <v>0</v>
      </c>
    </row>
    <row r="13" spans="1:12" x14ac:dyDescent="0.35">
      <c r="B13" s="224"/>
      <c r="C13" s="225"/>
      <c r="D13" s="225"/>
      <c r="E13" s="223"/>
      <c r="F13" s="223" t="b">
        <f t="shared" si="0"/>
        <v>0</v>
      </c>
      <c r="G13" s="223"/>
      <c r="H13" s="226" t="b">
        <f t="shared" si="1"/>
        <v>0</v>
      </c>
      <c r="I13" s="223"/>
      <c r="J13" s="228">
        <f t="shared" si="2"/>
        <v>0</v>
      </c>
      <c r="K13" s="228">
        <f t="shared" si="3"/>
        <v>0</v>
      </c>
      <c r="L13" s="228">
        <f t="shared" si="4"/>
        <v>0</v>
      </c>
    </row>
    <row r="14" spans="1:12" x14ac:dyDescent="0.35">
      <c r="B14" s="224"/>
      <c r="C14" s="225"/>
      <c r="D14" s="225"/>
      <c r="E14" s="223"/>
      <c r="F14" s="223" t="b">
        <f t="shared" si="0"/>
        <v>0</v>
      </c>
      <c r="G14" s="223"/>
      <c r="H14" s="226" t="b">
        <f t="shared" si="1"/>
        <v>0</v>
      </c>
      <c r="I14" s="223"/>
      <c r="J14" s="228">
        <f t="shared" si="2"/>
        <v>0</v>
      </c>
      <c r="K14" s="228">
        <f t="shared" si="3"/>
        <v>0</v>
      </c>
      <c r="L14" s="228">
        <f t="shared" si="4"/>
        <v>0</v>
      </c>
    </row>
    <row r="15" spans="1:12" x14ac:dyDescent="0.35">
      <c r="B15" s="224"/>
      <c r="C15" s="225"/>
      <c r="D15" s="225"/>
      <c r="E15" s="223"/>
      <c r="F15" s="223" t="b">
        <f t="shared" si="0"/>
        <v>0</v>
      </c>
      <c r="G15" s="223"/>
      <c r="H15" s="226" t="b">
        <f t="shared" si="1"/>
        <v>0</v>
      </c>
      <c r="I15" s="223"/>
      <c r="J15" s="228">
        <f t="shared" si="2"/>
        <v>0</v>
      </c>
      <c r="K15" s="228">
        <f t="shared" si="3"/>
        <v>0</v>
      </c>
      <c r="L15" s="228">
        <f t="shared" si="4"/>
        <v>0</v>
      </c>
    </row>
    <row r="16" spans="1:12" x14ac:dyDescent="0.35">
      <c r="B16" s="224"/>
      <c r="C16" s="225"/>
      <c r="D16" s="225"/>
      <c r="E16" s="223"/>
      <c r="F16" s="223" t="b">
        <f t="shared" si="0"/>
        <v>0</v>
      </c>
      <c r="G16" s="227"/>
      <c r="H16" s="226" t="b">
        <f t="shared" si="1"/>
        <v>0</v>
      </c>
      <c r="I16" s="223"/>
      <c r="J16" s="228">
        <f t="shared" si="2"/>
        <v>0</v>
      </c>
      <c r="K16" s="228">
        <f t="shared" si="3"/>
        <v>0</v>
      </c>
      <c r="L16" s="228">
        <f t="shared" si="4"/>
        <v>0</v>
      </c>
    </row>
    <row r="17" spans="2:12" x14ac:dyDescent="0.35">
      <c r="B17" s="224"/>
      <c r="C17" s="225"/>
      <c r="D17" s="225"/>
      <c r="E17" s="223"/>
      <c r="F17" s="223" t="b">
        <f t="shared" si="0"/>
        <v>0</v>
      </c>
      <c r="G17" s="223"/>
      <c r="H17" s="226" t="b">
        <f t="shared" si="1"/>
        <v>0</v>
      </c>
      <c r="I17" s="223"/>
      <c r="J17" s="228">
        <f t="shared" si="2"/>
        <v>0</v>
      </c>
      <c r="K17" s="228">
        <f t="shared" si="3"/>
        <v>0</v>
      </c>
      <c r="L17" s="228">
        <f t="shared" si="4"/>
        <v>0</v>
      </c>
    </row>
    <row r="18" spans="2:12" x14ac:dyDescent="0.35">
      <c r="B18" s="223"/>
      <c r="C18" s="225"/>
      <c r="D18" s="225"/>
      <c r="E18" s="223"/>
      <c r="F18" s="223" t="b">
        <f t="shared" si="0"/>
        <v>0</v>
      </c>
      <c r="G18" s="223"/>
      <c r="H18" s="226" t="b">
        <f t="shared" si="1"/>
        <v>0</v>
      </c>
      <c r="I18" s="223"/>
      <c r="J18" s="228">
        <f t="shared" si="2"/>
        <v>0</v>
      </c>
      <c r="K18" s="228">
        <f t="shared" si="3"/>
        <v>0</v>
      </c>
      <c r="L18" s="228">
        <f t="shared" si="4"/>
        <v>0</v>
      </c>
    </row>
    <row r="19" spans="2:12" x14ac:dyDescent="0.35">
      <c r="B19" s="223"/>
      <c r="C19" s="225"/>
      <c r="D19" s="225"/>
      <c r="E19" s="223"/>
      <c r="F19" s="223" t="b">
        <f t="shared" si="0"/>
        <v>0</v>
      </c>
      <c r="G19" s="223"/>
      <c r="H19" s="226" t="b">
        <f t="shared" si="1"/>
        <v>0</v>
      </c>
      <c r="I19" s="223"/>
      <c r="J19" s="228">
        <f t="shared" si="2"/>
        <v>0</v>
      </c>
      <c r="K19" s="228">
        <f t="shared" si="3"/>
        <v>0</v>
      </c>
      <c r="L19" s="228">
        <f t="shared" si="4"/>
        <v>0</v>
      </c>
    </row>
    <row r="20" spans="2:12" x14ac:dyDescent="0.35">
      <c r="B20" s="223"/>
      <c r="C20" s="225"/>
      <c r="D20" s="225"/>
      <c r="E20" s="223"/>
      <c r="F20" s="223" t="b">
        <f t="shared" si="0"/>
        <v>0</v>
      </c>
      <c r="G20" s="223"/>
      <c r="H20" s="226" t="b">
        <f t="shared" ref="H20:H28" si="5">IF(E20=1,(G20/256*8)*$E$7,IF(E20=2,(G20/256*8)*$E$8))</f>
        <v>0</v>
      </c>
      <c r="I20" s="223"/>
      <c r="J20" s="228">
        <f t="shared" si="2"/>
        <v>0</v>
      </c>
      <c r="K20" s="228">
        <f t="shared" si="3"/>
        <v>0</v>
      </c>
      <c r="L20" s="228">
        <f t="shared" si="4"/>
        <v>0</v>
      </c>
    </row>
    <row r="21" spans="2:12" x14ac:dyDescent="0.35">
      <c r="B21" s="223"/>
      <c r="C21" s="225"/>
      <c r="D21" s="225"/>
      <c r="E21" s="223"/>
      <c r="F21" s="223" t="b">
        <f t="shared" si="0"/>
        <v>0</v>
      </c>
      <c r="G21" s="223"/>
      <c r="H21" s="226" t="b">
        <f t="shared" si="5"/>
        <v>0</v>
      </c>
      <c r="I21" s="223"/>
      <c r="J21" s="228">
        <f t="shared" si="2"/>
        <v>0</v>
      </c>
      <c r="K21" s="228">
        <f t="shared" si="3"/>
        <v>0</v>
      </c>
      <c r="L21" s="228">
        <f t="shared" si="4"/>
        <v>0</v>
      </c>
    </row>
    <row r="22" spans="2:12" x14ac:dyDescent="0.35">
      <c r="B22" s="223"/>
      <c r="C22" s="225"/>
      <c r="D22" s="225"/>
      <c r="E22" s="223"/>
      <c r="F22" s="223" t="b">
        <f t="shared" si="0"/>
        <v>0</v>
      </c>
      <c r="G22" s="223"/>
      <c r="H22" s="226" t="b">
        <f t="shared" si="5"/>
        <v>0</v>
      </c>
      <c r="I22" s="223"/>
      <c r="J22" s="228">
        <f t="shared" si="2"/>
        <v>0</v>
      </c>
      <c r="K22" s="228">
        <f t="shared" si="3"/>
        <v>0</v>
      </c>
      <c r="L22" s="228">
        <f t="shared" si="4"/>
        <v>0</v>
      </c>
    </row>
    <row r="23" spans="2:12" x14ac:dyDescent="0.35">
      <c r="B23" s="223"/>
      <c r="C23" s="225"/>
      <c r="D23" s="225"/>
      <c r="E23" s="223"/>
      <c r="F23" s="223" t="b">
        <f t="shared" si="0"/>
        <v>0</v>
      </c>
      <c r="G23" s="223"/>
      <c r="H23" s="226" t="b">
        <f t="shared" si="5"/>
        <v>0</v>
      </c>
      <c r="I23" s="223"/>
      <c r="J23" s="228">
        <f t="shared" si="2"/>
        <v>0</v>
      </c>
      <c r="K23" s="228">
        <f t="shared" si="3"/>
        <v>0</v>
      </c>
      <c r="L23" s="228">
        <f t="shared" si="4"/>
        <v>0</v>
      </c>
    </row>
    <row r="24" spans="2:12" x14ac:dyDescent="0.35">
      <c r="B24" s="223"/>
      <c r="C24" s="225"/>
      <c r="D24" s="225"/>
      <c r="E24" s="223"/>
      <c r="F24" s="223" t="b">
        <f t="shared" si="0"/>
        <v>0</v>
      </c>
      <c r="G24" s="223"/>
      <c r="H24" s="226" t="b">
        <f t="shared" si="5"/>
        <v>0</v>
      </c>
      <c r="I24" s="223"/>
      <c r="J24" s="228">
        <f t="shared" si="2"/>
        <v>0</v>
      </c>
      <c r="K24" s="228">
        <f t="shared" si="3"/>
        <v>0</v>
      </c>
      <c r="L24" s="228">
        <f t="shared" si="4"/>
        <v>0</v>
      </c>
    </row>
    <row r="25" spans="2:12" x14ac:dyDescent="0.35">
      <c r="B25" s="223"/>
      <c r="C25" s="225"/>
      <c r="D25" s="225"/>
      <c r="E25" s="223"/>
      <c r="F25" s="223" t="b">
        <f t="shared" si="0"/>
        <v>0</v>
      </c>
      <c r="G25" s="223"/>
      <c r="H25" s="226" t="b">
        <f t="shared" si="5"/>
        <v>0</v>
      </c>
      <c r="I25" s="223"/>
      <c r="J25" s="228">
        <f t="shared" si="2"/>
        <v>0</v>
      </c>
      <c r="K25" s="228">
        <f t="shared" si="3"/>
        <v>0</v>
      </c>
      <c r="L25" s="228">
        <f t="shared" si="4"/>
        <v>0</v>
      </c>
    </row>
    <row r="26" spans="2:12" x14ac:dyDescent="0.35">
      <c r="B26" s="223"/>
      <c r="C26" s="225"/>
      <c r="D26" s="225"/>
      <c r="E26" s="223"/>
      <c r="F26" s="223" t="b">
        <f t="shared" si="0"/>
        <v>0</v>
      </c>
      <c r="G26" s="223"/>
      <c r="H26" s="226" t="b">
        <f t="shared" si="5"/>
        <v>0</v>
      </c>
      <c r="I26" s="223"/>
      <c r="J26" s="228">
        <f t="shared" si="2"/>
        <v>0</v>
      </c>
      <c r="K26" s="228">
        <f t="shared" si="3"/>
        <v>0</v>
      </c>
      <c r="L26" s="228">
        <f t="shared" si="4"/>
        <v>0</v>
      </c>
    </row>
    <row r="27" spans="2:12" x14ac:dyDescent="0.35">
      <c r="B27" s="223"/>
      <c r="C27" s="225"/>
      <c r="D27" s="225"/>
      <c r="E27" s="223"/>
      <c r="F27" s="223" t="b">
        <f t="shared" si="0"/>
        <v>0</v>
      </c>
      <c r="G27" s="223"/>
      <c r="H27" s="226" t="b">
        <f t="shared" si="5"/>
        <v>0</v>
      </c>
      <c r="I27" s="223"/>
      <c r="J27" s="228">
        <f t="shared" si="2"/>
        <v>0</v>
      </c>
      <c r="K27" s="228">
        <f t="shared" si="3"/>
        <v>0</v>
      </c>
      <c r="L27" s="228">
        <f t="shared" si="4"/>
        <v>0</v>
      </c>
    </row>
    <row r="28" spans="2:12" x14ac:dyDescent="0.35">
      <c r="B28" s="223"/>
      <c r="C28" s="225"/>
      <c r="D28" s="225"/>
      <c r="E28" s="223"/>
      <c r="F28" s="223" t="b">
        <f t="shared" si="0"/>
        <v>0</v>
      </c>
      <c r="G28" s="223"/>
      <c r="H28" s="226" t="b">
        <f t="shared" si="5"/>
        <v>0</v>
      </c>
      <c r="I28" s="223"/>
      <c r="J28" s="228">
        <f t="shared" si="2"/>
        <v>0</v>
      </c>
      <c r="K28" s="228">
        <f t="shared" si="3"/>
        <v>0</v>
      </c>
      <c r="L28" s="228">
        <f t="shared" si="4"/>
        <v>0</v>
      </c>
    </row>
    <row r="29" spans="2:12" ht="16.5" customHeight="1" x14ac:dyDescent="0.4">
      <c r="B29" s="228"/>
      <c r="C29" s="228"/>
      <c r="D29" s="228"/>
      <c r="E29" s="228"/>
      <c r="F29" s="228"/>
      <c r="G29" s="229" t="s">
        <v>56</v>
      </c>
      <c r="H29" s="234">
        <f>ROUND(SUM(H11:H28),2)</f>
        <v>0</v>
      </c>
      <c r="I29" s="223"/>
      <c r="J29" s="234">
        <f>ROUND(SUM(J11:J28),2)</f>
        <v>0</v>
      </c>
      <c r="K29" s="234">
        <f>ROUND(SUM(K11:K28),2)</f>
        <v>0</v>
      </c>
      <c r="L29" s="234">
        <f>ROUND(SUM(L11:L28),2)</f>
        <v>0</v>
      </c>
    </row>
  </sheetData>
  <mergeCells count="1">
    <mergeCell ref="D6:E6"/>
  </mergeCells>
  <phoneticPr fontId="5" type="noConversion"/>
  <pageMargins left="0.75" right="0.75" top="1" bottom="1" header="0.5" footer="0.5"/>
  <pageSetup scale="89" orientation="portrait" horizontalDpi="300" verticalDpi="300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9A8340F9ABDE94DA30DF2759E565084" ma:contentTypeVersion="0" ma:contentTypeDescription="Создание документа." ma:contentTypeScope="" ma:versionID="3083cdefe2a5fd047dba0df2e913d33a">
  <xsd:schema xmlns:xsd="http://www.w3.org/2001/XMLSchema" xmlns:p="http://schemas.microsoft.com/office/2006/metadata/properties" targetNamespace="http://schemas.microsoft.com/office/2006/metadata/properties" ma:root="true" ma:fieldsID="53974d1da0c14f073d2cc649cae9f3e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одержимого" ma:readOnly="true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F55A45-D7E4-421C-941D-D0D8C1749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9720CC4F-0F3F-41F0-8F14-4FDB3F9E82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F15916-323A-483C-A92F-EEE25CF0C99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9</vt:i4>
      </vt:variant>
    </vt:vector>
  </HeadingPairs>
  <TitlesOfParts>
    <vt:vector size="14" baseType="lpstr">
      <vt:lpstr>Owner</vt:lpstr>
      <vt:lpstr>Charterer</vt:lpstr>
      <vt:lpstr>Private</vt:lpstr>
      <vt:lpstr>Others</vt:lpstr>
      <vt:lpstr>Sat-C</vt:lpstr>
      <vt:lpstr>Charterer!Заголовки_для_печати</vt:lpstr>
      <vt:lpstr>Others!Заголовки_для_печати</vt:lpstr>
      <vt:lpstr>Owner!Заголовки_для_печати</vt:lpstr>
      <vt:lpstr>Private!Заголовки_для_печати</vt:lpstr>
      <vt:lpstr>Charterer!Область_печати</vt:lpstr>
      <vt:lpstr>Others!Область_печати</vt:lpstr>
      <vt:lpstr>Owner!Область_печати</vt:lpstr>
      <vt:lpstr>Private!Область_печати</vt:lpstr>
      <vt:lpstr>'Sat-C'!Область_печати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pavel</cp:lastModifiedBy>
  <cp:lastPrinted>2011-09-28T13:49:01Z</cp:lastPrinted>
  <dcterms:created xsi:type="dcterms:W3CDTF">2005-02-20T09:52:33Z</dcterms:created>
  <dcterms:modified xsi:type="dcterms:W3CDTF">2026-02-03T21:11:23Z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0x01010059A8340F9ABDE94DA30DF2759E565084</vt:lpwstr>
  </property>
</Properties>
</file>