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A TOP OFFICER'S 2021\FILE MASTER\BUNKER CALC.VOY\"/>
    </mc:Choice>
  </mc:AlternateContent>
  <xr:revisionPtr revIDLastSave="0" documentId="13_ncr:1_{EBD70B1A-7804-47B5-A610-858DAA44B1EC}" xr6:coauthVersionLast="45" xr6:coauthVersionMax="45" xr10:uidLastSave="{00000000-0000-0000-0000-000000000000}"/>
  <bookViews>
    <workbookView xWindow="-108" yWindow="-108" windowWidth="23256" windowHeight="12576" tabRatio="929" firstSheet="1" activeTab="1" xr2:uid="{00000000-000D-0000-FFFF-FFFF00000000}"/>
  </bookViews>
  <sheets>
    <sheet name="CAL" sheetId="31" state="hidden" r:id="rId1"/>
    <sheet name="ETA" sheetId="42" r:id="rId2"/>
    <sheet name="Distance table" sheetId="35" r:id="rId3"/>
    <sheet name="BUNKER CALC,VOY" sheetId="43" r:id="rId4"/>
  </sheets>
  <definedNames>
    <definedName name="AbsRelWindCourse">#REF!</definedName>
    <definedName name="B">#REF!</definedName>
    <definedName name="Different">#REF!</definedName>
    <definedName name="Flag">#REF!</definedName>
    <definedName name="GM">#REF!</definedName>
    <definedName name="InfoNoon">#REF!</definedName>
    <definedName name="Latitude">#REF!</definedName>
    <definedName name="Master">#REF!</definedName>
    <definedName name="NoonData">#REF!</definedName>
    <definedName name="Port_Kavkaz_anchorage_area_451__Black_Sea__Bosporus__Sea_of_Marmara__Dardanelles__Mediterranean_Sea__Gibraltar__RT__Atlantic_Ocean__RT__Road_of_Lagos__Lagos_pilot_STN">#REF!</definedName>
    <definedName name="RelWindCourse">#REF!</definedName>
    <definedName name="RelWindSpeed">#REF!</definedName>
    <definedName name="ShipCourse">#REF!</definedName>
    <definedName name="Ships_name">#REF!</definedName>
    <definedName name="shipspeed">#REF!</definedName>
    <definedName name="tarikh">#REF!</definedName>
    <definedName name="Time">#REF!</definedName>
    <definedName name="TrueWindSpeed">#REF!</definedName>
    <definedName name="WindCourse">#REF!</definedName>
    <definedName name="WindSpeed">#REF!</definedName>
    <definedName name="Капитан">#REF!</definedName>
    <definedName name="Название_судна">#REF!</definedName>
    <definedName name="_xlnm.Print_Area" localSheetId="2">'Distance table'!$G$3:$M$23</definedName>
    <definedName name="_xlnm.Print_Area" localSheetId="1">ETA!$A$1:$J$23</definedName>
    <definedName name="Порт_откуда">#REF!</definedName>
    <definedName name="Порт_прихода">#REF!</definedName>
    <definedName name="Флаг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9" i="43" l="1"/>
  <c r="K9" i="43" s="1"/>
  <c r="I10" i="43"/>
  <c r="K10" i="43" s="1"/>
  <c r="I11" i="43"/>
  <c r="I12" i="43"/>
  <c r="M12" i="43" s="1"/>
  <c r="I8" i="43"/>
  <c r="H8" i="43" s="1"/>
  <c r="F8" i="43"/>
  <c r="F9" i="43" s="1"/>
  <c r="F10" i="43" s="1"/>
  <c r="F11" i="43" s="1"/>
  <c r="F12" i="43" s="1"/>
  <c r="E11" i="43"/>
  <c r="E10" i="43" s="1"/>
  <c r="E9" i="43" s="1"/>
  <c r="E8" i="43" s="1"/>
  <c r="E7" i="43" s="1"/>
  <c r="D13" i="43" s="1"/>
  <c r="K11" i="43"/>
  <c r="K12" i="43"/>
  <c r="T9" i="43"/>
  <c r="T10" i="43"/>
  <c r="T11" i="43"/>
  <c r="T12" i="43"/>
  <c r="T8" i="43"/>
  <c r="M11" i="43"/>
  <c r="AD11" i="43" s="1"/>
  <c r="O10" i="43"/>
  <c r="O11" i="43"/>
  <c r="O12" i="43"/>
  <c r="R9" i="43"/>
  <c r="R10" i="43"/>
  <c r="R11" i="43"/>
  <c r="R12" i="43"/>
  <c r="R8" i="43"/>
  <c r="V8" i="43"/>
  <c r="V9" i="43"/>
  <c r="V10" i="43"/>
  <c r="V11" i="43"/>
  <c r="V12" i="43"/>
  <c r="AE12" i="43" s="1"/>
  <c r="Z13" i="43"/>
  <c r="AA13" i="43"/>
  <c r="AB13" i="43"/>
  <c r="AJ7" i="43"/>
  <c r="M10" i="43" l="1"/>
  <c r="AD10" i="43" s="1"/>
  <c r="M9" i="43"/>
  <c r="L13" i="43" s="1"/>
  <c r="AE11" i="43"/>
  <c r="AD12" i="43"/>
  <c r="AC12" i="43"/>
  <c r="AC11" i="43"/>
  <c r="AC10" i="43"/>
  <c r="O9" i="43"/>
  <c r="AE9" i="43" s="1"/>
  <c r="I13" i="43"/>
  <c r="AC9" i="43"/>
  <c r="H9" i="43"/>
  <c r="H10" i="43" s="1"/>
  <c r="H11" i="43" s="1"/>
  <c r="H12" i="43" s="1"/>
  <c r="K8" i="43"/>
  <c r="J13" i="43" s="1"/>
  <c r="AI8" i="43"/>
  <c r="AJ8" i="43" s="1"/>
  <c r="AI9" i="43" s="1"/>
  <c r="M8" i="43"/>
  <c r="AD8" i="43" s="1"/>
  <c r="O8" i="43"/>
  <c r="AE8" i="43" s="1"/>
  <c r="AE10" i="43"/>
  <c r="Q13" i="43"/>
  <c r="S13" i="43"/>
  <c r="U13" i="43"/>
  <c r="Z7" i="43"/>
  <c r="AA7" i="43"/>
  <c r="AB7" i="43"/>
  <c r="AD9" i="43" l="1"/>
  <c r="AD13" i="43" s="1"/>
  <c r="N13" i="43"/>
  <c r="Y8" i="43"/>
  <c r="Y9" i="43" s="1"/>
  <c r="Y10" i="43" s="1"/>
  <c r="Y11" i="43" s="1"/>
  <c r="Y12" i="43" s="1"/>
  <c r="AB12" i="43" s="1"/>
  <c r="X8" i="43"/>
  <c r="AA8" i="43" s="1"/>
  <c r="AH8" i="43"/>
  <c r="AH9" i="43" s="1"/>
  <c r="AE13" i="43"/>
  <c r="W8" i="43"/>
  <c r="W9" i="43" s="1"/>
  <c r="W10" i="43" s="1"/>
  <c r="W11" i="43" s="1"/>
  <c r="W12" i="43" s="1"/>
  <c r="Z12" i="43" s="1"/>
  <c r="AC8" i="43"/>
  <c r="AF8" i="43" s="1"/>
  <c r="AF9" i="43" s="1"/>
  <c r="AF10" i="43" s="1"/>
  <c r="AF11" i="43" s="1"/>
  <c r="AF12" i="43" s="1"/>
  <c r="AJ9" i="43"/>
  <c r="AI10" i="43" s="1"/>
  <c r="Z8" i="43"/>
  <c r="AG8" i="43"/>
  <c r="AH10" i="43"/>
  <c r="AH11" i="43" s="1"/>
  <c r="AH12" i="43" s="1"/>
  <c r="L12" i="31"/>
  <c r="K12" i="31"/>
  <c r="L11" i="31"/>
  <c r="K11" i="31"/>
  <c r="AG9" i="43" l="1"/>
  <c r="AG10" i="43" s="1"/>
  <c r="AG11" i="43" s="1"/>
  <c r="AG12" i="43" s="1"/>
  <c r="AB10" i="43"/>
  <c r="AC13" i="43"/>
  <c r="AB9" i="43"/>
  <c r="X9" i="43"/>
  <c r="X10" i="43" s="1"/>
  <c r="X11" i="43" s="1"/>
  <c r="X12" i="43" s="1"/>
  <c r="AA12" i="43" s="1"/>
  <c r="Z11" i="43"/>
  <c r="Z10" i="43"/>
  <c r="AB11" i="43"/>
  <c r="Z9" i="43"/>
  <c r="AB8" i="43"/>
  <c r="AJ10" i="43"/>
  <c r="AI11" i="43" s="1"/>
  <c r="M12" i="31"/>
  <c r="M11" i="31"/>
  <c r="AA11" i="43" l="1"/>
  <c r="AA10" i="43"/>
  <c r="AA9" i="43"/>
  <c r="AJ11" i="43"/>
  <c r="AI12" i="43" s="1"/>
  <c r="AJ12" i="43" s="1"/>
  <c r="B16" i="42" l="1"/>
  <c r="B17" i="42" s="1"/>
  <c r="B18" i="42" s="1"/>
  <c r="B14" i="42"/>
  <c r="C14" i="42" s="1"/>
  <c r="K14" i="42" s="1"/>
  <c r="D14" i="42" s="1"/>
  <c r="L22" i="42"/>
  <c r="L6" i="42"/>
  <c r="C15" i="42"/>
  <c r="K15" i="42" s="1"/>
  <c r="D15" i="42" s="1"/>
  <c r="B13" i="42" l="1"/>
  <c r="B12" i="42" s="1"/>
  <c r="L15" i="42"/>
  <c r="I14" i="42"/>
  <c r="L14" i="42"/>
  <c r="B22" i="42"/>
  <c r="I15" i="42"/>
  <c r="C16" i="42"/>
  <c r="C18" i="42"/>
  <c r="C17" i="42"/>
  <c r="K8" i="31"/>
  <c r="L8" i="31" s="1"/>
  <c r="K7" i="31"/>
  <c r="L7" i="31" s="1"/>
  <c r="K6" i="31"/>
  <c r="L6" i="31" s="1"/>
  <c r="K5" i="31"/>
  <c r="L5" i="31" s="1"/>
  <c r="K4" i="31"/>
  <c r="L4" i="31" s="1"/>
  <c r="K3" i="31"/>
  <c r="L3" i="31" s="1"/>
  <c r="L16" i="42" l="1"/>
  <c r="M16" i="42" s="1"/>
  <c r="F16" i="42" s="1"/>
  <c r="K16" i="42"/>
  <c r="D16" i="42" s="1"/>
  <c r="I18" i="42"/>
  <c r="K18" i="42"/>
  <c r="D18" i="42" s="1"/>
  <c r="I17" i="42"/>
  <c r="K17" i="42"/>
  <c r="D17" i="42" s="1"/>
  <c r="L18" i="42"/>
  <c r="I16" i="42"/>
  <c r="L17" i="42"/>
  <c r="M15" i="42"/>
  <c r="F15" i="42" s="1"/>
  <c r="C13" i="42"/>
  <c r="K13" i="42" s="1"/>
  <c r="D13" i="42" s="1"/>
  <c r="C12" i="42"/>
  <c r="K12" i="42" s="1"/>
  <c r="D12" i="42" s="1"/>
  <c r="K2" i="31"/>
  <c r="M17" i="42" l="1"/>
  <c r="F17" i="42" s="1"/>
  <c r="M18" i="42"/>
  <c r="F18" i="42" s="1"/>
  <c r="L12" i="42"/>
  <c r="M12" i="42" s="1"/>
  <c r="F12" i="42" s="1"/>
  <c r="I12" i="42"/>
  <c r="L13" i="42"/>
  <c r="I13" i="42"/>
  <c r="N6" i="31"/>
  <c r="N7" i="31"/>
  <c r="N4" i="31"/>
  <c r="N8" i="31"/>
  <c r="N5" i="31"/>
  <c r="N3" i="31"/>
  <c r="M13" i="42" l="1"/>
  <c r="F13" i="42" s="1"/>
  <c r="M14" i="42"/>
  <c r="F14" i="42" s="1"/>
  <c r="H16" i="31" l="1"/>
  <c r="H15" i="31" l="1"/>
  <c r="H17" i="31" l="1"/>
  <c r="H18" i="31" s="1"/>
  <c r="M4" i="35"/>
  <c r="L4" i="35" s="1"/>
  <c r="D23" i="35"/>
  <c r="I23" i="35"/>
  <c r="I17" i="35"/>
  <c r="I16" i="35"/>
  <c r="I14" i="35"/>
  <c r="I11" i="35"/>
  <c r="I5" i="35"/>
  <c r="D21" i="35"/>
  <c r="I21" i="35" s="1"/>
  <c r="D18" i="35"/>
  <c r="I18" i="35" s="1"/>
  <c r="D15" i="35"/>
  <c r="I15" i="35" s="1"/>
  <c r="D12" i="35"/>
  <c r="I12" i="35" s="1"/>
  <c r="D9" i="35"/>
  <c r="I9" i="35" s="1"/>
  <c r="D8" i="35"/>
  <c r="I8" i="35" s="1"/>
  <c r="D7" i="35"/>
  <c r="I7" i="35" s="1"/>
  <c r="I6" i="35"/>
  <c r="G3" i="35"/>
  <c r="H3" i="35"/>
  <c r="G23" i="35"/>
  <c r="G21" i="35"/>
  <c r="G18" i="35"/>
  <c r="G17" i="35"/>
  <c r="G16" i="35"/>
  <c r="G15" i="35"/>
  <c r="G14" i="35"/>
  <c r="G12" i="35"/>
  <c r="G11" i="35"/>
  <c r="G9" i="35"/>
  <c r="G8" i="35"/>
  <c r="G7" i="35"/>
  <c r="G6" i="35"/>
  <c r="G5" i="35"/>
  <c r="M8" i="35" l="1"/>
  <c r="L14" i="35"/>
  <c r="L17" i="35"/>
  <c r="K4" i="35"/>
  <c r="K8" i="35" s="1"/>
  <c r="L6" i="35"/>
  <c r="L16" i="35"/>
  <c r="M14" i="35"/>
  <c r="M16" i="35"/>
  <c r="M5" i="35"/>
  <c r="L9" i="35"/>
  <c r="K5" i="35"/>
  <c r="K7" i="35"/>
  <c r="K16" i="35"/>
  <c r="L5" i="35"/>
  <c r="L7" i="35"/>
  <c r="M17" i="35"/>
  <c r="M15" i="35"/>
  <c r="L15" i="35"/>
  <c r="K15" i="35"/>
  <c r="M23" i="35"/>
  <c r="L8" i="35"/>
  <c r="M11" i="35"/>
  <c r="K11" i="35"/>
  <c r="L12" i="35"/>
  <c r="L11" i="35"/>
  <c r="M6" i="35"/>
  <c r="K9" i="35"/>
  <c r="L21" i="35"/>
  <c r="K23" i="35"/>
  <c r="K6" i="35"/>
  <c r="L23" i="35"/>
  <c r="M12" i="35"/>
  <c r="M9" i="35"/>
  <c r="M21" i="35"/>
  <c r="M7" i="35"/>
  <c r="K12" i="35" l="1"/>
  <c r="K14" i="35"/>
  <c r="K21" i="35"/>
  <c r="K17" i="35"/>
  <c r="J4" i="35"/>
  <c r="M18" i="35"/>
  <c r="K18" i="35"/>
  <c r="L18" i="35"/>
  <c r="J18" i="35" l="1"/>
  <c r="J5" i="35"/>
  <c r="J16" i="35"/>
  <c r="J8" i="35"/>
  <c r="J14" i="35"/>
  <c r="J23" i="35"/>
  <c r="J12" i="35"/>
  <c r="J15" i="35"/>
  <c r="J11" i="35"/>
  <c r="J17" i="35"/>
  <c r="J7" i="35"/>
  <c r="J6" i="35"/>
  <c r="J21" i="35"/>
  <c r="J9" i="35"/>
  <c r="G15" i="31" l="1"/>
  <c r="G16" i="31"/>
  <c r="F15" i="31"/>
  <c r="F16" i="31"/>
  <c r="G3" i="31"/>
  <c r="G4" i="31" s="1"/>
  <c r="G5" i="31" s="1"/>
  <c r="G6" i="31" s="1"/>
  <c r="G7" i="31" s="1"/>
  <c r="G8" i="31" s="1"/>
  <c r="G9" i="31" s="1"/>
  <c r="G10" i="31" s="1"/>
  <c r="G11" i="31" s="1"/>
  <c r="B3" i="31"/>
  <c r="B4" i="31" s="1"/>
  <c r="B5" i="31" s="1"/>
  <c r="B6" i="31" s="1"/>
  <c r="B7" i="31" s="1"/>
  <c r="B8" i="31" s="1"/>
  <c r="B9" i="31" s="1"/>
  <c r="B10" i="31" l="1"/>
  <c r="B11" i="31" s="1"/>
  <c r="B12" i="31" s="1"/>
  <c r="B13" i="31" s="1"/>
  <c r="B14" i="31" s="1"/>
  <c r="B15" i="31" s="1"/>
  <c r="B16" i="31" s="1"/>
  <c r="B17" i="31" s="1"/>
  <c r="F17" i="31"/>
  <c r="F18" i="31" s="1"/>
  <c r="G17" i="31"/>
  <c r="G18" i="31" s="1"/>
</calcChain>
</file>

<file path=xl/sharedStrings.xml><?xml version="1.0" encoding="utf-8"?>
<sst xmlns="http://schemas.openxmlformats.org/spreadsheetml/2006/main" count="164" uniqueCount="127">
  <si>
    <t>Min</t>
  </si>
  <si>
    <t>WAVE SCALE</t>
  </si>
  <si>
    <t>SWEEL SCALE</t>
  </si>
  <si>
    <t>CALM</t>
  </si>
  <si>
    <t>NORTH</t>
  </si>
  <si>
    <t>LIGHT AIR</t>
  </si>
  <si>
    <t>LIGHT BREEZE</t>
  </si>
  <si>
    <t>NNE</t>
  </si>
  <si>
    <t>GENTLE BREEZE</t>
  </si>
  <si>
    <t>NE</t>
  </si>
  <si>
    <t>MODERATE BREEZE</t>
  </si>
  <si>
    <t>ENE</t>
  </si>
  <si>
    <t>FRESH BREEZE</t>
  </si>
  <si>
    <t>E</t>
  </si>
  <si>
    <t>STRONG BREEZE</t>
  </si>
  <si>
    <t>ESE</t>
  </si>
  <si>
    <t>NEAR GALE</t>
  </si>
  <si>
    <t>SE</t>
  </si>
  <si>
    <t>GALE</t>
  </si>
  <si>
    <t>SSE</t>
  </si>
  <si>
    <t>STRONG GALE</t>
  </si>
  <si>
    <t>S</t>
  </si>
  <si>
    <t>STORM</t>
  </si>
  <si>
    <t>SSW</t>
  </si>
  <si>
    <t>VIOLENT STORM</t>
  </si>
  <si>
    <t>SW</t>
  </si>
  <si>
    <t>HURRICANE</t>
  </si>
  <si>
    <t>WSW</t>
  </si>
  <si>
    <t>W</t>
  </si>
  <si>
    <t>NO SWEEL</t>
  </si>
  <si>
    <t>WNW</t>
  </si>
  <si>
    <t>CALM RIPPLED</t>
  </si>
  <si>
    <t>LOW SWEEL SHORT OR MOD LENGTH</t>
  </si>
  <si>
    <t>NW</t>
  </si>
  <si>
    <t>SMOOTH SEA</t>
  </si>
  <si>
    <t>LOW SWEEL LONG LENGTH</t>
  </si>
  <si>
    <t>NNW</t>
  </si>
  <si>
    <t>SLIGHT SEA</t>
  </si>
  <si>
    <t>MODERATE SWEEL SHORT OR MOD LENGTH</t>
  </si>
  <si>
    <t>N</t>
  </si>
  <si>
    <t>MODERATE SEA</t>
  </si>
  <si>
    <t>MODERATE SWEEL MOD. LENGTH</t>
  </si>
  <si>
    <t>ROUGH SEA</t>
  </si>
  <si>
    <t>MODERATE SWEEL LONG LENGTH</t>
  </si>
  <si>
    <t>VERY ROUGH SEA</t>
  </si>
  <si>
    <t>HEAVY SWEEL SHORT  LENGTH</t>
  </si>
  <si>
    <t>HIGH SEA</t>
  </si>
  <si>
    <t>HEAVY SWEEL MOD  LENGTH</t>
  </si>
  <si>
    <t>VERY HIGH SES</t>
  </si>
  <si>
    <t>HEAVY SWEEL LONG LENGTH</t>
  </si>
  <si>
    <t>PHENOMARAL</t>
  </si>
  <si>
    <t>CONFUSED SWEEL</t>
  </si>
  <si>
    <t>TOTAL</t>
  </si>
  <si>
    <t>Day</t>
  </si>
  <si>
    <t>Dist</t>
  </si>
  <si>
    <t>Djibouti - Mombasa</t>
  </si>
  <si>
    <t>(berth to berth)</t>
  </si>
  <si>
    <t>Djibouti pilot station</t>
  </si>
  <si>
    <t>Mombasa pilot station</t>
  </si>
  <si>
    <t>Exit IRTC</t>
  </si>
  <si>
    <t>Enter HRA</t>
  </si>
  <si>
    <t>Exit HRA</t>
  </si>
  <si>
    <t>Mombasa - Dar es Salam</t>
  </si>
  <si>
    <t>Dar es Salam pilot station</t>
  </si>
  <si>
    <t>Dar es Salam - Durban</t>
  </si>
  <si>
    <t>Durban</t>
  </si>
  <si>
    <t>Dar es Salam</t>
  </si>
  <si>
    <r>
      <t>10</t>
    </r>
    <r>
      <rPr>
        <sz val="10"/>
        <color theme="1"/>
        <rFont val="Courier New"/>
        <family val="3"/>
      </rPr>
      <t>˚</t>
    </r>
    <r>
      <rPr>
        <sz val="10"/>
        <color theme="1"/>
        <rFont val="Times New Roman"/>
        <family val="1"/>
      </rPr>
      <t>00 S</t>
    </r>
  </si>
  <si>
    <t>Moroni</t>
  </si>
  <si>
    <t>HRA</t>
  </si>
  <si>
    <t>(Djibouti - Durban)</t>
  </si>
  <si>
    <t>Version:</t>
  </si>
  <si>
    <t>Date (if empty then today):</t>
  </si>
  <si>
    <t>Max Speed</t>
  </si>
  <si>
    <t>07/18-1.9</t>
  </si>
  <si>
    <t>POINT</t>
  </si>
  <si>
    <t>Total Distance</t>
  </si>
  <si>
    <t>Speed</t>
  </si>
  <si>
    <t>TIME (days)</t>
  </si>
  <si>
    <t>Consumption at sea (MT)</t>
  </si>
  <si>
    <t>Consumption at port (MT)</t>
  </si>
  <si>
    <t>BROB (MT)</t>
  </si>
  <si>
    <t>ETA</t>
  </si>
  <si>
    <t>ETD</t>
  </si>
  <si>
    <t>HSIFO</t>
  </si>
  <si>
    <t>LSMGO</t>
  </si>
  <si>
    <t>MGO</t>
  </si>
  <si>
    <t>Tianjin</t>
  </si>
  <si>
    <t>Mizushima</t>
  </si>
  <si>
    <t>Rezerv (%)</t>
  </si>
  <si>
    <t>Voy:</t>
  </si>
  <si>
    <t>79B-L</t>
  </si>
  <si>
    <t>Capacity (m3)</t>
  </si>
  <si>
    <t>Used volume (%)</t>
  </si>
  <si>
    <t>Density</t>
  </si>
  <si>
    <t>Stowage factor conversion</t>
  </si>
  <si>
    <t>USHOU</t>
  </si>
  <si>
    <t>Time Zone</t>
  </si>
  <si>
    <t>UTC</t>
  </si>
  <si>
    <t>Dept (or Intermediate) date</t>
  </si>
  <si>
    <t>Month</t>
  </si>
  <si>
    <t>Hr</t>
  </si>
  <si>
    <t>Distance to go</t>
  </si>
  <si>
    <t>Arrival port</t>
  </si>
  <si>
    <t>USNOLA</t>
  </si>
  <si>
    <t>REQUIRED SPEED CALCULATION</t>
  </si>
  <si>
    <t xml:space="preserve">Required ETA </t>
  </si>
  <si>
    <t>Required Speed</t>
  </si>
  <si>
    <t>ETA Calculation</t>
  </si>
  <si>
    <t>STM TIME</t>
  </si>
  <si>
    <t>Year</t>
  </si>
  <si>
    <t>* Time Zone: East - "+",  West - "-"</t>
  </si>
  <si>
    <t>Dept port</t>
  </si>
  <si>
    <t>Step of change speed</t>
  </si>
  <si>
    <t>,10.75z?hl=ru</t>
  </si>
  <si>
    <t>Google maps</t>
  </si>
  <si>
    <t>https://www.google.ru/maps/dir//</t>
  </si>
  <si>
    <t>№</t>
  </si>
  <si>
    <t>Available Capacity  (MT)</t>
  </si>
  <si>
    <t>Require Bunker  (MT)</t>
  </si>
  <si>
    <t>Total Req. Bunker  (MT)</t>
  </si>
  <si>
    <t>TTG     (days)</t>
  </si>
  <si>
    <t>Days In Port</t>
  </si>
  <si>
    <t>Calc.date</t>
  </si>
  <si>
    <t>DIST NM</t>
  </si>
  <si>
    <t>DTG NM</t>
  </si>
  <si>
    <t>BUNKER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</si>
</sst>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"/>
    <numFmt numFmtId="165" formatCode="0.000"/>
    <numFmt numFmtId="166" formatCode="_(* #,##0.00_);_(* \(#,##0.00\);_(* \-??_);_(@_)"/>
    <numFmt numFmtId="167" formatCode="0.000000"/>
    <numFmt numFmtId="168" formatCode="[$-409]dd\/mmm\/yyyy;@"/>
    <numFmt numFmtId="169" formatCode="m/d/yy\ h:mm"/>
    <numFmt numFmtId="170" formatCode="0.0&quot; hrs&quot;"/>
    <numFmt numFmtId="171" formatCode="0.00&quot; knts&quot;"/>
    <numFmt numFmtId="172" formatCode="0.00\ &quot;knts&quot;"/>
    <numFmt numFmtId="173" formatCode="hh:mm\ &quot;LT&quot;"/>
    <numFmt numFmtId="174" formatCode="dddd\,\ dd/mmm/yyyy"/>
    <numFmt numFmtId="175" formatCode="0.0&quot; NM&quot;"/>
    <numFmt numFmtId="176" formatCode="dd\.mm\.yyyy;@"/>
  </numFmts>
  <fonts count="42" x14ac:knownFonts="1">
    <font>
      <sz val="10"/>
      <name val="Arial Cyr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</font>
    <font>
      <sz val="10"/>
      <name val="Arial Cyr"/>
      <family val="2"/>
      <charset val="204"/>
    </font>
    <font>
      <sz val="10"/>
      <name val="Times New Roman"/>
      <family val="1"/>
    </font>
    <font>
      <sz val="10"/>
      <name val="Arial Cyr"/>
      <charset val="204"/>
    </font>
    <font>
      <b/>
      <sz val="12"/>
      <color rgb="FF000000"/>
      <name val="Times New Roman"/>
      <family val="1"/>
    </font>
    <font>
      <sz val="8"/>
      <name val="Times New Roman"/>
      <family val="1"/>
    </font>
    <font>
      <b/>
      <sz val="11"/>
      <name val="Times New Roman"/>
      <family val="1"/>
    </font>
    <font>
      <sz val="8"/>
      <color rgb="FF000000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ourier New"/>
      <family val="3"/>
    </font>
    <font>
      <b/>
      <sz val="12"/>
      <color theme="0"/>
      <name val="Times New Roman"/>
      <family val="1"/>
    </font>
    <font>
      <b/>
      <sz val="11"/>
      <color theme="0"/>
      <name val="Times New Roman"/>
      <family val="1"/>
    </font>
    <font>
      <u/>
      <sz val="10"/>
      <color indexed="12"/>
      <name val="Arial"/>
      <family val="2"/>
    </font>
    <font>
      <sz val="8"/>
      <color theme="1"/>
      <name val="Times New Roman"/>
      <family val="1"/>
    </font>
    <font>
      <b/>
      <sz val="8"/>
      <color rgb="FF000000"/>
      <name val="Times New Roman"/>
      <family val="1"/>
    </font>
    <font>
      <sz val="10"/>
      <name val="Arial"/>
      <family val="2"/>
      <charset val="204"/>
    </font>
    <font>
      <sz val="9"/>
      <name val="Times New Roman"/>
      <family val="1"/>
    </font>
    <font>
      <b/>
      <sz val="10"/>
      <color indexed="10"/>
      <name val="Times New Roman"/>
      <family val="1"/>
    </font>
    <font>
      <sz val="10"/>
      <color theme="1" tint="0.499984740745262"/>
      <name val="Times New Roman"/>
      <family val="1"/>
    </font>
    <font>
      <sz val="8"/>
      <color theme="1" tint="0.34998626667073579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EEAF8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6" fillId="0" borderId="0"/>
    <xf numFmtId="0" fontId="7" fillId="0" borderId="0"/>
    <xf numFmtId="0" fontId="10" fillId="0" borderId="0"/>
    <xf numFmtId="166" fontId="16" fillId="0" borderId="0" applyFill="0" applyBorder="0" applyAlignment="0" applyProtection="0"/>
    <xf numFmtId="0" fontId="9" fillId="0" borderId="0"/>
    <xf numFmtId="0" fontId="16" fillId="0" borderId="0"/>
    <xf numFmtId="9" fontId="9" fillId="0" borderId="0" applyFont="0" applyFill="0" applyBorder="0" applyAlignment="0" applyProtection="0"/>
    <xf numFmtId="0" fontId="15" fillId="0" borderId="0"/>
    <xf numFmtId="0" fontId="16" fillId="0" borderId="0"/>
    <xf numFmtId="0" fontId="3" fillId="0" borderId="0"/>
    <xf numFmtId="0" fontId="22" fillId="0" borderId="0">
      <alignment horizontal="justify" vertical="justify"/>
    </xf>
    <xf numFmtId="0" fontId="2" fillId="0" borderId="0"/>
    <xf numFmtId="0" fontId="1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30" fillId="0" borderId="0"/>
  </cellStyleXfs>
  <cellXfs count="233">
    <xf numFmtId="0" fontId="0" fillId="0" borderId="0" xfId="0"/>
    <xf numFmtId="0" fontId="10" fillId="0" borderId="0" xfId="5" applyFont="1" applyAlignment="1">
      <alignment horizontal="left" vertical="center"/>
    </xf>
    <xf numFmtId="165" fontId="12" fillId="0" borderId="0" xfId="5" applyNumberFormat="1" applyFont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165" fontId="11" fillId="0" borderId="0" xfId="5" applyNumberFormat="1" applyFont="1" applyAlignment="1">
      <alignment vertical="center"/>
    </xf>
    <xf numFmtId="165" fontId="11" fillId="0" borderId="22" xfId="5" applyNumberFormat="1" applyFont="1" applyBorder="1" applyAlignment="1">
      <alignment horizontal="left" vertical="center"/>
    </xf>
    <xf numFmtId="1" fontId="11" fillId="0" borderId="16" xfId="5" applyNumberFormat="1" applyFont="1" applyBorder="1" applyAlignment="1">
      <alignment horizontal="center" vertical="center"/>
    </xf>
    <xf numFmtId="165" fontId="11" fillId="0" borderId="17" xfId="5" applyNumberFormat="1" applyFont="1" applyBorder="1" applyAlignment="1">
      <alignment vertical="center"/>
    </xf>
    <xf numFmtId="1" fontId="11" fillId="0" borderId="18" xfId="5" applyNumberFormat="1" applyFont="1" applyBorder="1" applyAlignment="1">
      <alignment horizontal="center" vertical="center"/>
    </xf>
    <xf numFmtId="165" fontId="11" fillId="0" borderId="20" xfId="5" applyNumberFormat="1" applyFont="1" applyBorder="1" applyAlignment="1">
      <alignment vertical="center"/>
    </xf>
    <xf numFmtId="1" fontId="11" fillId="0" borderId="15" xfId="5" applyNumberFormat="1" applyFont="1" applyBorder="1" applyAlignment="1">
      <alignment horizontal="center" vertical="center"/>
    </xf>
    <xf numFmtId="1" fontId="11" fillId="0" borderId="13" xfId="5" applyNumberFormat="1" applyFont="1" applyBorder="1" applyAlignment="1">
      <alignment horizontal="center" vertical="center"/>
    </xf>
    <xf numFmtId="2" fontId="11" fillId="0" borderId="16" xfId="5" applyNumberFormat="1" applyFont="1" applyBorder="1" applyAlignment="1">
      <alignment horizontal="center" vertical="center"/>
    </xf>
    <xf numFmtId="2" fontId="11" fillId="0" borderId="18" xfId="5" applyNumberFormat="1" applyFont="1" applyBorder="1" applyAlignment="1">
      <alignment horizontal="center" vertical="center"/>
    </xf>
    <xf numFmtId="165" fontId="11" fillId="0" borderId="10" xfId="5" applyNumberFormat="1" applyFont="1" applyBorder="1" applyAlignment="1">
      <alignment vertical="center"/>
    </xf>
    <xf numFmtId="0" fontId="11" fillId="0" borderId="14" xfId="5" applyFont="1" applyBorder="1" applyAlignment="1">
      <alignment vertical="center"/>
    </xf>
    <xf numFmtId="165" fontId="11" fillId="0" borderId="16" xfId="5" applyNumberFormat="1" applyFont="1" applyBorder="1" applyAlignment="1">
      <alignment vertical="center"/>
    </xf>
    <xf numFmtId="165" fontId="11" fillId="0" borderId="19" xfId="5" applyNumberFormat="1" applyFont="1" applyBorder="1" applyAlignment="1">
      <alignment vertical="center"/>
    </xf>
    <xf numFmtId="165" fontId="11" fillId="0" borderId="18" xfId="5" applyNumberFormat="1" applyFont="1" applyBorder="1" applyAlignment="1">
      <alignment vertical="center"/>
    </xf>
    <xf numFmtId="165" fontId="11" fillId="0" borderId="12" xfId="5" applyNumberFormat="1" applyFont="1" applyBorder="1" applyAlignment="1">
      <alignment horizontal="left" vertical="center"/>
    </xf>
    <xf numFmtId="0" fontId="13" fillId="0" borderId="0" xfId="5" applyFont="1" applyAlignment="1">
      <alignment horizontal="left" vertical="center"/>
    </xf>
    <xf numFmtId="1" fontId="11" fillId="0" borderId="12" xfId="5" applyNumberFormat="1" applyFont="1" applyBorder="1" applyAlignment="1">
      <alignment horizontal="left" vertical="center"/>
    </xf>
    <xf numFmtId="1" fontId="11" fillId="0" borderId="11" xfId="5" applyNumberFormat="1" applyFont="1" applyBorder="1" applyAlignment="1">
      <alignment horizontal="center" vertical="center"/>
    </xf>
    <xf numFmtId="1" fontId="11" fillId="0" borderId="21" xfId="5" applyNumberFormat="1" applyFont="1" applyBorder="1" applyAlignment="1">
      <alignment horizontal="center" vertical="center"/>
    </xf>
    <xf numFmtId="0" fontId="23" fillId="0" borderId="0" xfId="14" applyFont="1"/>
    <xf numFmtId="164" fontId="23" fillId="0" borderId="25" xfId="14" applyNumberFormat="1" applyFont="1" applyBorder="1" applyAlignment="1">
      <alignment horizontal="center" vertical="center"/>
    </xf>
    <xf numFmtId="0" fontId="21" fillId="3" borderId="1" xfId="14" applyFont="1" applyFill="1" applyBorder="1" applyAlignment="1">
      <alignment horizontal="center" vertical="center"/>
    </xf>
    <xf numFmtId="0" fontId="21" fillId="0" borderId="1" xfId="14" applyFont="1" applyFill="1" applyBorder="1" applyAlignment="1">
      <alignment horizontal="center" vertical="center"/>
    </xf>
    <xf numFmtId="0" fontId="23" fillId="0" borderId="0" xfId="14" applyFont="1" applyBorder="1" applyAlignment="1">
      <alignment horizontal="left" vertical="center" indent="1"/>
    </xf>
    <xf numFmtId="164" fontId="23" fillId="0" borderId="0" xfId="14" applyNumberFormat="1" applyFont="1" applyBorder="1" applyAlignment="1">
      <alignment horizontal="center" vertical="center"/>
    </xf>
    <xf numFmtId="0" fontId="21" fillId="0" borderId="0" xfId="14" applyFont="1" applyBorder="1" applyAlignment="1">
      <alignment horizontal="center" vertical="center"/>
    </xf>
    <xf numFmtId="0" fontId="21" fillId="0" borderId="0" xfId="14" applyFont="1" applyFill="1" applyBorder="1" applyAlignment="1">
      <alignment horizontal="center" vertical="center"/>
    </xf>
    <xf numFmtId="0" fontId="23" fillId="0" borderId="0" xfId="14" applyFont="1" applyBorder="1"/>
    <xf numFmtId="0" fontId="23" fillId="0" borderId="0" xfId="14" applyFont="1" applyBorder="1" applyAlignment="1">
      <alignment vertical="center"/>
    </xf>
    <xf numFmtId="0" fontId="21" fillId="0" borderId="0" xfId="14" applyFont="1" applyBorder="1"/>
    <xf numFmtId="0" fontId="21" fillId="0" borderId="0" xfId="14" applyFont="1" applyFill="1" applyBorder="1"/>
    <xf numFmtId="0" fontId="23" fillId="3" borderId="34" xfId="14" applyFont="1" applyFill="1" applyBorder="1"/>
    <xf numFmtId="0" fontId="23" fillId="3" borderId="37" xfId="14" applyFont="1" applyFill="1" applyBorder="1"/>
    <xf numFmtId="0" fontId="23" fillId="3" borderId="39" xfId="14" applyFont="1" applyFill="1" applyBorder="1"/>
    <xf numFmtId="0" fontId="23" fillId="3" borderId="40" xfId="14" applyFont="1" applyFill="1" applyBorder="1"/>
    <xf numFmtId="0" fontId="23" fillId="3" borderId="41" xfId="14" applyFont="1" applyFill="1" applyBorder="1"/>
    <xf numFmtId="0" fontId="23" fillId="3" borderId="36" xfId="14" applyFont="1" applyFill="1" applyBorder="1"/>
    <xf numFmtId="0" fontId="23" fillId="3" borderId="38" xfId="14" applyFont="1" applyFill="1" applyBorder="1"/>
    <xf numFmtId="0" fontId="23" fillId="3" borderId="35" xfId="14" applyFont="1" applyFill="1" applyBorder="1"/>
    <xf numFmtId="164" fontId="26" fillId="6" borderId="42" xfId="14" applyNumberFormat="1" applyFont="1" applyFill="1" applyBorder="1" applyAlignment="1">
      <alignment horizontal="center" vertical="center"/>
    </xf>
    <xf numFmtId="164" fontId="26" fillId="6" borderId="43" xfId="14" applyNumberFormat="1" applyFont="1" applyFill="1" applyBorder="1" applyAlignment="1">
      <alignment horizontal="center" vertical="center"/>
    </xf>
    <xf numFmtId="0" fontId="20" fillId="3" borderId="1" xfId="14" applyFont="1" applyFill="1" applyBorder="1" applyAlignment="1">
      <alignment horizontal="left" vertical="center" indent="1"/>
    </xf>
    <xf numFmtId="0" fontId="20" fillId="3" borderId="1" xfId="14" applyFont="1" applyFill="1" applyBorder="1" applyAlignment="1">
      <alignment horizontal="center" vertical="center"/>
    </xf>
    <xf numFmtId="165" fontId="13" fillId="0" borderId="0" xfId="5" applyNumberFormat="1" applyFont="1" applyAlignment="1">
      <alignment horizontal="left" vertical="center"/>
    </xf>
    <xf numFmtId="0" fontId="23" fillId="3" borderId="0" xfId="14" applyFont="1" applyFill="1"/>
    <xf numFmtId="0" fontId="20" fillId="3" borderId="0" xfId="14" applyFont="1" applyFill="1"/>
    <xf numFmtId="0" fontId="21" fillId="0" borderId="0" xfId="14" applyFont="1" applyBorder="1" applyAlignment="1">
      <alignment horizontal="left" vertical="center"/>
    </xf>
    <xf numFmtId="0" fontId="25" fillId="6" borderId="49" xfId="14" applyFont="1" applyFill="1" applyBorder="1" applyAlignment="1">
      <alignment horizontal="center" vertical="center"/>
    </xf>
    <xf numFmtId="164" fontId="20" fillId="4" borderId="23" xfId="15" applyNumberFormat="1" applyFont="1" applyFill="1" applyBorder="1" applyAlignment="1" applyProtection="1">
      <alignment horizontal="center" vertical="center"/>
      <protection locked="0"/>
    </xf>
    <xf numFmtId="0" fontId="13" fillId="0" borderId="50" xfId="5" applyFont="1" applyBorder="1" applyAlignment="1">
      <alignment horizontal="center" vertical="center"/>
    </xf>
    <xf numFmtId="0" fontId="13" fillId="0" borderId="0" xfId="5" applyFont="1" applyBorder="1" applyAlignment="1">
      <alignment horizontal="center" vertical="center"/>
    </xf>
    <xf numFmtId="0" fontId="29" fillId="0" borderId="0" xfId="5" applyFont="1" applyBorder="1" applyAlignment="1">
      <alignment horizontal="center" vertical="center"/>
    </xf>
    <xf numFmtId="0" fontId="13" fillId="0" borderId="48" xfId="5" applyFont="1" applyBorder="1" applyAlignment="1">
      <alignment horizontal="center" vertical="center"/>
    </xf>
    <xf numFmtId="0" fontId="13" fillId="8" borderId="31" xfId="5" applyFont="1" applyFill="1" applyBorder="1" applyAlignment="1">
      <alignment horizontal="center" vertical="center"/>
    </xf>
    <xf numFmtId="0" fontId="13" fillId="8" borderId="50" xfId="5" applyFont="1" applyFill="1" applyBorder="1" applyAlignment="1">
      <alignment horizontal="center" vertical="center"/>
    </xf>
    <xf numFmtId="0" fontId="13" fillId="8" borderId="0" xfId="5" applyFont="1" applyFill="1" applyBorder="1" applyAlignment="1">
      <alignment horizontal="center" vertical="center"/>
    </xf>
    <xf numFmtId="0" fontId="13" fillId="8" borderId="32" xfId="5" applyFont="1" applyFill="1" applyBorder="1" applyAlignment="1">
      <alignment horizontal="center" vertical="center"/>
    </xf>
    <xf numFmtId="0" fontId="13" fillId="8" borderId="27" xfId="5" applyFont="1" applyFill="1" applyBorder="1" applyAlignment="1">
      <alignment horizontal="center" vertical="center"/>
    </xf>
    <xf numFmtId="0" fontId="13" fillId="8" borderId="48" xfId="5" applyFont="1" applyFill="1" applyBorder="1" applyAlignment="1">
      <alignment horizontal="center" vertical="center"/>
    </xf>
    <xf numFmtId="167" fontId="13" fillId="0" borderId="0" xfId="5" applyNumberFormat="1" applyFont="1" applyAlignment="1">
      <alignment horizontal="left" vertical="center"/>
    </xf>
    <xf numFmtId="0" fontId="13" fillId="0" borderId="29" xfId="5" applyFont="1" applyBorder="1" applyAlignment="1">
      <alignment horizontal="center" vertical="center"/>
    </xf>
    <xf numFmtId="168" fontId="21" fillId="0" borderId="0" xfId="14" applyNumberFormat="1" applyFont="1" applyBorder="1" applyAlignment="1">
      <alignment horizontal="left" vertical="center"/>
    </xf>
    <xf numFmtId="0" fontId="8" fillId="0" borderId="0" xfId="17" applyFont="1" applyAlignment="1">
      <alignment vertical="center"/>
    </xf>
    <xf numFmtId="0" fontId="8" fillId="0" borderId="0" xfId="17" applyFont="1" applyAlignment="1" applyProtection="1">
      <alignment vertical="center"/>
    </xf>
    <xf numFmtId="0" fontId="8" fillId="0" borderId="0" xfId="17" applyFont="1" applyAlignment="1">
      <alignment horizontal="center" vertical="center"/>
    </xf>
    <xf numFmtId="0" fontId="11" fillId="0" borderId="0" xfId="17" applyFont="1" applyBorder="1" applyAlignment="1" applyProtection="1">
      <alignment horizontal="center" vertical="center"/>
    </xf>
    <xf numFmtId="0" fontId="31" fillId="0" borderId="0" xfId="17" applyFont="1" applyBorder="1" applyAlignment="1" applyProtection="1">
      <alignment vertical="center"/>
    </xf>
    <xf numFmtId="0" fontId="31" fillId="0" borderId="0" xfId="17" applyFont="1" applyBorder="1" applyAlignment="1" applyProtection="1">
      <alignment horizontal="center" vertical="center"/>
    </xf>
    <xf numFmtId="0" fontId="31" fillId="0" borderId="0" xfId="17" applyFont="1" applyBorder="1" applyAlignment="1" applyProtection="1">
      <alignment horizontal="right" vertical="center"/>
    </xf>
    <xf numFmtId="0" fontId="11" fillId="7" borderId="0" xfId="17" quotePrefix="1" applyFont="1" applyFill="1" applyBorder="1" applyAlignment="1" applyProtection="1">
      <alignment horizontal="right" vertical="center"/>
    </xf>
    <xf numFmtId="170" fontId="8" fillId="5" borderId="1" xfId="17" applyNumberFormat="1" applyFont="1" applyFill="1" applyBorder="1" applyAlignment="1" applyProtection="1">
      <alignment horizontal="center" vertical="center"/>
    </xf>
    <xf numFmtId="171" fontId="8" fillId="3" borderId="1" xfId="17" applyNumberFormat="1" applyFont="1" applyFill="1" applyBorder="1" applyAlignment="1" applyProtection="1">
      <alignment horizontal="center" vertical="center"/>
    </xf>
    <xf numFmtId="171" fontId="8" fillId="4" borderId="1" xfId="17" applyNumberFormat="1" applyFont="1" applyFill="1" applyBorder="1" applyAlignment="1" applyProtection="1">
      <alignment horizontal="center" vertical="center"/>
      <protection locked="0"/>
    </xf>
    <xf numFmtId="0" fontId="20" fillId="4" borderId="1" xfId="17" applyFont="1" applyFill="1" applyBorder="1" applyAlignment="1" applyProtection="1">
      <alignment horizontal="center" vertical="center"/>
      <protection locked="0"/>
    </xf>
    <xf numFmtId="0" fontId="28" fillId="4" borderId="1" xfId="17" applyFont="1" applyFill="1" applyBorder="1" applyAlignment="1" applyProtection="1">
      <alignment horizontal="center" vertical="center"/>
      <protection locked="0"/>
    </xf>
    <xf numFmtId="0" fontId="33" fillId="0" borderId="0" xfId="17" quotePrefix="1" applyFont="1" applyAlignment="1">
      <alignment vertical="center"/>
    </xf>
    <xf numFmtId="0" fontId="33" fillId="0" borderId="0" xfId="17" applyFont="1" applyAlignment="1">
      <alignment vertical="center"/>
    </xf>
    <xf numFmtId="0" fontId="11" fillId="3" borderId="1" xfId="17" applyFont="1" applyFill="1" applyBorder="1" applyAlignment="1" applyProtection="1">
      <alignment horizontal="center" vertical="center"/>
    </xf>
    <xf numFmtId="0" fontId="11" fillId="3" borderId="1" xfId="17" quotePrefix="1" applyFont="1" applyFill="1" applyBorder="1" applyAlignment="1" applyProtection="1">
      <alignment horizontal="center" vertical="center"/>
    </xf>
    <xf numFmtId="0" fontId="8" fillId="3" borderId="31" xfId="17" applyFont="1" applyFill="1" applyBorder="1" applyAlignment="1">
      <alignment vertical="center"/>
    </xf>
    <xf numFmtId="0" fontId="11" fillId="3" borderId="29" xfId="17" applyFont="1" applyFill="1" applyBorder="1" applyAlignment="1" applyProtection="1">
      <alignment horizontal="center" vertical="center"/>
    </xf>
    <xf numFmtId="0" fontId="8" fillId="3" borderId="32" xfId="17" applyFont="1" applyFill="1" applyBorder="1" applyAlignment="1">
      <alignment horizontal="center" vertical="center"/>
    </xf>
    <xf numFmtId="172" fontId="8" fillId="5" borderId="1" xfId="17" applyNumberFormat="1" applyFont="1" applyFill="1" applyBorder="1" applyAlignment="1" applyProtection="1">
      <alignment horizontal="center" vertical="center"/>
    </xf>
    <xf numFmtId="0" fontId="32" fillId="7" borderId="0" xfId="17" applyFont="1" applyFill="1" applyBorder="1" applyAlignment="1" applyProtection="1">
      <alignment horizontal="center" vertical="center"/>
      <protection locked="0"/>
    </xf>
    <xf numFmtId="173" fontId="28" fillId="5" borderId="47" xfId="17" applyNumberFormat="1" applyFont="1" applyFill="1" applyBorder="1" applyAlignment="1">
      <alignment horizontal="center" vertical="center"/>
    </xf>
    <xf numFmtId="0" fontId="11" fillId="3" borderId="30" xfId="17" applyFont="1" applyFill="1" applyBorder="1" applyAlignment="1">
      <alignment horizontal="center" vertical="center"/>
    </xf>
    <xf numFmtId="0" fontId="8" fillId="3" borderId="0" xfId="17" applyFont="1" applyFill="1" applyAlignment="1">
      <alignment vertical="center"/>
    </xf>
    <xf numFmtId="0" fontId="8" fillId="3" borderId="0" xfId="17" applyFont="1" applyFill="1" applyAlignment="1">
      <alignment horizontal="center" vertical="center"/>
    </xf>
    <xf numFmtId="22" fontId="8" fillId="3" borderId="0" xfId="17" applyNumberFormat="1" applyFont="1" applyFill="1" applyAlignment="1">
      <alignment horizontal="center" vertical="center"/>
    </xf>
    <xf numFmtId="0" fontId="8" fillId="3" borderId="0" xfId="17" applyFont="1" applyFill="1" applyAlignment="1" applyProtection="1">
      <alignment horizontal="center" vertical="center"/>
    </xf>
    <xf numFmtId="0" fontId="14" fillId="3" borderId="0" xfId="17" applyFont="1" applyFill="1" applyAlignment="1">
      <alignment vertical="center"/>
    </xf>
    <xf numFmtId="169" fontId="8" fillId="3" borderId="0" xfId="17" applyNumberFormat="1" applyFont="1" applyFill="1" applyAlignment="1">
      <alignment vertical="center"/>
    </xf>
    <xf numFmtId="0" fontId="8" fillId="3" borderId="0" xfId="17" applyNumberFormat="1" applyFont="1" applyFill="1" applyAlignment="1">
      <alignment vertical="center"/>
    </xf>
    <xf numFmtId="0" fontId="34" fillId="0" borderId="54" xfId="0" applyNumberFormat="1" applyFont="1" applyFill="1" applyBorder="1" applyAlignment="1">
      <alignment horizontal="center" vertical="center"/>
    </xf>
    <xf numFmtId="0" fontId="34" fillId="0" borderId="53" xfId="0" applyNumberFormat="1" applyFont="1" applyFill="1" applyBorder="1" applyAlignment="1">
      <alignment horizontal="left" vertical="center"/>
    </xf>
    <xf numFmtId="0" fontId="34" fillId="0" borderId="55" xfId="0" applyNumberFormat="1" applyFont="1" applyFill="1" applyBorder="1" applyAlignment="1">
      <alignment horizontal="center" vertical="center"/>
    </xf>
    <xf numFmtId="0" fontId="35" fillId="0" borderId="56" xfId="5" applyFont="1" applyBorder="1" applyAlignment="1">
      <alignment horizontal="left" vertical="center"/>
    </xf>
    <xf numFmtId="0" fontId="20" fillId="4" borderId="1" xfId="14" applyFont="1" applyFill="1" applyBorder="1" applyAlignment="1" applyProtection="1">
      <alignment horizontal="left" vertical="center" indent="1"/>
      <protection locked="0"/>
    </xf>
    <xf numFmtId="0" fontId="20" fillId="4" borderId="1" xfId="14" applyFont="1" applyFill="1" applyBorder="1" applyAlignment="1" applyProtection="1">
      <alignment horizontal="center" vertical="center"/>
      <protection locked="0"/>
    </xf>
    <xf numFmtId="14" fontId="20" fillId="4" borderId="1" xfId="14" applyNumberFormat="1" applyFont="1" applyFill="1" applyBorder="1" applyAlignment="1" applyProtection="1">
      <alignment horizontal="center" vertical="center"/>
      <protection locked="0"/>
    </xf>
    <xf numFmtId="164" fontId="20" fillId="4" borderId="1" xfId="14" applyNumberFormat="1" applyFont="1" applyFill="1" applyBorder="1" applyAlignment="1" applyProtection="1">
      <alignment horizontal="center" vertical="center"/>
      <protection locked="0"/>
    </xf>
    <xf numFmtId="0" fontId="18" fillId="0" borderId="57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36" fillId="0" borderId="59" xfId="0" applyFont="1" applyBorder="1"/>
    <xf numFmtId="0" fontId="17" fillId="2" borderId="2" xfId="0" applyFont="1" applyFill="1" applyBorder="1" applyAlignment="1">
      <alignment horizontal="center" vertical="center"/>
    </xf>
    <xf numFmtId="0" fontId="36" fillId="2" borderId="57" xfId="0" applyFont="1" applyFill="1" applyBorder="1" applyAlignment="1">
      <alignment horizontal="center" vertical="center"/>
    </xf>
    <xf numFmtId="0" fontId="36" fillId="2" borderId="9" xfId="0" applyFont="1" applyFill="1" applyBorder="1" applyAlignment="1">
      <alignment horizontal="center" vertical="center"/>
    </xf>
    <xf numFmtId="0" fontId="17" fillId="2" borderId="59" xfId="0" applyFont="1" applyFill="1" applyBorder="1"/>
    <xf numFmtId="0" fontId="17" fillId="4" borderId="5" xfId="0" applyFont="1" applyFill="1" applyBorder="1"/>
    <xf numFmtId="0" fontId="17" fillId="4" borderId="59" xfId="0" applyFont="1" applyFill="1" applyBorder="1"/>
    <xf numFmtId="0" fontId="0" fillId="0" borderId="0" xfId="0" applyAlignment="1">
      <alignment horizontal="center" vertical="center"/>
    </xf>
    <xf numFmtId="0" fontId="17" fillId="9" borderId="57" xfId="0" applyFont="1" applyFill="1" applyBorder="1" applyAlignment="1">
      <alignment horizontal="center" vertical="center"/>
    </xf>
    <xf numFmtId="0" fontId="17" fillId="9" borderId="59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36" fillId="5" borderId="4" xfId="0" applyFont="1" applyFill="1" applyBorder="1" applyAlignment="1">
      <alignment horizontal="center" vertical="center"/>
    </xf>
    <xf numFmtId="0" fontId="36" fillId="4" borderId="5" xfId="0" applyFont="1" applyFill="1" applyBorder="1"/>
    <xf numFmtId="0" fontId="36" fillId="4" borderId="61" xfId="0" applyFont="1" applyFill="1" applyBorder="1"/>
    <xf numFmtId="2" fontId="36" fillId="4" borderId="5" xfId="0" applyNumberFormat="1" applyFont="1" applyFill="1" applyBorder="1" applyAlignment="1">
      <alignment horizontal="center" vertical="center"/>
    </xf>
    <xf numFmtId="0" fontId="36" fillId="5" borderId="62" xfId="0" applyFont="1" applyFill="1" applyBorder="1" applyAlignment="1">
      <alignment horizontal="center" vertical="center"/>
    </xf>
    <xf numFmtId="0" fontId="36" fillId="5" borderId="5" xfId="0" applyFont="1" applyFill="1" applyBorder="1" applyAlignment="1">
      <alignment horizontal="center" vertical="center"/>
    </xf>
    <xf numFmtId="0" fontId="36" fillId="5" borderId="64" xfId="0" applyFont="1" applyFill="1" applyBorder="1" applyAlignment="1">
      <alignment horizontal="center" vertical="center"/>
    </xf>
    <xf numFmtId="14" fontId="36" fillId="5" borderId="5" xfId="0" applyNumberFormat="1" applyFont="1" applyFill="1" applyBorder="1"/>
    <xf numFmtId="165" fontId="36" fillId="4" borderId="5" xfId="0" applyNumberFormat="1" applyFont="1" applyFill="1" applyBorder="1" applyAlignment="1">
      <alignment horizontal="center" vertical="center"/>
    </xf>
    <xf numFmtId="0" fontId="36" fillId="4" borderId="59" xfId="0" applyFont="1" applyFill="1" applyBorder="1"/>
    <xf numFmtId="0" fontId="36" fillId="4" borderId="3" xfId="0" applyFont="1" applyFill="1" applyBorder="1"/>
    <xf numFmtId="165" fontId="36" fillId="4" borderId="59" xfId="0" applyNumberFormat="1" applyFont="1" applyFill="1" applyBorder="1" applyAlignment="1">
      <alignment horizontal="center" vertical="center"/>
    </xf>
    <xf numFmtId="0" fontId="36" fillId="4" borderId="0" xfId="0" applyFont="1" applyFill="1" applyBorder="1"/>
    <xf numFmtId="0" fontId="36" fillId="5" borderId="63" xfId="0" applyFont="1" applyFill="1" applyBorder="1" applyAlignment="1">
      <alignment horizontal="center" vertical="center"/>
    </xf>
    <xf numFmtId="164" fontId="36" fillId="4" borderId="4" xfId="0" applyNumberFormat="1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36" fillId="5" borderId="58" xfId="0" applyFont="1" applyFill="1" applyBorder="1" applyAlignment="1">
      <alignment horizontal="center" vertical="center"/>
    </xf>
    <xf numFmtId="0" fontId="36" fillId="4" borderId="61" xfId="0" applyFont="1" applyFill="1" applyBorder="1" applyAlignment="1">
      <alignment horizontal="center" vertical="center"/>
    </xf>
    <xf numFmtId="164" fontId="36" fillId="4" borderId="61" xfId="0" applyNumberFormat="1" applyFont="1" applyFill="1" applyBorder="1" applyAlignment="1">
      <alignment horizontal="center" vertical="center"/>
    </xf>
    <xf numFmtId="0" fontId="36" fillId="4" borderId="61" xfId="0" applyFont="1" applyFill="1" applyBorder="1" applyAlignment="1">
      <alignment vertical="center"/>
    </xf>
    <xf numFmtId="0" fontId="36" fillId="4" borderId="5" xfId="0" applyFont="1" applyFill="1" applyBorder="1" applyAlignment="1">
      <alignment horizontal="center" vertical="center"/>
    </xf>
    <xf numFmtId="0" fontId="37" fillId="4" borderId="5" xfId="0" applyFont="1" applyFill="1" applyBorder="1" applyAlignment="1">
      <alignment horizontal="center" vertical="center"/>
    </xf>
    <xf numFmtId="0" fontId="36" fillId="4" borderId="59" xfId="0" applyFont="1" applyFill="1" applyBorder="1" applyAlignment="1">
      <alignment horizontal="center" vertical="center"/>
    </xf>
    <xf numFmtId="2" fontId="36" fillId="10" borderId="5" xfId="0" applyNumberFormat="1" applyFont="1" applyFill="1" applyBorder="1" applyAlignment="1">
      <alignment horizontal="center" vertical="center"/>
    </xf>
    <xf numFmtId="164" fontId="36" fillId="10" borderId="5" xfId="0" applyNumberFormat="1" applyFont="1" applyFill="1" applyBorder="1" applyAlignment="1">
      <alignment horizontal="center" vertical="center"/>
    </xf>
    <xf numFmtId="164" fontId="17" fillId="9" borderId="57" xfId="0" applyNumberFormat="1" applyFont="1" applyFill="1" applyBorder="1" applyAlignment="1">
      <alignment horizontal="center" vertical="center"/>
    </xf>
    <xf numFmtId="14" fontId="36" fillId="4" borderId="4" xfId="0" applyNumberFormat="1" applyFont="1" applyFill="1" applyBorder="1" applyAlignment="1">
      <alignment vertical="center"/>
    </xf>
    <xf numFmtId="176" fontId="36" fillId="5" borderId="5" xfId="0" applyNumberFormat="1" applyFont="1" applyFill="1" applyBorder="1" applyAlignment="1">
      <alignment vertical="center"/>
    </xf>
    <xf numFmtId="0" fontId="36" fillId="4" borderId="61" xfId="0" applyFont="1" applyFill="1" applyBorder="1" applyAlignment="1">
      <alignment horizontal="center"/>
    </xf>
    <xf numFmtId="0" fontId="36" fillId="4" borderId="3" xfId="0" applyFont="1" applyFill="1" applyBorder="1" applyAlignment="1">
      <alignment horizontal="center"/>
    </xf>
    <xf numFmtId="164" fontId="36" fillId="4" borderId="61" xfId="0" applyNumberFormat="1" applyFont="1" applyFill="1" applyBorder="1" applyAlignment="1">
      <alignment vertical="center"/>
    </xf>
    <xf numFmtId="0" fontId="36" fillId="4" borderId="44" xfId="0" applyFont="1" applyFill="1" applyBorder="1" applyAlignment="1">
      <alignment horizontal="center" vertical="center"/>
    </xf>
    <xf numFmtId="2" fontId="17" fillId="9" borderId="57" xfId="0" applyNumberFormat="1" applyFont="1" applyFill="1" applyBorder="1" applyAlignment="1">
      <alignment horizontal="center" vertical="center"/>
    </xf>
    <xf numFmtId="164" fontId="17" fillId="9" borderId="59" xfId="0" applyNumberFormat="1" applyFont="1" applyFill="1" applyBorder="1" applyAlignment="1">
      <alignment horizontal="center" vertical="center"/>
    </xf>
    <xf numFmtId="1" fontId="17" fillId="9" borderId="57" xfId="0" applyNumberFormat="1" applyFont="1" applyFill="1" applyBorder="1" applyAlignment="1">
      <alignment horizontal="center" vertical="center"/>
    </xf>
    <xf numFmtId="0" fontId="36" fillId="11" borderId="4" xfId="0" applyFont="1" applyFill="1" applyBorder="1"/>
    <xf numFmtId="0" fontId="36" fillId="3" borderId="4" xfId="0" applyFont="1" applyFill="1" applyBorder="1"/>
    <xf numFmtId="0" fontId="36" fillId="3" borderId="4" xfId="0" applyFont="1" applyFill="1" applyBorder="1" applyAlignment="1">
      <alignment horizontal="center" vertical="center"/>
    </xf>
    <xf numFmtId="0" fontId="36" fillId="3" borderId="60" xfId="0" applyFont="1" applyFill="1" applyBorder="1"/>
    <xf numFmtId="0" fontId="36" fillId="3" borderId="51" xfId="0" applyFont="1" applyFill="1" applyBorder="1"/>
    <xf numFmtId="0" fontId="36" fillId="3" borderId="26" xfId="0" applyFont="1" applyFill="1" applyBorder="1"/>
    <xf numFmtId="0" fontId="17" fillId="12" borderId="57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39" fillId="8" borderId="1" xfId="17" applyFont="1" applyFill="1" applyBorder="1" applyAlignment="1" applyProtection="1">
      <alignment horizontal="center" vertical="center"/>
    </xf>
    <xf numFmtId="22" fontId="41" fillId="8" borderId="0" xfId="17" applyNumberFormat="1" applyFont="1" applyFill="1" applyAlignment="1">
      <alignment horizontal="center" vertical="center"/>
    </xf>
    <xf numFmtId="0" fontId="40" fillId="8" borderId="0" xfId="17" applyFont="1" applyFill="1" applyAlignment="1">
      <alignment horizontal="center" vertical="center"/>
    </xf>
    <xf numFmtId="0" fontId="39" fillId="3" borderId="1" xfId="17" applyFont="1" applyFill="1" applyBorder="1" applyAlignment="1" applyProtection="1">
      <alignment horizontal="center" vertical="center"/>
    </xf>
    <xf numFmtId="0" fontId="39" fillId="3" borderId="1" xfId="17" quotePrefix="1" applyFont="1" applyFill="1" applyBorder="1" applyAlignment="1" applyProtection="1">
      <alignment horizontal="center" vertical="center"/>
    </xf>
    <xf numFmtId="164" fontId="20" fillId="4" borderId="1" xfId="15" applyNumberFormat="1" applyFont="1" applyFill="1" applyBorder="1" applyAlignment="1" applyProtection="1">
      <alignment horizontal="center" vertical="center"/>
      <protection locked="0"/>
    </xf>
    <xf numFmtId="1" fontId="20" fillId="4" borderId="1" xfId="15" applyNumberFormat="1" applyFont="1" applyFill="1" applyBorder="1" applyAlignment="1" applyProtection="1">
      <alignment horizontal="center" vertical="center"/>
      <protection locked="0"/>
    </xf>
    <xf numFmtId="2" fontId="20" fillId="4" borderId="1" xfId="15" applyNumberFormat="1" applyFont="1" applyFill="1" applyBorder="1" applyAlignment="1" applyProtection="1">
      <alignment horizontal="center" vertical="center"/>
      <protection locked="0"/>
    </xf>
    <xf numFmtId="1" fontId="20" fillId="3" borderId="66" xfId="15" applyNumberFormat="1" applyFont="1" applyFill="1" applyBorder="1" applyAlignment="1" applyProtection="1">
      <alignment horizontal="left" vertical="center" indent="1"/>
    </xf>
    <xf numFmtId="1" fontId="20" fillId="3" borderId="67" xfId="15" applyNumberFormat="1" applyFont="1" applyFill="1" applyBorder="1" applyAlignment="1" applyProtection="1">
      <alignment horizontal="center" vertical="center"/>
      <protection locked="0"/>
    </xf>
    <xf numFmtId="164" fontId="20" fillId="4" borderId="68" xfId="15" applyNumberFormat="1" applyFont="1" applyFill="1" applyBorder="1" applyAlignment="1" applyProtection="1">
      <alignment horizontal="center" vertical="center"/>
      <protection locked="0"/>
    </xf>
    <xf numFmtId="164" fontId="20" fillId="4" borderId="62" xfId="15" applyNumberFormat="1" applyFont="1" applyFill="1" applyBorder="1" applyAlignment="1" applyProtection="1">
      <alignment horizontal="center" vertical="center"/>
      <protection locked="0"/>
    </xf>
    <xf numFmtId="1" fontId="20" fillId="4" borderId="62" xfId="15" applyNumberFormat="1" applyFont="1" applyFill="1" applyBorder="1" applyAlignment="1" applyProtection="1">
      <alignment horizontal="center" vertical="center"/>
      <protection locked="0"/>
    </xf>
    <xf numFmtId="2" fontId="20" fillId="4" borderId="62" xfId="15" applyNumberFormat="1" applyFont="1" applyFill="1" applyBorder="1" applyAlignment="1" applyProtection="1">
      <alignment horizontal="center" vertical="center"/>
      <protection locked="0"/>
    </xf>
    <xf numFmtId="1" fontId="20" fillId="4" borderId="70" xfId="15" applyNumberFormat="1" applyFont="1" applyFill="1" applyBorder="1" applyAlignment="1" applyProtection="1">
      <alignment horizontal="center" vertical="center"/>
      <protection locked="0"/>
    </xf>
    <xf numFmtId="1" fontId="20" fillId="4" borderId="71" xfId="15" applyNumberFormat="1" applyFont="1" applyFill="1" applyBorder="1" applyAlignment="1" applyProtection="1">
      <alignment horizontal="center" vertical="center"/>
      <protection locked="0"/>
    </xf>
    <xf numFmtId="1" fontId="20" fillId="4" borderId="60" xfId="15" applyNumberFormat="1" applyFont="1" applyFill="1" applyBorder="1" applyAlignment="1" applyProtection="1">
      <alignment horizontal="center" vertical="center"/>
      <protection locked="0"/>
    </xf>
    <xf numFmtId="164" fontId="20" fillId="4" borderId="74" xfId="15" applyNumberFormat="1" applyFont="1" applyFill="1" applyBorder="1" applyAlignment="1" applyProtection="1">
      <alignment horizontal="center" vertical="center"/>
      <protection locked="0"/>
    </xf>
    <xf numFmtId="164" fontId="20" fillId="4" borderId="75" xfId="15" applyNumberFormat="1" applyFont="1" applyFill="1" applyBorder="1" applyAlignment="1" applyProtection="1">
      <alignment horizontal="center" vertical="center"/>
      <protection locked="0"/>
    </xf>
    <xf numFmtId="1" fontId="20" fillId="4" borderId="75" xfId="15" applyNumberFormat="1" applyFont="1" applyFill="1" applyBorder="1" applyAlignment="1" applyProtection="1">
      <alignment horizontal="center" vertical="center"/>
      <protection locked="0"/>
    </xf>
    <xf numFmtId="2" fontId="20" fillId="4" borderId="75" xfId="15" applyNumberFormat="1" applyFont="1" applyFill="1" applyBorder="1" applyAlignment="1" applyProtection="1">
      <alignment horizontal="center" vertical="center"/>
      <protection locked="0"/>
    </xf>
    <xf numFmtId="1" fontId="20" fillId="4" borderId="69" xfId="15" applyNumberFormat="1" applyFont="1" applyFill="1" applyBorder="1" applyAlignment="1" applyProtection="1">
      <alignment horizontal="center" vertical="center"/>
      <protection locked="0"/>
    </xf>
    <xf numFmtId="0" fontId="29" fillId="0" borderId="52" xfId="5" applyFont="1" applyBorder="1" applyAlignment="1">
      <alignment horizontal="center" vertical="center"/>
    </xf>
    <xf numFmtId="0" fontId="29" fillId="0" borderId="30" xfId="5" applyFont="1" applyBorder="1" applyAlignment="1">
      <alignment horizontal="center" vertical="center"/>
    </xf>
    <xf numFmtId="174" fontId="8" fillId="5" borderId="24" xfId="17" applyNumberFormat="1" applyFont="1" applyFill="1" applyBorder="1" applyAlignment="1" applyProtection="1">
      <alignment horizontal="center" vertical="center"/>
    </xf>
    <xf numFmtId="174" fontId="8" fillId="5" borderId="25" xfId="17" applyNumberFormat="1" applyFont="1" applyFill="1" applyBorder="1" applyAlignment="1" applyProtection="1">
      <alignment horizontal="center" vertical="center"/>
    </xf>
    <xf numFmtId="0" fontId="22" fillId="0" borderId="0" xfId="17" applyFont="1" applyAlignment="1">
      <alignment horizontal="center" vertical="center"/>
    </xf>
    <xf numFmtId="0" fontId="18" fillId="3" borderId="24" xfId="17" applyFont="1" applyFill="1" applyBorder="1" applyAlignment="1" applyProtection="1">
      <alignment horizontal="center" vertical="center"/>
    </xf>
    <xf numFmtId="0" fontId="18" fillId="3" borderId="44" xfId="17" applyFont="1" applyFill="1" applyBorder="1" applyAlignment="1" applyProtection="1">
      <alignment horizontal="center" vertical="center"/>
    </xf>
    <xf numFmtId="175" fontId="20" fillId="4" borderId="24" xfId="17" applyNumberFormat="1" applyFont="1" applyFill="1" applyBorder="1" applyAlignment="1" applyProtection="1">
      <alignment horizontal="center" vertical="center"/>
      <protection locked="0"/>
    </xf>
    <xf numFmtId="175" fontId="20" fillId="4" borderId="44" xfId="17" applyNumberFormat="1" applyFont="1" applyFill="1" applyBorder="1" applyAlignment="1" applyProtection="1">
      <alignment horizontal="center" vertical="center"/>
      <protection locked="0"/>
    </xf>
    <xf numFmtId="0" fontId="39" fillId="3" borderId="24" xfId="17" applyFont="1" applyFill="1" applyBorder="1" applyAlignment="1" applyProtection="1">
      <alignment horizontal="center" vertical="center"/>
    </xf>
    <xf numFmtId="0" fontId="39" fillId="3" borderId="25" xfId="17" applyFont="1" applyFill="1" applyBorder="1" applyAlignment="1" applyProtection="1">
      <alignment horizontal="center" vertical="center"/>
    </xf>
    <xf numFmtId="2" fontId="20" fillId="4" borderId="24" xfId="17" applyNumberFormat="1" applyFont="1" applyFill="1" applyBorder="1" applyAlignment="1" applyProtection="1">
      <alignment horizontal="center" vertical="center"/>
      <protection locked="0"/>
    </xf>
    <xf numFmtId="2" fontId="20" fillId="4" borderId="25" xfId="17" applyNumberFormat="1" applyFont="1" applyFill="1" applyBorder="1" applyAlignment="1" applyProtection="1">
      <alignment horizontal="center" vertical="center"/>
      <protection locked="0"/>
    </xf>
    <xf numFmtId="0" fontId="8" fillId="0" borderId="0" xfId="17" applyFont="1" applyBorder="1" applyAlignment="1" applyProtection="1">
      <alignment horizontal="center" vertical="center"/>
    </xf>
    <xf numFmtId="0" fontId="14" fillId="7" borderId="1" xfId="17" quotePrefix="1" applyFont="1" applyFill="1" applyBorder="1" applyAlignment="1" applyProtection="1">
      <alignment horizontal="center" vertical="center"/>
    </xf>
    <xf numFmtId="0" fontId="31" fillId="3" borderId="1" xfId="17" quotePrefix="1" applyFont="1" applyFill="1" applyBorder="1" applyAlignment="1" applyProtection="1">
      <alignment horizontal="center" vertical="center" wrapText="1"/>
    </xf>
    <xf numFmtId="174" fontId="8" fillId="5" borderId="45" xfId="17" applyNumberFormat="1" applyFont="1" applyFill="1" applyBorder="1" applyAlignment="1" applyProtection="1">
      <alignment horizontal="center" vertical="center"/>
    </xf>
    <xf numFmtId="174" fontId="8" fillId="5" borderId="46" xfId="17" applyNumberFormat="1" applyFont="1" applyFill="1" applyBorder="1" applyAlignment="1" applyProtection="1">
      <alignment horizontal="center" vertical="center"/>
    </xf>
    <xf numFmtId="0" fontId="31" fillId="3" borderId="28" xfId="17" quotePrefix="1" applyFont="1" applyFill="1" applyBorder="1" applyAlignment="1" applyProtection="1">
      <alignment horizontal="center" vertical="center" wrapText="1"/>
    </xf>
    <xf numFmtId="0" fontId="31" fillId="3" borderId="6" xfId="17" quotePrefix="1" applyFont="1" applyFill="1" applyBorder="1" applyAlignment="1" applyProtection="1">
      <alignment horizontal="center" vertical="center" wrapText="1"/>
    </xf>
    <xf numFmtId="0" fontId="39" fillId="3" borderId="1" xfId="17" applyFont="1" applyFill="1" applyBorder="1" applyAlignment="1" applyProtection="1">
      <alignment horizontal="center" vertical="center"/>
    </xf>
    <xf numFmtId="0" fontId="20" fillId="0" borderId="1" xfId="14" applyFont="1" applyBorder="1" applyAlignment="1">
      <alignment horizontal="left" vertical="center" indent="1"/>
    </xf>
    <xf numFmtId="0" fontId="20" fillId="0" borderId="33" xfId="14" applyFont="1" applyBorder="1" applyAlignment="1">
      <alignment horizontal="left" vertical="center" indent="1"/>
    </xf>
    <xf numFmtId="0" fontId="20" fillId="3" borderId="69" xfId="15" applyFont="1" applyFill="1" applyBorder="1" applyAlignment="1" applyProtection="1">
      <alignment horizontal="left" vertical="center"/>
    </xf>
    <xf numFmtId="0" fontId="20" fillId="3" borderId="73" xfId="15" applyFont="1" applyFill="1" applyBorder="1" applyAlignment="1" applyProtection="1">
      <alignment horizontal="left" vertical="center"/>
    </xf>
    <xf numFmtId="0" fontId="17" fillId="9" borderId="7" xfId="0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horizontal="center" vertical="center"/>
    </xf>
    <xf numFmtId="2" fontId="17" fillId="9" borderId="7" xfId="0" applyNumberFormat="1" applyFont="1" applyFill="1" applyBorder="1" applyAlignment="1">
      <alignment horizontal="center" vertical="center"/>
    </xf>
    <xf numFmtId="2" fontId="17" fillId="9" borderId="9" xfId="0" applyNumberFormat="1" applyFont="1" applyFill="1" applyBorder="1" applyAlignment="1">
      <alignment horizontal="center" vertical="center"/>
    </xf>
    <xf numFmtId="0" fontId="20" fillId="3" borderId="65" xfId="15" applyFont="1" applyFill="1" applyBorder="1" applyAlignment="1" applyProtection="1">
      <alignment horizontal="left" vertical="center"/>
    </xf>
    <xf numFmtId="0" fontId="20" fillId="3" borderId="72" xfId="15" applyFont="1" applyFill="1" applyBorder="1" applyAlignment="1" applyProtection="1">
      <alignment horizontal="left" vertical="center"/>
    </xf>
    <xf numFmtId="0" fontId="20" fillId="3" borderId="61" xfId="15" applyFont="1" applyFill="1" applyBorder="1" applyAlignment="1" applyProtection="1">
      <alignment horizontal="left" vertical="center"/>
    </xf>
    <xf numFmtId="0" fontId="20" fillId="3" borderId="44" xfId="15" applyFont="1" applyFill="1" applyBorder="1" applyAlignment="1" applyProtection="1">
      <alignment horizontal="left" vertical="center"/>
    </xf>
    <xf numFmtId="0" fontId="38" fillId="0" borderId="0" xfId="0" applyFont="1" applyAlignment="1">
      <alignment horizontal="center" vertical="center"/>
    </xf>
    <xf numFmtId="0" fontId="36" fillId="2" borderId="2" xfId="0" applyFont="1" applyFill="1" applyBorder="1" applyAlignment="1">
      <alignment horizontal="center" vertical="center" wrapText="1"/>
    </xf>
    <xf numFmtId="0" fontId="36" fillId="2" borderId="59" xfId="0" applyFont="1" applyFill="1" applyBorder="1" applyAlignment="1">
      <alignment horizontal="center" vertical="center" wrapText="1"/>
    </xf>
    <xf numFmtId="0" fontId="19" fillId="2" borderId="2" xfId="16" applyFont="1" applyFill="1" applyBorder="1" applyAlignment="1" applyProtection="1">
      <alignment horizontal="center" vertical="center"/>
    </xf>
    <xf numFmtId="0" fontId="19" fillId="2" borderId="59" xfId="16" applyFont="1" applyFill="1" applyBorder="1" applyAlignment="1" applyProtection="1">
      <alignment horizontal="center" vertical="center"/>
    </xf>
    <xf numFmtId="0" fontId="36" fillId="2" borderId="7" xfId="0" applyFont="1" applyFill="1" applyBorder="1" applyAlignment="1">
      <alignment horizontal="center" vertical="center"/>
    </xf>
    <xf numFmtId="0" fontId="36" fillId="2" borderId="8" xfId="0" applyFont="1" applyFill="1" applyBorder="1" applyAlignment="1">
      <alignment horizontal="center" vertical="center"/>
    </xf>
    <xf numFmtId="0" fontId="36" fillId="2" borderId="9" xfId="0" applyFont="1" applyFill="1" applyBorder="1" applyAlignment="1">
      <alignment horizontal="center" vertical="center"/>
    </xf>
    <xf numFmtId="0" fontId="36" fillId="2" borderId="2" xfId="0" applyFont="1" applyFill="1" applyBorder="1" applyAlignment="1">
      <alignment horizontal="center" vertical="center"/>
    </xf>
    <xf numFmtId="0" fontId="36" fillId="2" borderId="59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horizontal="center" vertical="center"/>
    </xf>
    <xf numFmtId="0" fontId="17" fillId="12" borderId="9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</cellXfs>
  <cellStyles count="18">
    <cellStyle name="Comma 2" xfId="6" xr:uid="{00000000-0005-0000-0000-000000000000}"/>
    <cellStyle name="Normal 2" xfId="5" xr:uid="{00000000-0005-0000-0000-000001000000}"/>
    <cellStyle name="Normal 2 2" xfId="7" xr:uid="{00000000-0005-0000-0000-000002000000}"/>
    <cellStyle name="Normal 3" xfId="8" xr:uid="{00000000-0005-0000-0000-000003000000}"/>
    <cellStyle name="Normal 4" xfId="12" xr:uid="{00000000-0005-0000-0000-000004000000}"/>
    <cellStyle name="Normal 5" xfId="13" xr:uid="{00000000-0005-0000-0000-000005000000}"/>
    <cellStyle name="Normal 6" xfId="14" xr:uid="{00000000-0005-0000-0000-000006000000}"/>
    <cellStyle name="Normal 7" xfId="15" xr:uid="{00000000-0005-0000-0000-000007000000}"/>
    <cellStyle name="Normal 8" xfId="17" xr:uid="{00000000-0005-0000-0000-000008000000}"/>
    <cellStyle name="Percent 2" xfId="9" xr:uid="{00000000-0005-0000-0000-000009000000}"/>
    <cellStyle name="Гиперссылка" xfId="16" builtinId="8"/>
    <cellStyle name="Гиперссылка 2" xfId="1" xr:uid="{00000000-0005-0000-0000-00000B000000}"/>
    <cellStyle name="Обычный" xfId="0" builtinId="0"/>
    <cellStyle name="Обычный 2" xfId="2" xr:uid="{00000000-0005-0000-0000-00000D000000}"/>
    <cellStyle name="Обычный 2 2" xfId="10" xr:uid="{00000000-0005-0000-0000-00000E000000}"/>
    <cellStyle name="Обычный 3" xfId="3" xr:uid="{00000000-0005-0000-0000-00000F000000}"/>
    <cellStyle name="Обычный 3 2" xfId="11" xr:uid="{00000000-0005-0000-0000-000010000000}"/>
    <cellStyle name="Обычный 4" xfId="4" xr:uid="{00000000-0005-0000-0000-000011000000}"/>
  </cellStyles>
  <dxfs count="2"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BEEAF8"/>
      <color rgb="FF10C6B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theme="1"/>
  </sheetPr>
  <dimension ref="A1:N45"/>
  <sheetViews>
    <sheetView topLeftCell="D1" workbookViewId="0">
      <selection activeCell="K14" sqref="K14"/>
    </sheetView>
  </sheetViews>
  <sheetFormatPr defaultColWidth="14.44140625" defaultRowHeight="15" customHeight="1" x14ac:dyDescent="0.25"/>
  <cols>
    <col min="1" max="1" width="7.109375" style="1" customWidth="1"/>
    <col min="2" max="3" width="12.109375" style="1" customWidth="1"/>
    <col min="4" max="5" width="5.109375" style="1" customWidth="1"/>
    <col min="6" max="6" width="17" style="1" customWidth="1"/>
    <col min="7" max="7" width="7.5546875" style="1" customWidth="1"/>
    <col min="8" max="8" width="14.44140625" style="1" customWidth="1"/>
    <col min="9" max="9" width="35.33203125" style="1" customWidth="1"/>
    <col min="10" max="10" width="7.44140625" style="1" customWidth="1"/>
    <col min="11" max="14" width="8" style="1" customWidth="1"/>
    <col min="15" max="16384" width="14.44140625" style="1"/>
  </cols>
  <sheetData>
    <row r="1" spans="1:14" ht="14.25" customHeight="1" x14ac:dyDescent="0.25">
      <c r="B1" s="21">
        <v>0</v>
      </c>
      <c r="C1" s="19" t="s">
        <v>4</v>
      </c>
      <c r="D1" s="23">
        <v>0</v>
      </c>
      <c r="E1" s="22">
        <v>0</v>
      </c>
      <c r="F1" s="5" t="s">
        <v>3</v>
      </c>
      <c r="G1" s="14" t="s">
        <v>1</v>
      </c>
      <c r="H1" s="15"/>
      <c r="I1" s="14" t="s">
        <v>2</v>
      </c>
    </row>
    <row r="2" spans="1:14" ht="14.25" customHeight="1" x14ac:dyDescent="0.25">
      <c r="A2" s="3"/>
      <c r="B2" s="19">
        <v>5.625</v>
      </c>
      <c r="C2" s="19" t="s">
        <v>7</v>
      </c>
      <c r="D2" s="12">
        <v>0.3</v>
      </c>
      <c r="E2" s="10">
        <v>1</v>
      </c>
      <c r="F2" s="7" t="s">
        <v>5</v>
      </c>
      <c r="G2" s="6">
        <v>0</v>
      </c>
      <c r="H2" s="3" t="s">
        <v>3</v>
      </c>
      <c r="I2" s="16" t="s">
        <v>29</v>
      </c>
      <c r="K2" s="65" t="e">
        <f>SUM(L3:L8)</f>
        <v>#REF!</v>
      </c>
      <c r="L2" s="184" t="s">
        <v>95</v>
      </c>
      <c r="M2" s="184"/>
      <c r="N2" s="185"/>
    </row>
    <row r="3" spans="1:14" ht="14.25" customHeight="1" x14ac:dyDescent="0.25">
      <c r="A3" s="3"/>
      <c r="B3" s="19">
        <f t="shared" ref="B3:B17" si="0">B2+22.5</f>
        <v>28.125</v>
      </c>
      <c r="C3" s="19" t="s">
        <v>9</v>
      </c>
      <c r="D3" s="12">
        <v>1.5</v>
      </c>
      <c r="E3" s="10">
        <v>2</v>
      </c>
      <c r="F3" s="7" t="s">
        <v>6</v>
      </c>
      <c r="G3" s="6">
        <f t="shared" ref="G3:G11" si="1">G2+1</f>
        <v>1</v>
      </c>
      <c r="H3" s="4" t="s">
        <v>31</v>
      </c>
      <c r="I3" s="16" t="s">
        <v>32</v>
      </c>
      <c r="K3" s="54" t="e">
        <f>IF(#REF!=#REF!,TRUE,FALSE)</f>
        <v>#REF!</v>
      </c>
      <c r="L3" s="55" t="e">
        <f>IF(K3,#REF!,0)</f>
        <v>#REF!</v>
      </c>
      <c r="M3" s="56"/>
      <c r="N3" s="57" t="e">
        <f>K2</f>
        <v>#REF!</v>
      </c>
    </row>
    <row r="4" spans="1:14" ht="14.25" customHeight="1" x14ac:dyDescent="0.25">
      <c r="A4" s="3"/>
      <c r="B4" s="19">
        <f t="shared" si="0"/>
        <v>50.625</v>
      </c>
      <c r="C4" s="19" t="s">
        <v>11</v>
      </c>
      <c r="D4" s="12">
        <v>3.3</v>
      </c>
      <c r="E4" s="10">
        <v>3</v>
      </c>
      <c r="F4" s="7" t="s">
        <v>8</v>
      </c>
      <c r="G4" s="6">
        <f t="shared" si="1"/>
        <v>2</v>
      </c>
      <c r="H4" s="4" t="s">
        <v>34</v>
      </c>
      <c r="I4" s="16" t="s">
        <v>35</v>
      </c>
      <c r="K4" s="59" t="e">
        <f>IF(#REF!=#REF!,TRUE,FALSE)</f>
        <v>#REF!</v>
      </c>
      <c r="L4" s="60" t="e">
        <f>IF(K4,1/#REF!/M6,0)</f>
        <v>#REF!</v>
      </c>
      <c r="M4" s="60"/>
      <c r="N4" s="63" t="e">
        <f>1/$K$2/M6</f>
        <v>#REF!</v>
      </c>
    </row>
    <row r="5" spans="1:14" ht="14.25" customHeight="1" x14ac:dyDescent="0.25">
      <c r="A5" s="3"/>
      <c r="B5" s="19">
        <f t="shared" si="0"/>
        <v>73.125</v>
      </c>
      <c r="C5" s="19" t="s">
        <v>13</v>
      </c>
      <c r="D5" s="12">
        <v>5.4</v>
      </c>
      <c r="E5" s="10">
        <v>4</v>
      </c>
      <c r="F5" s="7" t="s">
        <v>10</v>
      </c>
      <c r="G5" s="6">
        <f t="shared" si="1"/>
        <v>3</v>
      </c>
      <c r="H5" s="4" t="s">
        <v>37</v>
      </c>
      <c r="I5" s="16" t="s">
        <v>38</v>
      </c>
      <c r="K5" s="54" t="e">
        <f>IF(#REF!=#REF!,TRUE,FALSE)</f>
        <v>#REF!</v>
      </c>
      <c r="L5" s="55" t="e">
        <f>IF(K5,#REF!/M5,0)</f>
        <v>#REF!</v>
      </c>
      <c r="M5" s="55">
        <v>0.98419999999999996</v>
      </c>
      <c r="N5" s="57" t="e">
        <f>$K$2*M5</f>
        <v>#REF!</v>
      </c>
    </row>
    <row r="6" spans="1:14" ht="14.25" customHeight="1" x14ac:dyDescent="0.25">
      <c r="A6" s="3"/>
      <c r="B6" s="19">
        <f t="shared" si="0"/>
        <v>95.625</v>
      </c>
      <c r="C6" s="19" t="s">
        <v>15</v>
      </c>
      <c r="D6" s="12">
        <v>7.9</v>
      </c>
      <c r="E6" s="10">
        <v>5</v>
      </c>
      <c r="F6" s="7" t="s">
        <v>12</v>
      </c>
      <c r="G6" s="6">
        <f t="shared" si="1"/>
        <v>4</v>
      </c>
      <c r="H6" s="4" t="s">
        <v>40</v>
      </c>
      <c r="I6" s="16" t="s">
        <v>41</v>
      </c>
      <c r="K6" s="54" t="e">
        <f>IF(#REF!=#REF!,TRUE,FALSE)</f>
        <v>#REF!</v>
      </c>
      <c r="L6" s="55" t="e">
        <f>IF(K6,#REF!/M6,0)</f>
        <v>#REF!</v>
      </c>
      <c r="M6" s="55">
        <v>2.7869999999999999E-2</v>
      </c>
      <c r="N6" s="57" t="e">
        <f>$K$2*M6</f>
        <v>#REF!</v>
      </c>
    </row>
    <row r="7" spans="1:14" ht="14.25" customHeight="1" x14ac:dyDescent="0.25">
      <c r="A7" s="3"/>
      <c r="B7" s="19">
        <f t="shared" si="0"/>
        <v>118.125</v>
      </c>
      <c r="C7" s="19" t="s">
        <v>17</v>
      </c>
      <c r="D7" s="12">
        <v>10.7</v>
      </c>
      <c r="E7" s="10">
        <v>6</v>
      </c>
      <c r="F7" s="7" t="s">
        <v>14</v>
      </c>
      <c r="G7" s="6">
        <f t="shared" si="1"/>
        <v>5</v>
      </c>
      <c r="H7" s="4" t="s">
        <v>42</v>
      </c>
      <c r="I7" s="16" t="s">
        <v>43</v>
      </c>
      <c r="K7" s="54" t="e">
        <f>IF(#REF!=#REF!,TRUE,FALSE)</f>
        <v>#REF!</v>
      </c>
      <c r="L7" s="55" t="e">
        <f>IF(K7,#REF!/M7,0)</f>
        <v>#REF!</v>
      </c>
      <c r="M7" s="55">
        <v>2.8316999999999998E-2</v>
      </c>
      <c r="N7" s="57" t="e">
        <f>$K$2*M7</f>
        <v>#REF!</v>
      </c>
    </row>
    <row r="8" spans="1:14" ht="14.25" customHeight="1" x14ac:dyDescent="0.25">
      <c r="A8" s="3"/>
      <c r="B8" s="19">
        <f t="shared" si="0"/>
        <v>140.625</v>
      </c>
      <c r="C8" s="19" t="s">
        <v>19</v>
      </c>
      <c r="D8" s="12">
        <v>13.8</v>
      </c>
      <c r="E8" s="10">
        <v>7</v>
      </c>
      <c r="F8" s="7" t="s">
        <v>16</v>
      </c>
      <c r="G8" s="6">
        <f t="shared" si="1"/>
        <v>6</v>
      </c>
      <c r="H8" s="4" t="s">
        <v>44</v>
      </c>
      <c r="I8" s="16" t="s">
        <v>45</v>
      </c>
      <c r="K8" s="58" t="e">
        <f>IF(#REF!=#REF!,TRUE,FALSE)</f>
        <v>#REF!</v>
      </c>
      <c r="L8" s="62" t="e">
        <f>IF(K8,1/#REF!/M7,0)</f>
        <v>#REF!</v>
      </c>
      <c r="M8" s="62"/>
      <c r="N8" s="61" t="e">
        <f>1/$K$2/M7</f>
        <v>#REF!</v>
      </c>
    </row>
    <row r="9" spans="1:14" ht="14.25" customHeight="1" thickBot="1" x14ac:dyDescent="0.3">
      <c r="A9" s="3"/>
      <c r="B9" s="19">
        <f t="shared" si="0"/>
        <v>163.125</v>
      </c>
      <c r="C9" s="19" t="s">
        <v>21</v>
      </c>
      <c r="D9" s="12">
        <v>17.100000000000001</v>
      </c>
      <c r="E9" s="10">
        <v>8</v>
      </c>
      <c r="F9" s="7" t="s">
        <v>18</v>
      </c>
      <c r="G9" s="6">
        <f t="shared" si="1"/>
        <v>7</v>
      </c>
      <c r="H9" s="4" t="s">
        <v>46</v>
      </c>
      <c r="I9" s="16" t="s">
        <v>47</v>
      </c>
      <c r="M9" s="64"/>
    </row>
    <row r="10" spans="1:14" ht="17.25" customHeight="1" thickBot="1" x14ac:dyDescent="0.3">
      <c r="A10" s="3"/>
      <c r="B10" s="19">
        <f t="shared" si="0"/>
        <v>185.625</v>
      </c>
      <c r="C10" s="19" t="s">
        <v>23</v>
      </c>
      <c r="D10" s="12">
        <v>20.7</v>
      </c>
      <c r="E10" s="10">
        <v>9</v>
      </c>
      <c r="F10" s="7" t="s">
        <v>20</v>
      </c>
      <c r="G10" s="6">
        <f t="shared" si="1"/>
        <v>8</v>
      </c>
      <c r="H10" s="4" t="s">
        <v>48</v>
      </c>
      <c r="I10" s="16" t="s">
        <v>49</v>
      </c>
      <c r="K10" t="s">
        <v>116</v>
      </c>
      <c r="L10" s="99" t="s">
        <v>114</v>
      </c>
      <c r="M10" s="101" t="s">
        <v>115</v>
      </c>
    </row>
    <row r="11" spans="1:14" ht="14.25" customHeight="1" x14ac:dyDescent="0.25">
      <c r="A11" s="3"/>
      <c r="B11" s="19">
        <f t="shared" si="0"/>
        <v>208.125</v>
      </c>
      <c r="C11" s="19" t="s">
        <v>25</v>
      </c>
      <c r="D11" s="12">
        <v>24.2</v>
      </c>
      <c r="E11" s="10">
        <v>10</v>
      </c>
      <c r="F11" s="7" t="s">
        <v>22</v>
      </c>
      <c r="G11" s="8">
        <f t="shared" si="1"/>
        <v>9</v>
      </c>
      <c r="H11" s="17" t="s">
        <v>50</v>
      </c>
      <c r="I11" s="18" t="s">
        <v>51</v>
      </c>
      <c r="K11" s="98" t="e">
        <f>LEFT(#REF!,3)</f>
        <v>#REF!</v>
      </c>
      <c r="L11" s="98" t="e">
        <f>RIGHT(#REF!,4)*100/60/100</f>
        <v>#REF!</v>
      </c>
      <c r="M11" s="100" t="e">
        <f>IF(#REF!="W",(K11+L11)*-1,K11+L11)</f>
        <v>#REF!</v>
      </c>
    </row>
    <row r="12" spans="1:14" ht="14.25" customHeight="1" x14ac:dyDescent="0.25">
      <c r="A12" s="3"/>
      <c r="B12" s="19">
        <f t="shared" si="0"/>
        <v>230.625</v>
      </c>
      <c r="C12" s="19" t="s">
        <v>27</v>
      </c>
      <c r="D12" s="12">
        <v>28.4</v>
      </c>
      <c r="E12" s="10">
        <v>11</v>
      </c>
      <c r="F12" s="7" t="s">
        <v>24</v>
      </c>
      <c r="G12" s="3"/>
      <c r="H12" s="3"/>
      <c r="I12" s="3"/>
      <c r="K12" s="98" t="e">
        <f>LEFT(#REF!,2)</f>
        <v>#REF!</v>
      </c>
      <c r="L12" s="98" t="e">
        <f>RIGHT(#REF!,4)*100/60/100</f>
        <v>#REF!</v>
      </c>
      <c r="M12" s="98" t="e">
        <f>IF(#REF!="S",(K12+L12)*-1,K12+L12)</f>
        <v>#REF!</v>
      </c>
    </row>
    <row r="13" spans="1:14" ht="14.25" customHeight="1" x14ac:dyDescent="0.25">
      <c r="A13" s="3"/>
      <c r="B13" s="19">
        <f t="shared" si="0"/>
        <v>253.125</v>
      </c>
      <c r="C13" s="19" t="s">
        <v>28</v>
      </c>
      <c r="D13" s="13">
        <v>32.6</v>
      </c>
      <c r="E13" s="11">
        <v>12</v>
      </c>
      <c r="F13" s="9" t="s">
        <v>26</v>
      </c>
      <c r="G13" s="3"/>
      <c r="H13" s="3"/>
      <c r="I13" s="3"/>
    </row>
    <row r="14" spans="1:14" ht="14.25" customHeight="1" x14ac:dyDescent="0.25">
      <c r="A14" s="3"/>
      <c r="B14" s="19">
        <f t="shared" si="0"/>
        <v>275.625</v>
      </c>
      <c r="C14" s="19" t="s">
        <v>30</v>
      </c>
      <c r="D14" s="3"/>
      <c r="E14" s="3"/>
      <c r="F14" s="3"/>
      <c r="G14" s="3"/>
      <c r="H14" s="3"/>
      <c r="I14" s="3"/>
    </row>
    <row r="15" spans="1:14" ht="14.25" customHeight="1" x14ac:dyDescent="0.25">
      <c r="A15" s="3"/>
      <c r="B15" s="19">
        <f t="shared" si="0"/>
        <v>298.125</v>
      </c>
      <c r="C15" s="19" t="s">
        <v>33</v>
      </c>
      <c r="D15" s="3"/>
      <c r="E15" s="3"/>
      <c r="F15" s="3" t="e">
        <f>DEGREES(ACOS((#REF!^2+#REF!^2-#REF!^2)/2/#REF!/#REF!))</f>
        <v>#REF!</v>
      </c>
      <c r="G15" s="3" t="e">
        <f>DEGREES(ACOS((#REF!^2+#REF!^2-#REF!^2)/2/#REF!/#REF!))</f>
        <v>#REF!</v>
      </c>
      <c r="H15" s="3" t="e">
        <f>DEGREES(ACOS((#REF!^2+#REF!^2-#REF!^2)/2/#REF!/#REF!))</f>
        <v>#REF!</v>
      </c>
      <c r="I15" s="3"/>
    </row>
    <row r="16" spans="1:14" ht="14.25" customHeight="1" x14ac:dyDescent="0.25">
      <c r="A16" s="3"/>
      <c r="B16" s="19">
        <f t="shared" si="0"/>
        <v>320.625</v>
      </c>
      <c r="C16" s="19" t="s">
        <v>36</v>
      </c>
      <c r="D16" s="3"/>
      <c r="E16" s="3"/>
      <c r="F16" s="3" t="e">
        <f>IF(#REF!-#REF!&gt;0,1,-1)</f>
        <v>#REF!</v>
      </c>
      <c r="G16" s="3" t="e">
        <f>IF(#REF!-#REF!&gt;0,1,-1)</f>
        <v>#REF!</v>
      </c>
      <c r="H16" s="3" t="e">
        <f>IF(#REF!&gt;0,-1,1)</f>
        <v>#REF!</v>
      </c>
      <c r="I16" s="3"/>
    </row>
    <row r="17" spans="1:11" ht="14.25" customHeight="1" x14ac:dyDescent="0.25">
      <c r="A17" s="3"/>
      <c r="B17" s="19">
        <f t="shared" si="0"/>
        <v>343.125</v>
      </c>
      <c r="C17" s="19" t="s">
        <v>39</v>
      </c>
      <c r="D17" s="20"/>
      <c r="E17" s="20"/>
      <c r="F17" s="48" t="e">
        <f>ROUND(#REF!-F15*F16,0)</f>
        <v>#REF!</v>
      </c>
      <c r="G17" s="3" t="e">
        <f>ROUND(#REF!+G15*G16,0)</f>
        <v>#REF!</v>
      </c>
      <c r="H17" s="3" t="e">
        <f>ROUND(#REF!+#REF!-H15*H16,0)</f>
        <v>#REF!</v>
      </c>
      <c r="I17" s="3"/>
    </row>
    <row r="18" spans="1:11" ht="14.25" customHeight="1" x14ac:dyDescent="0.25">
      <c r="A18" s="2"/>
      <c r="B18" s="2"/>
      <c r="C18" s="2"/>
      <c r="D18" s="2"/>
      <c r="E18" s="2"/>
      <c r="F18" s="3" t="e">
        <f>IF(F17&gt;360,F17-360,F17)</f>
        <v>#REF!</v>
      </c>
      <c r="G18" s="3" t="e">
        <f>IF(G17&gt;360,G17-360,G17)</f>
        <v>#REF!</v>
      </c>
      <c r="H18" s="3" t="e">
        <f>IF(H17&gt;360,H17-360,H17)</f>
        <v>#REF!</v>
      </c>
      <c r="I18" s="2"/>
      <c r="J18" s="2"/>
      <c r="K18" s="2"/>
    </row>
    <row r="19" spans="1:11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4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4.2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4.2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4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4.2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.2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</sheetData>
  <mergeCells count="1">
    <mergeCell ref="L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B1:N22"/>
  <sheetViews>
    <sheetView showGridLines="0" tabSelected="1" topLeftCell="A13" zoomScaleNormal="100" workbookViewId="0">
      <selection activeCell="G25" sqref="G25"/>
    </sheetView>
  </sheetViews>
  <sheetFormatPr defaultRowHeight="21" customHeight="1" x14ac:dyDescent="0.25"/>
  <cols>
    <col min="1" max="1" width="5.6640625" style="67" customWidth="1"/>
    <col min="2" max="3" width="11.88671875" style="67" customWidth="1"/>
    <col min="4" max="8" width="7.6640625" style="67" customWidth="1"/>
    <col min="9" max="9" width="9.5546875" style="67" customWidth="1"/>
    <col min="10" max="10" width="5.6640625" style="67" customWidth="1"/>
    <col min="11" max="11" width="8.109375" style="67" customWidth="1"/>
    <col min="12" max="12" width="20.77734375" style="69" customWidth="1"/>
    <col min="13" max="13" width="9.6640625" style="69" customWidth="1"/>
    <col min="14" max="254" width="9.109375" style="67"/>
    <col min="255" max="255" width="5.5546875" style="67" customWidth="1"/>
    <col min="256" max="256" width="3.109375" style="67" customWidth="1"/>
    <col min="257" max="258" width="11.88671875" style="67" customWidth="1"/>
    <col min="259" max="259" width="9" style="67" customWidth="1"/>
    <col min="260" max="260" width="6.33203125" style="67" customWidth="1"/>
    <col min="261" max="264" width="5.109375" style="67" customWidth="1"/>
    <col min="265" max="265" width="8.5546875" style="67" customWidth="1"/>
    <col min="266" max="266" width="3.5546875" style="67" customWidth="1"/>
    <col min="267" max="267" width="0" style="67" hidden="1" customWidth="1"/>
    <col min="268" max="510" width="9.109375" style="67"/>
    <col min="511" max="511" width="5.5546875" style="67" customWidth="1"/>
    <col min="512" max="512" width="3.109375" style="67" customWidth="1"/>
    <col min="513" max="514" width="11.88671875" style="67" customWidth="1"/>
    <col min="515" max="515" width="9" style="67" customWidth="1"/>
    <col min="516" max="516" width="6.33203125" style="67" customWidth="1"/>
    <col min="517" max="520" width="5.109375" style="67" customWidth="1"/>
    <col min="521" max="521" width="8.5546875" style="67" customWidth="1"/>
    <col min="522" max="522" width="3.5546875" style="67" customWidth="1"/>
    <col min="523" max="523" width="0" style="67" hidden="1" customWidth="1"/>
    <col min="524" max="766" width="9.109375" style="67"/>
    <col min="767" max="767" width="5.5546875" style="67" customWidth="1"/>
    <col min="768" max="768" width="3.109375" style="67" customWidth="1"/>
    <col min="769" max="770" width="11.88671875" style="67" customWidth="1"/>
    <col min="771" max="771" width="9" style="67" customWidth="1"/>
    <col min="772" max="772" width="6.33203125" style="67" customWidth="1"/>
    <col min="773" max="776" width="5.109375" style="67" customWidth="1"/>
    <col min="777" max="777" width="8.5546875" style="67" customWidth="1"/>
    <col min="778" max="778" width="3.5546875" style="67" customWidth="1"/>
    <col min="779" max="779" width="0" style="67" hidden="1" customWidth="1"/>
    <col min="780" max="1022" width="9.109375" style="67"/>
    <col min="1023" max="1023" width="5.5546875" style="67" customWidth="1"/>
    <col min="1024" max="1024" width="3.109375" style="67" customWidth="1"/>
    <col min="1025" max="1026" width="11.88671875" style="67" customWidth="1"/>
    <col min="1027" max="1027" width="9" style="67" customWidth="1"/>
    <col min="1028" max="1028" width="6.33203125" style="67" customWidth="1"/>
    <col min="1029" max="1032" width="5.109375" style="67" customWidth="1"/>
    <col min="1033" max="1033" width="8.5546875" style="67" customWidth="1"/>
    <col min="1034" max="1034" width="3.5546875" style="67" customWidth="1"/>
    <col min="1035" max="1035" width="0" style="67" hidden="1" customWidth="1"/>
    <col min="1036" max="1278" width="9.109375" style="67"/>
    <col min="1279" max="1279" width="5.5546875" style="67" customWidth="1"/>
    <col min="1280" max="1280" width="3.109375" style="67" customWidth="1"/>
    <col min="1281" max="1282" width="11.88671875" style="67" customWidth="1"/>
    <col min="1283" max="1283" width="9" style="67" customWidth="1"/>
    <col min="1284" max="1284" width="6.33203125" style="67" customWidth="1"/>
    <col min="1285" max="1288" width="5.109375" style="67" customWidth="1"/>
    <col min="1289" max="1289" width="8.5546875" style="67" customWidth="1"/>
    <col min="1290" max="1290" width="3.5546875" style="67" customWidth="1"/>
    <col min="1291" max="1291" width="0" style="67" hidden="1" customWidth="1"/>
    <col min="1292" max="1534" width="9.109375" style="67"/>
    <col min="1535" max="1535" width="5.5546875" style="67" customWidth="1"/>
    <col min="1536" max="1536" width="3.109375" style="67" customWidth="1"/>
    <col min="1537" max="1538" width="11.88671875" style="67" customWidth="1"/>
    <col min="1539" max="1539" width="9" style="67" customWidth="1"/>
    <col min="1540" max="1540" width="6.33203125" style="67" customWidth="1"/>
    <col min="1541" max="1544" width="5.109375" style="67" customWidth="1"/>
    <col min="1545" max="1545" width="8.5546875" style="67" customWidth="1"/>
    <col min="1546" max="1546" width="3.5546875" style="67" customWidth="1"/>
    <col min="1547" max="1547" width="0" style="67" hidden="1" customWidth="1"/>
    <col min="1548" max="1790" width="9.109375" style="67"/>
    <col min="1791" max="1791" width="5.5546875" style="67" customWidth="1"/>
    <col min="1792" max="1792" width="3.109375" style="67" customWidth="1"/>
    <col min="1793" max="1794" width="11.88671875" style="67" customWidth="1"/>
    <col min="1795" max="1795" width="9" style="67" customWidth="1"/>
    <col min="1796" max="1796" width="6.33203125" style="67" customWidth="1"/>
    <col min="1797" max="1800" width="5.109375" style="67" customWidth="1"/>
    <col min="1801" max="1801" width="8.5546875" style="67" customWidth="1"/>
    <col min="1802" max="1802" width="3.5546875" style="67" customWidth="1"/>
    <col min="1803" max="1803" width="0" style="67" hidden="1" customWidth="1"/>
    <col min="1804" max="2046" width="9.109375" style="67"/>
    <col min="2047" max="2047" width="5.5546875" style="67" customWidth="1"/>
    <col min="2048" max="2048" width="3.109375" style="67" customWidth="1"/>
    <col min="2049" max="2050" width="11.88671875" style="67" customWidth="1"/>
    <col min="2051" max="2051" width="9" style="67" customWidth="1"/>
    <col min="2052" max="2052" width="6.33203125" style="67" customWidth="1"/>
    <col min="2053" max="2056" width="5.109375" style="67" customWidth="1"/>
    <col min="2057" max="2057" width="8.5546875" style="67" customWidth="1"/>
    <col min="2058" max="2058" width="3.5546875" style="67" customWidth="1"/>
    <col min="2059" max="2059" width="0" style="67" hidden="1" customWidth="1"/>
    <col min="2060" max="2302" width="9.109375" style="67"/>
    <col min="2303" max="2303" width="5.5546875" style="67" customWidth="1"/>
    <col min="2304" max="2304" width="3.109375" style="67" customWidth="1"/>
    <col min="2305" max="2306" width="11.88671875" style="67" customWidth="1"/>
    <col min="2307" max="2307" width="9" style="67" customWidth="1"/>
    <col min="2308" max="2308" width="6.33203125" style="67" customWidth="1"/>
    <col min="2309" max="2312" width="5.109375" style="67" customWidth="1"/>
    <col min="2313" max="2313" width="8.5546875" style="67" customWidth="1"/>
    <col min="2314" max="2314" width="3.5546875" style="67" customWidth="1"/>
    <col min="2315" max="2315" width="0" style="67" hidden="1" customWidth="1"/>
    <col min="2316" max="2558" width="9.109375" style="67"/>
    <col min="2559" max="2559" width="5.5546875" style="67" customWidth="1"/>
    <col min="2560" max="2560" width="3.109375" style="67" customWidth="1"/>
    <col min="2561" max="2562" width="11.88671875" style="67" customWidth="1"/>
    <col min="2563" max="2563" width="9" style="67" customWidth="1"/>
    <col min="2564" max="2564" width="6.33203125" style="67" customWidth="1"/>
    <col min="2565" max="2568" width="5.109375" style="67" customWidth="1"/>
    <col min="2569" max="2569" width="8.5546875" style="67" customWidth="1"/>
    <col min="2570" max="2570" width="3.5546875" style="67" customWidth="1"/>
    <col min="2571" max="2571" width="0" style="67" hidden="1" customWidth="1"/>
    <col min="2572" max="2814" width="9.109375" style="67"/>
    <col min="2815" max="2815" width="5.5546875" style="67" customWidth="1"/>
    <col min="2816" max="2816" width="3.109375" style="67" customWidth="1"/>
    <col min="2817" max="2818" width="11.88671875" style="67" customWidth="1"/>
    <col min="2819" max="2819" width="9" style="67" customWidth="1"/>
    <col min="2820" max="2820" width="6.33203125" style="67" customWidth="1"/>
    <col min="2821" max="2824" width="5.109375" style="67" customWidth="1"/>
    <col min="2825" max="2825" width="8.5546875" style="67" customWidth="1"/>
    <col min="2826" max="2826" width="3.5546875" style="67" customWidth="1"/>
    <col min="2827" max="2827" width="0" style="67" hidden="1" customWidth="1"/>
    <col min="2828" max="3070" width="9.109375" style="67"/>
    <col min="3071" max="3071" width="5.5546875" style="67" customWidth="1"/>
    <col min="3072" max="3072" width="3.109375" style="67" customWidth="1"/>
    <col min="3073" max="3074" width="11.88671875" style="67" customWidth="1"/>
    <col min="3075" max="3075" width="9" style="67" customWidth="1"/>
    <col min="3076" max="3076" width="6.33203125" style="67" customWidth="1"/>
    <col min="3077" max="3080" width="5.109375" style="67" customWidth="1"/>
    <col min="3081" max="3081" width="8.5546875" style="67" customWidth="1"/>
    <col min="3082" max="3082" width="3.5546875" style="67" customWidth="1"/>
    <col min="3083" max="3083" width="0" style="67" hidden="1" customWidth="1"/>
    <col min="3084" max="3326" width="9.109375" style="67"/>
    <col min="3327" max="3327" width="5.5546875" style="67" customWidth="1"/>
    <col min="3328" max="3328" width="3.109375" style="67" customWidth="1"/>
    <col min="3329" max="3330" width="11.88671875" style="67" customWidth="1"/>
    <col min="3331" max="3331" width="9" style="67" customWidth="1"/>
    <col min="3332" max="3332" width="6.33203125" style="67" customWidth="1"/>
    <col min="3333" max="3336" width="5.109375" style="67" customWidth="1"/>
    <col min="3337" max="3337" width="8.5546875" style="67" customWidth="1"/>
    <col min="3338" max="3338" width="3.5546875" style="67" customWidth="1"/>
    <col min="3339" max="3339" width="0" style="67" hidden="1" customWidth="1"/>
    <col min="3340" max="3582" width="9.109375" style="67"/>
    <col min="3583" max="3583" width="5.5546875" style="67" customWidth="1"/>
    <col min="3584" max="3584" width="3.109375" style="67" customWidth="1"/>
    <col min="3585" max="3586" width="11.88671875" style="67" customWidth="1"/>
    <col min="3587" max="3587" width="9" style="67" customWidth="1"/>
    <col min="3588" max="3588" width="6.33203125" style="67" customWidth="1"/>
    <col min="3589" max="3592" width="5.109375" style="67" customWidth="1"/>
    <col min="3593" max="3593" width="8.5546875" style="67" customWidth="1"/>
    <col min="3594" max="3594" width="3.5546875" style="67" customWidth="1"/>
    <col min="3595" max="3595" width="0" style="67" hidden="1" customWidth="1"/>
    <col min="3596" max="3838" width="9.109375" style="67"/>
    <col min="3839" max="3839" width="5.5546875" style="67" customWidth="1"/>
    <col min="3840" max="3840" width="3.109375" style="67" customWidth="1"/>
    <col min="3841" max="3842" width="11.88671875" style="67" customWidth="1"/>
    <col min="3843" max="3843" width="9" style="67" customWidth="1"/>
    <col min="3844" max="3844" width="6.33203125" style="67" customWidth="1"/>
    <col min="3845" max="3848" width="5.109375" style="67" customWidth="1"/>
    <col min="3849" max="3849" width="8.5546875" style="67" customWidth="1"/>
    <col min="3850" max="3850" width="3.5546875" style="67" customWidth="1"/>
    <col min="3851" max="3851" width="0" style="67" hidden="1" customWidth="1"/>
    <col min="3852" max="4094" width="9.109375" style="67"/>
    <col min="4095" max="4095" width="5.5546875" style="67" customWidth="1"/>
    <col min="4096" max="4096" width="3.109375" style="67" customWidth="1"/>
    <col min="4097" max="4098" width="11.88671875" style="67" customWidth="1"/>
    <col min="4099" max="4099" width="9" style="67" customWidth="1"/>
    <col min="4100" max="4100" width="6.33203125" style="67" customWidth="1"/>
    <col min="4101" max="4104" width="5.109375" style="67" customWidth="1"/>
    <col min="4105" max="4105" width="8.5546875" style="67" customWidth="1"/>
    <col min="4106" max="4106" width="3.5546875" style="67" customWidth="1"/>
    <col min="4107" max="4107" width="0" style="67" hidden="1" customWidth="1"/>
    <col min="4108" max="4350" width="9.109375" style="67"/>
    <col min="4351" max="4351" width="5.5546875" style="67" customWidth="1"/>
    <col min="4352" max="4352" width="3.109375" style="67" customWidth="1"/>
    <col min="4353" max="4354" width="11.88671875" style="67" customWidth="1"/>
    <col min="4355" max="4355" width="9" style="67" customWidth="1"/>
    <col min="4356" max="4356" width="6.33203125" style="67" customWidth="1"/>
    <col min="4357" max="4360" width="5.109375" style="67" customWidth="1"/>
    <col min="4361" max="4361" width="8.5546875" style="67" customWidth="1"/>
    <col min="4362" max="4362" width="3.5546875" style="67" customWidth="1"/>
    <col min="4363" max="4363" width="0" style="67" hidden="1" customWidth="1"/>
    <col min="4364" max="4606" width="9.109375" style="67"/>
    <col min="4607" max="4607" width="5.5546875" style="67" customWidth="1"/>
    <col min="4608" max="4608" width="3.109375" style="67" customWidth="1"/>
    <col min="4609" max="4610" width="11.88671875" style="67" customWidth="1"/>
    <col min="4611" max="4611" width="9" style="67" customWidth="1"/>
    <col min="4612" max="4612" width="6.33203125" style="67" customWidth="1"/>
    <col min="4613" max="4616" width="5.109375" style="67" customWidth="1"/>
    <col min="4617" max="4617" width="8.5546875" style="67" customWidth="1"/>
    <col min="4618" max="4618" width="3.5546875" style="67" customWidth="1"/>
    <col min="4619" max="4619" width="0" style="67" hidden="1" customWidth="1"/>
    <col min="4620" max="4862" width="9.109375" style="67"/>
    <col min="4863" max="4863" width="5.5546875" style="67" customWidth="1"/>
    <col min="4864" max="4864" width="3.109375" style="67" customWidth="1"/>
    <col min="4865" max="4866" width="11.88671875" style="67" customWidth="1"/>
    <col min="4867" max="4867" width="9" style="67" customWidth="1"/>
    <col min="4868" max="4868" width="6.33203125" style="67" customWidth="1"/>
    <col min="4869" max="4872" width="5.109375" style="67" customWidth="1"/>
    <col min="4873" max="4873" width="8.5546875" style="67" customWidth="1"/>
    <col min="4874" max="4874" width="3.5546875" style="67" customWidth="1"/>
    <col min="4875" max="4875" width="0" style="67" hidden="1" customWidth="1"/>
    <col min="4876" max="5118" width="9.109375" style="67"/>
    <col min="5119" max="5119" width="5.5546875" style="67" customWidth="1"/>
    <col min="5120" max="5120" width="3.109375" style="67" customWidth="1"/>
    <col min="5121" max="5122" width="11.88671875" style="67" customWidth="1"/>
    <col min="5123" max="5123" width="9" style="67" customWidth="1"/>
    <col min="5124" max="5124" width="6.33203125" style="67" customWidth="1"/>
    <col min="5125" max="5128" width="5.109375" style="67" customWidth="1"/>
    <col min="5129" max="5129" width="8.5546875" style="67" customWidth="1"/>
    <col min="5130" max="5130" width="3.5546875" style="67" customWidth="1"/>
    <col min="5131" max="5131" width="0" style="67" hidden="1" customWidth="1"/>
    <col min="5132" max="5374" width="9.109375" style="67"/>
    <col min="5375" max="5375" width="5.5546875" style="67" customWidth="1"/>
    <col min="5376" max="5376" width="3.109375" style="67" customWidth="1"/>
    <col min="5377" max="5378" width="11.88671875" style="67" customWidth="1"/>
    <col min="5379" max="5379" width="9" style="67" customWidth="1"/>
    <col min="5380" max="5380" width="6.33203125" style="67" customWidth="1"/>
    <col min="5381" max="5384" width="5.109375" style="67" customWidth="1"/>
    <col min="5385" max="5385" width="8.5546875" style="67" customWidth="1"/>
    <col min="5386" max="5386" width="3.5546875" style="67" customWidth="1"/>
    <col min="5387" max="5387" width="0" style="67" hidden="1" customWidth="1"/>
    <col min="5388" max="5630" width="9.109375" style="67"/>
    <col min="5631" max="5631" width="5.5546875" style="67" customWidth="1"/>
    <col min="5632" max="5632" width="3.109375" style="67" customWidth="1"/>
    <col min="5633" max="5634" width="11.88671875" style="67" customWidth="1"/>
    <col min="5635" max="5635" width="9" style="67" customWidth="1"/>
    <col min="5636" max="5636" width="6.33203125" style="67" customWidth="1"/>
    <col min="5637" max="5640" width="5.109375" style="67" customWidth="1"/>
    <col min="5641" max="5641" width="8.5546875" style="67" customWidth="1"/>
    <col min="5642" max="5642" width="3.5546875" style="67" customWidth="1"/>
    <col min="5643" max="5643" width="0" style="67" hidden="1" customWidth="1"/>
    <col min="5644" max="5886" width="9.109375" style="67"/>
    <col min="5887" max="5887" width="5.5546875" style="67" customWidth="1"/>
    <col min="5888" max="5888" width="3.109375" style="67" customWidth="1"/>
    <col min="5889" max="5890" width="11.88671875" style="67" customWidth="1"/>
    <col min="5891" max="5891" width="9" style="67" customWidth="1"/>
    <col min="5892" max="5892" width="6.33203125" style="67" customWidth="1"/>
    <col min="5893" max="5896" width="5.109375" style="67" customWidth="1"/>
    <col min="5897" max="5897" width="8.5546875" style="67" customWidth="1"/>
    <col min="5898" max="5898" width="3.5546875" style="67" customWidth="1"/>
    <col min="5899" max="5899" width="0" style="67" hidden="1" customWidth="1"/>
    <col min="5900" max="6142" width="9.109375" style="67"/>
    <col min="6143" max="6143" width="5.5546875" style="67" customWidth="1"/>
    <col min="6144" max="6144" width="3.109375" style="67" customWidth="1"/>
    <col min="6145" max="6146" width="11.88671875" style="67" customWidth="1"/>
    <col min="6147" max="6147" width="9" style="67" customWidth="1"/>
    <col min="6148" max="6148" width="6.33203125" style="67" customWidth="1"/>
    <col min="6149" max="6152" width="5.109375" style="67" customWidth="1"/>
    <col min="6153" max="6153" width="8.5546875" style="67" customWidth="1"/>
    <col min="6154" max="6154" width="3.5546875" style="67" customWidth="1"/>
    <col min="6155" max="6155" width="0" style="67" hidden="1" customWidth="1"/>
    <col min="6156" max="6398" width="9.109375" style="67"/>
    <col min="6399" max="6399" width="5.5546875" style="67" customWidth="1"/>
    <col min="6400" max="6400" width="3.109375" style="67" customWidth="1"/>
    <col min="6401" max="6402" width="11.88671875" style="67" customWidth="1"/>
    <col min="6403" max="6403" width="9" style="67" customWidth="1"/>
    <col min="6404" max="6404" width="6.33203125" style="67" customWidth="1"/>
    <col min="6405" max="6408" width="5.109375" style="67" customWidth="1"/>
    <col min="6409" max="6409" width="8.5546875" style="67" customWidth="1"/>
    <col min="6410" max="6410" width="3.5546875" style="67" customWidth="1"/>
    <col min="6411" max="6411" width="0" style="67" hidden="1" customWidth="1"/>
    <col min="6412" max="6654" width="9.109375" style="67"/>
    <col min="6655" max="6655" width="5.5546875" style="67" customWidth="1"/>
    <col min="6656" max="6656" width="3.109375" style="67" customWidth="1"/>
    <col min="6657" max="6658" width="11.88671875" style="67" customWidth="1"/>
    <col min="6659" max="6659" width="9" style="67" customWidth="1"/>
    <col min="6660" max="6660" width="6.33203125" style="67" customWidth="1"/>
    <col min="6661" max="6664" width="5.109375" style="67" customWidth="1"/>
    <col min="6665" max="6665" width="8.5546875" style="67" customWidth="1"/>
    <col min="6666" max="6666" width="3.5546875" style="67" customWidth="1"/>
    <col min="6667" max="6667" width="0" style="67" hidden="1" customWidth="1"/>
    <col min="6668" max="6910" width="9.109375" style="67"/>
    <col min="6911" max="6911" width="5.5546875" style="67" customWidth="1"/>
    <col min="6912" max="6912" width="3.109375" style="67" customWidth="1"/>
    <col min="6913" max="6914" width="11.88671875" style="67" customWidth="1"/>
    <col min="6915" max="6915" width="9" style="67" customWidth="1"/>
    <col min="6916" max="6916" width="6.33203125" style="67" customWidth="1"/>
    <col min="6917" max="6920" width="5.109375" style="67" customWidth="1"/>
    <col min="6921" max="6921" width="8.5546875" style="67" customWidth="1"/>
    <col min="6922" max="6922" width="3.5546875" style="67" customWidth="1"/>
    <col min="6923" max="6923" width="0" style="67" hidden="1" customWidth="1"/>
    <col min="6924" max="7166" width="9.109375" style="67"/>
    <col min="7167" max="7167" width="5.5546875" style="67" customWidth="1"/>
    <col min="7168" max="7168" width="3.109375" style="67" customWidth="1"/>
    <col min="7169" max="7170" width="11.88671875" style="67" customWidth="1"/>
    <col min="7171" max="7171" width="9" style="67" customWidth="1"/>
    <col min="7172" max="7172" width="6.33203125" style="67" customWidth="1"/>
    <col min="7173" max="7176" width="5.109375" style="67" customWidth="1"/>
    <col min="7177" max="7177" width="8.5546875" style="67" customWidth="1"/>
    <col min="7178" max="7178" width="3.5546875" style="67" customWidth="1"/>
    <col min="7179" max="7179" width="0" style="67" hidden="1" customWidth="1"/>
    <col min="7180" max="7422" width="9.109375" style="67"/>
    <col min="7423" max="7423" width="5.5546875" style="67" customWidth="1"/>
    <col min="7424" max="7424" width="3.109375" style="67" customWidth="1"/>
    <col min="7425" max="7426" width="11.88671875" style="67" customWidth="1"/>
    <col min="7427" max="7427" width="9" style="67" customWidth="1"/>
    <col min="7428" max="7428" width="6.33203125" style="67" customWidth="1"/>
    <col min="7429" max="7432" width="5.109375" style="67" customWidth="1"/>
    <col min="7433" max="7433" width="8.5546875" style="67" customWidth="1"/>
    <col min="7434" max="7434" width="3.5546875" style="67" customWidth="1"/>
    <col min="7435" max="7435" width="0" style="67" hidden="1" customWidth="1"/>
    <col min="7436" max="7678" width="9.109375" style="67"/>
    <col min="7679" max="7679" width="5.5546875" style="67" customWidth="1"/>
    <col min="7680" max="7680" width="3.109375" style="67" customWidth="1"/>
    <col min="7681" max="7682" width="11.88671875" style="67" customWidth="1"/>
    <col min="7683" max="7683" width="9" style="67" customWidth="1"/>
    <col min="7684" max="7684" width="6.33203125" style="67" customWidth="1"/>
    <col min="7685" max="7688" width="5.109375" style="67" customWidth="1"/>
    <col min="7689" max="7689" width="8.5546875" style="67" customWidth="1"/>
    <col min="7690" max="7690" width="3.5546875" style="67" customWidth="1"/>
    <col min="7691" max="7691" width="0" style="67" hidden="1" customWidth="1"/>
    <col min="7692" max="7934" width="9.109375" style="67"/>
    <col min="7935" max="7935" width="5.5546875" style="67" customWidth="1"/>
    <col min="7936" max="7936" width="3.109375" style="67" customWidth="1"/>
    <col min="7937" max="7938" width="11.88671875" style="67" customWidth="1"/>
    <col min="7939" max="7939" width="9" style="67" customWidth="1"/>
    <col min="7940" max="7940" width="6.33203125" style="67" customWidth="1"/>
    <col min="7941" max="7944" width="5.109375" style="67" customWidth="1"/>
    <col min="7945" max="7945" width="8.5546875" style="67" customWidth="1"/>
    <col min="7946" max="7946" width="3.5546875" style="67" customWidth="1"/>
    <col min="7947" max="7947" width="0" style="67" hidden="1" customWidth="1"/>
    <col min="7948" max="8190" width="9.109375" style="67"/>
    <col min="8191" max="8191" width="5.5546875" style="67" customWidth="1"/>
    <col min="8192" max="8192" width="3.109375" style="67" customWidth="1"/>
    <col min="8193" max="8194" width="11.88671875" style="67" customWidth="1"/>
    <col min="8195" max="8195" width="9" style="67" customWidth="1"/>
    <col min="8196" max="8196" width="6.33203125" style="67" customWidth="1"/>
    <col min="8197" max="8200" width="5.109375" style="67" customWidth="1"/>
    <col min="8201" max="8201" width="8.5546875" style="67" customWidth="1"/>
    <col min="8202" max="8202" width="3.5546875" style="67" customWidth="1"/>
    <col min="8203" max="8203" width="0" style="67" hidden="1" customWidth="1"/>
    <col min="8204" max="8446" width="9.109375" style="67"/>
    <col min="8447" max="8447" width="5.5546875" style="67" customWidth="1"/>
    <col min="8448" max="8448" width="3.109375" style="67" customWidth="1"/>
    <col min="8449" max="8450" width="11.88671875" style="67" customWidth="1"/>
    <col min="8451" max="8451" width="9" style="67" customWidth="1"/>
    <col min="8452" max="8452" width="6.33203125" style="67" customWidth="1"/>
    <col min="8453" max="8456" width="5.109375" style="67" customWidth="1"/>
    <col min="8457" max="8457" width="8.5546875" style="67" customWidth="1"/>
    <col min="8458" max="8458" width="3.5546875" style="67" customWidth="1"/>
    <col min="8459" max="8459" width="0" style="67" hidden="1" customWidth="1"/>
    <col min="8460" max="8702" width="9.109375" style="67"/>
    <col min="8703" max="8703" width="5.5546875" style="67" customWidth="1"/>
    <col min="8704" max="8704" width="3.109375" style="67" customWidth="1"/>
    <col min="8705" max="8706" width="11.88671875" style="67" customWidth="1"/>
    <col min="8707" max="8707" width="9" style="67" customWidth="1"/>
    <col min="8708" max="8708" width="6.33203125" style="67" customWidth="1"/>
    <col min="8709" max="8712" width="5.109375" style="67" customWidth="1"/>
    <col min="8713" max="8713" width="8.5546875" style="67" customWidth="1"/>
    <col min="8714" max="8714" width="3.5546875" style="67" customWidth="1"/>
    <col min="8715" max="8715" width="0" style="67" hidden="1" customWidth="1"/>
    <col min="8716" max="8958" width="9.109375" style="67"/>
    <col min="8959" max="8959" width="5.5546875" style="67" customWidth="1"/>
    <col min="8960" max="8960" width="3.109375" style="67" customWidth="1"/>
    <col min="8961" max="8962" width="11.88671875" style="67" customWidth="1"/>
    <col min="8963" max="8963" width="9" style="67" customWidth="1"/>
    <col min="8964" max="8964" width="6.33203125" style="67" customWidth="1"/>
    <col min="8965" max="8968" width="5.109375" style="67" customWidth="1"/>
    <col min="8969" max="8969" width="8.5546875" style="67" customWidth="1"/>
    <col min="8970" max="8970" width="3.5546875" style="67" customWidth="1"/>
    <col min="8971" max="8971" width="0" style="67" hidden="1" customWidth="1"/>
    <col min="8972" max="9214" width="9.109375" style="67"/>
    <col min="9215" max="9215" width="5.5546875" style="67" customWidth="1"/>
    <col min="9216" max="9216" width="3.109375" style="67" customWidth="1"/>
    <col min="9217" max="9218" width="11.88671875" style="67" customWidth="1"/>
    <col min="9219" max="9219" width="9" style="67" customWidth="1"/>
    <col min="9220" max="9220" width="6.33203125" style="67" customWidth="1"/>
    <col min="9221" max="9224" width="5.109375" style="67" customWidth="1"/>
    <col min="9225" max="9225" width="8.5546875" style="67" customWidth="1"/>
    <col min="9226" max="9226" width="3.5546875" style="67" customWidth="1"/>
    <col min="9227" max="9227" width="0" style="67" hidden="1" customWidth="1"/>
    <col min="9228" max="9470" width="9.109375" style="67"/>
    <col min="9471" max="9471" width="5.5546875" style="67" customWidth="1"/>
    <col min="9472" max="9472" width="3.109375" style="67" customWidth="1"/>
    <col min="9473" max="9474" width="11.88671875" style="67" customWidth="1"/>
    <col min="9475" max="9475" width="9" style="67" customWidth="1"/>
    <col min="9476" max="9476" width="6.33203125" style="67" customWidth="1"/>
    <col min="9477" max="9480" width="5.109375" style="67" customWidth="1"/>
    <col min="9481" max="9481" width="8.5546875" style="67" customWidth="1"/>
    <col min="9482" max="9482" width="3.5546875" style="67" customWidth="1"/>
    <col min="9483" max="9483" width="0" style="67" hidden="1" customWidth="1"/>
    <col min="9484" max="9726" width="9.109375" style="67"/>
    <col min="9727" max="9727" width="5.5546875" style="67" customWidth="1"/>
    <col min="9728" max="9728" width="3.109375" style="67" customWidth="1"/>
    <col min="9729" max="9730" width="11.88671875" style="67" customWidth="1"/>
    <col min="9731" max="9731" width="9" style="67" customWidth="1"/>
    <col min="9732" max="9732" width="6.33203125" style="67" customWidth="1"/>
    <col min="9733" max="9736" width="5.109375" style="67" customWidth="1"/>
    <col min="9737" max="9737" width="8.5546875" style="67" customWidth="1"/>
    <col min="9738" max="9738" width="3.5546875" style="67" customWidth="1"/>
    <col min="9739" max="9739" width="0" style="67" hidden="1" customWidth="1"/>
    <col min="9740" max="9982" width="9.109375" style="67"/>
    <col min="9983" max="9983" width="5.5546875" style="67" customWidth="1"/>
    <col min="9984" max="9984" width="3.109375" style="67" customWidth="1"/>
    <col min="9985" max="9986" width="11.88671875" style="67" customWidth="1"/>
    <col min="9987" max="9987" width="9" style="67" customWidth="1"/>
    <col min="9988" max="9988" width="6.33203125" style="67" customWidth="1"/>
    <col min="9989" max="9992" width="5.109375" style="67" customWidth="1"/>
    <col min="9993" max="9993" width="8.5546875" style="67" customWidth="1"/>
    <col min="9994" max="9994" width="3.5546875" style="67" customWidth="1"/>
    <col min="9995" max="9995" width="0" style="67" hidden="1" customWidth="1"/>
    <col min="9996" max="10238" width="9.109375" style="67"/>
    <col min="10239" max="10239" width="5.5546875" style="67" customWidth="1"/>
    <col min="10240" max="10240" width="3.109375" style="67" customWidth="1"/>
    <col min="10241" max="10242" width="11.88671875" style="67" customWidth="1"/>
    <col min="10243" max="10243" width="9" style="67" customWidth="1"/>
    <col min="10244" max="10244" width="6.33203125" style="67" customWidth="1"/>
    <col min="10245" max="10248" width="5.109375" style="67" customWidth="1"/>
    <col min="10249" max="10249" width="8.5546875" style="67" customWidth="1"/>
    <col min="10250" max="10250" width="3.5546875" style="67" customWidth="1"/>
    <col min="10251" max="10251" width="0" style="67" hidden="1" customWidth="1"/>
    <col min="10252" max="10494" width="9.109375" style="67"/>
    <col min="10495" max="10495" width="5.5546875" style="67" customWidth="1"/>
    <col min="10496" max="10496" width="3.109375" style="67" customWidth="1"/>
    <col min="10497" max="10498" width="11.88671875" style="67" customWidth="1"/>
    <col min="10499" max="10499" width="9" style="67" customWidth="1"/>
    <col min="10500" max="10500" width="6.33203125" style="67" customWidth="1"/>
    <col min="10501" max="10504" width="5.109375" style="67" customWidth="1"/>
    <col min="10505" max="10505" width="8.5546875" style="67" customWidth="1"/>
    <col min="10506" max="10506" width="3.5546875" style="67" customWidth="1"/>
    <col min="10507" max="10507" width="0" style="67" hidden="1" customWidth="1"/>
    <col min="10508" max="10750" width="9.109375" style="67"/>
    <col min="10751" max="10751" width="5.5546875" style="67" customWidth="1"/>
    <col min="10752" max="10752" width="3.109375" style="67" customWidth="1"/>
    <col min="10753" max="10754" width="11.88671875" style="67" customWidth="1"/>
    <col min="10755" max="10755" width="9" style="67" customWidth="1"/>
    <col min="10756" max="10756" width="6.33203125" style="67" customWidth="1"/>
    <col min="10757" max="10760" width="5.109375" style="67" customWidth="1"/>
    <col min="10761" max="10761" width="8.5546875" style="67" customWidth="1"/>
    <col min="10762" max="10762" width="3.5546875" style="67" customWidth="1"/>
    <col min="10763" max="10763" width="0" style="67" hidden="1" customWidth="1"/>
    <col min="10764" max="11006" width="9.109375" style="67"/>
    <col min="11007" max="11007" width="5.5546875" style="67" customWidth="1"/>
    <col min="11008" max="11008" width="3.109375" style="67" customWidth="1"/>
    <col min="11009" max="11010" width="11.88671875" style="67" customWidth="1"/>
    <col min="11011" max="11011" width="9" style="67" customWidth="1"/>
    <col min="11012" max="11012" width="6.33203125" style="67" customWidth="1"/>
    <col min="11013" max="11016" width="5.109375" style="67" customWidth="1"/>
    <col min="11017" max="11017" width="8.5546875" style="67" customWidth="1"/>
    <col min="11018" max="11018" width="3.5546875" style="67" customWidth="1"/>
    <col min="11019" max="11019" width="0" style="67" hidden="1" customWidth="1"/>
    <col min="11020" max="11262" width="9.109375" style="67"/>
    <col min="11263" max="11263" width="5.5546875" style="67" customWidth="1"/>
    <col min="11264" max="11264" width="3.109375" style="67" customWidth="1"/>
    <col min="11265" max="11266" width="11.88671875" style="67" customWidth="1"/>
    <col min="11267" max="11267" width="9" style="67" customWidth="1"/>
    <col min="11268" max="11268" width="6.33203125" style="67" customWidth="1"/>
    <col min="11269" max="11272" width="5.109375" style="67" customWidth="1"/>
    <col min="11273" max="11273" width="8.5546875" style="67" customWidth="1"/>
    <col min="11274" max="11274" width="3.5546875" style="67" customWidth="1"/>
    <col min="11275" max="11275" width="0" style="67" hidden="1" customWidth="1"/>
    <col min="11276" max="11518" width="9.109375" style="67"/>
    <col min="11519" max="11519" width="5.5546875" style="67" customWidth="1"/>
    <col min="11520" max="11520" width="3.109375" style="67" customWidth="1"/>
    <col min="11521" max="11522" width="11.88671875" style="67" customWidth="1"/>
    <col min="11523" max="11523" width="9" style="67" customWidth="1"/>
    <col min="11524" max="11524" width="6.33203125" style="67" customWidth="1"/>
    <col min="11525" max="11528" width="5.109375" style="67" customWidth="1"/>
    <col min="11529" max="11529" width="8.5546875" style="67" customWidth="1"/>
    <col min="11530" max="11530" width="3.5546875" style="67" customWidth="1"/>
    <col min="11531" max="11531" width="0" style="67" hidden="1" customWidth="1"/>
    <col min="11532" max="11774" width="9.109375" style="67"/>
    <col min="11775" max="11775" width="5.5546875" style="67" customWidth="1"/>
    <col min="11776" max="11776" width="3.109375" style="67" customWidth="1"/>
    <col min="11777" max="11778" width="11.88671875" style="67" customWidth="1"/>
    <col min="11779" max="11779" width="9" style="67" customWidth="1"/>
    <col min="11780" max="11780" width="6.33203125" style="67" customWidth="1"/>
    <col min="11781" max="11784" width="5.109375" style="67" customWidth="1"/>
    <col min="11785" max="11785" width="8.5546875" style="67" customWidth="1"/>
    <col min="11786" max="11786" width="3.5546875" style="67" customWidth="1"/>
    <col min="11787" max="11787" width="0" style="67" hidden="1" customWidth="1"/>
    <col min="11788" max="12030" width="9.109375" style="67"/>
    <col min="12031" max="12031" width="5.5546875" style="67" customWidth="1"/>
    <col min="12032" max="12032" width="3.109375" style="67" customWidth="1"/>
    <col min="12033" max="12034" width="11.88671875" style="67" customWidth="1"/>
    <col min="12035" max="12035" width="9" style="67" customWidth="1"/>
    <col min="12036" max="12036" width="6.33203125" style="67" customWidth="1"/>
    <col min="12037" max="12040" width="5.109375" style="67" customWidth="1"/>
    <col min="12041" max="12041" width="8.5546875" style="67" customWidth="1"/>
    <col min="12042" max="12042" width="3.5546875" style="67" customWidth="1"/>
    <col min="12043" max="12043" width="0" style="67" hidden="1" customWidth="1"/>
    <col min="12044" max="12286" width="9.109375" style="67"/>
    <col min="12287" max="12287" width="5.5546875" style="67" customWidth="1"/>
    <col min="12288" max="12288" width="3.109375" style="67" customWidth="1"/>
    <col min="12289" max="12290" width="11.88671875" style="67" customWidth="1"/>
    <col min="12291" max="12291" width="9" style="67" customWidth="1"/>
    <col min="12292" max="12292" width="6.33203125" style="67" customWidth="1"/>
    <col min="12293" max="12296" width="5.109375" style="67" customWidth="1"/>
    <col min="12297" max="12297" width="8.5546875" style="67" customWidth="1"/>
    <col min="12298" max="12298" width="3.5546875" style="67" customWidth="1"/>
    <col min="12299" max="12299" width="0" style="67" hidden="1" customWidth="1"/>
    <col min="12300" max="12542" width="9.109375" style="67"/>
    <col min="12543" max="12543" width="5.5546875" style="67" customWidth="1"/>
    <col min="12544" max="12544" width="3.109375" style="67" customWidth="1"/>
    <col min="12545" max="12546" width="11.88671875" style="67" customWidth="1"/>
    <col min="12547" max="12547" width="9" style="67" customWidth="1"/>
    <col min="12548" max="12548" width="6.33203125" style="67" customWidth="1"/>
    <col min="12549" max="12552" width="5.109375" style="67" customWidth="1"/>
    <col min="12553" max="12553" width="8.5546875" style="67" customWidth="1"/>
    <col min="12554" max="12554" width="3.5546875" style="67" customWidth="1"/>
    <col min="12555" max="12555" width="0" style="67" hidden="1" customWidth="1"/>
    <col min="12556" max="12798" width="9.109375" style="67"/>
    <col min="12799" max="12799" width="5.5546875" style="67" customWidth="1"/>
    <col min="12800" max="12800" width="3.109375" style="67" customWidth="1"/>
    <col min="12801" max="12802" width="11.88671875" style="67" customWidth="1"/>
    <col min="12803" max="12803" width="9" style="67" customWidth="1"/>
    <col min="12804" max="12804" width="6.33203125" style="67" customWidth="1"/>
    <col min="12805" max="12808" width="5.109375" style="67" customWidth="1"/>
    <col min="12809" max="12809" width="8.5546875" style="67" customWidth="1"/>
    <col min="12810" max="12810" width="3.5546875" style="67" customWidth="1"/>
    <col min="12811" max="12811" width="0" style="67" hidden="1" customWidth="1"/>
    <col min="12812" max="13054" width="9.109375" style="67"/>
    <col min="13055" max="13055" width="5.5546875" style="67" customWidth="1"/>
    <col min="13056" max="13056" width="3.109375" style="67" customWidth="1"/>
    <col min="13057" max="13058" width="11.88671875" style="67" customWidth="1"/>
    <col min="13059" max="13059" width="9" style="67" customWidth="1"/>
    <col min="13060" max="13060" width="6.33203125" style="67" customWidth="1"/>
    <col min="13061" max="13064" width="5.109375" style="67" customWidth="1"/>
    <col min="13065" max="13065" width="8.5546875" style="67" customWidth="1"/>
    <col min="13066" max="13066" width="3.5546875" style="67" customWidth="1"/>
    <col min="13067" max="13067" width="0" style="67" hidden="1" customWidth="1"/>
    <col min="13068" max="13310" width="9.109375" style="67"/>
    <col min="13311" max="13311" width="5.5546875" style="67" customWidth="1"/>
    <col min="13312" max="13312" width="3.109375" style="67" customWidth="1"/>
    <col min="13313" max="13314" width="11.88671875" style="67" customWidth="1"/>
    <col min="13315" max="13315" width="9" style="67" customWidth="1"/>
    <col min="13316" max="13316" width="6.33203125" style="67" customWidth="1"/>
    <col min="13317" max="13320" width="5.109375" style="67" customWidth="1"/>
    <col min="13321" max="13321" width="8.5546875" style="67" customWidth="1"/>
    <col min="13322" max="13322" width="3.5546875" style="67" customWidth="1"/>
    <col min="13323" max="13323" width="0" style="67" hidden="1" customWidth="1"/>
    <col min="13324" max="13566" width="9.109375" style="67"/>
    <col min="13567" max="13567" width="5.5546875" style="67" customWidth="1"/>
    <col min="13568" max="13568" width="3.109375" style="67" customWidth="1"/>
    <col min="13569" max="13570" width="11.88671875" style="67" customWidth="1"/>
    <col min="13571" max="13571" width="9" style="67" customWidth="1"/>
    <col min="13572" max="13572" width="6.33203125" style="67" customWidth="1"/>
    <col min="13573" max="13576" width="5.109375" style="67" customWidth="1"/>
    <col min="13577" max="13577" width="8.5546875" style="67" customWidth="1"/>
    <col min="13578" max="13578" width="3.5546875" style="67" customWidth="1"/>
    <col min="13579" max="13579" width="0" style="67" hidden="1" customWidth="1"/>
    <col min="13580" max="13822" width="9.109375" style="67"/>
    <col min="13823" max="13823" width="5.5546875" style="67" customWidth="1"/>
    <col min="13824" max="13824" width="3.109375" style="67" customWidth="1"/>
    <col min="13825" max="13826" width="11.88671875" style="67" customWidth="1"/>
    <col min="13827" max="13827" width="9" style="67" customWidth="1"/>
    <col min="13828" max="13828" width="6.33203125" style="67" customWidth="1"/>
    <col min="13829" max="13832" width="5.109375" style="67" customWidth="1"/>
    <col min="13833" max="13833" width="8.5546875" style="67" customWidth="1"/>
    <col min="13834" max="13834" width="3.5546875" style="67" customWidth="1"/>
    <col min="13835" max="13835" width="0" style="67" hidden="1" customWidth="1"/>
    <col min="13836" max="14078" width="9.109375" style="67"/>
    <col min="14079" max="14079" width="5.5546875" style="67" customWidth="1"/>
    <col min="14080" max="14080" width="3.109375" style="67" customWidth="1"/>
    <col min="14081" max="14082" width="11.88671875" style="67" customWidth="1"/>
    <col min="14083" max="14083" width="9" style="67" customWidth="1"/>
    <col min="14084" max="14084" width="6.33203125" style="67" customWidth="1"/>
    <col min="14085" max="14088" width="5.109375" style="67" customWidth="1"/>
    <col min="14089" max="14089" width="8.5546875" style="67" customWidth="1"/>
    <col min="14090" max="14090" width="3.5546875" style="67" customWidth="1"/>
    <col min="14091" max="14091" width="0" style="67" hidden="1" customWidth="1"/>
    <col min="14092" max="14334" width="9.109375" style="67"/>
    <col min="14335" max="14335" width="5.5546875" style="67" customWidth="1"/>
    <col min="14336" max="14336" width="3.109375" style="67" customWidth="1"/>
    <col min="14337" max="14338" width="11.88671875" style="67" customWidth="1"/>
    <col min="14339" max="14339" width="9" style="67" customWidth="1"/>
    <col min="14340" max="14340" width="6.33203125" style="67" customWidth="1"/>
    <col min="14341" max="14344" width="5.109375" style="67" customWidth="1"/>
    <col min="14345" max="14345" width="8.5546875" style="67" customWidth="1"/>
    <col min="14346" max="14346" width="3.5546875" style="67" customWidth="1"/>
    <col min="14347" max="14347" width="0" style="67" hidden="1" customWidth="1"/>
    <col min="14348" max="14590" width="9.109375" style="67"/>
    <col min="14591" max="14591" width="5.5546875" style="67" customWidth="1"/>
    <col min="14592" max="14592" width="3.109375" style="67" customWidth="1"/>
    <col min="14593" max="14594" width="11.88671875" style="67" customWidth="1"/>
    <col min="14595" max="14595" width="9" style="67" customWidth="1"/>
    <col min="14596" max="14596" width="6.33203125" style="67" customWidth="1"/>
    <col min="14597" max="14600" width="5.109375" style="67" customWidth="1"/>
    <col min="14601" max="14601" width="8.5546875" style="67" customWidth="1"/>
    <col min="14602" max="14602" width="3.5546875" style="67" customWidth="1"/>
    <col min="14603" max="14603" width="0" style="67" hidden="1" customWidth="1"/>
    <col min="14604" max="14846" width="9.109375" style="67"/>
    <col min="14847" max="14847" width="5.5546875" style="67" customWidth="1"/>
    <col min="14848" max="14848" width="3.109375" style="67" customWidth="1"/>
    <col min="14849" max="14850" width="11.88671875" style="67" customWidth="1"/>
    <col min="14851" max="14851" width="9" style="67" customWidth="1"/>
    <col min="14852" max="14852" width="6.33203125" style="67" customWidth="1"/>
    <col min="14853" max="14856" width="5.109375" style="67" customWidth="1"/>
    <col min="14857" max="14857" width="8.5546875" style="67" customWidth="1"/>
    <col min="14858" max="14858" width="3.5546875" style="67" customWidth="1"/>
    <col min="14859" max="14859" width="0" style="67" hidden="1" customWidth="1"/>
    <col min="14860" max="15102" width="9.109375" style="67"/>
    <col min="15103" max="15103" width="5.5546875" style="67" customWidth="1"/>
    <col min="15104" max="15104" width="3.109375" style="67" customWidth="1"/>
    <col min="15105" max="15106" width="11.88671875" style="67" customWidth="1"/>
    <col min="15107" max="15107" width="9" style="67" customWidth="1"/>
    <col min="15108" max="15108" width="6.33203125" style="67" customWidth="1"/>
    <col min="15109" max="15112" width="5.109375" style="67" customWidth="1"/>
    <col min="15113" max="15113" width="8.5546875" style="67" customWidth="1"/>
    <col min="15114" max="15114" width="3.5546875" style="67" customWidth="1"/>
    <col min="15115" max="15115" width="0" style="67" hidden="1" customWidth="1"/>
    <col min="15116" max="15358" width="9.109375" style="67"/>
    <col min="15359" max="15359" width="5.5546875" style="67" customWidth="1"/>
    <col min="15360" max="15360" width="3.109375" style="67" customWidth="1"/>
    <col min="15361" max="15362" width="11.88671875" style="67" customWidth="1"/>
    <col min="15363" max="15363" width="9" style="67" customWidth="1"/>
    <col min="15364" max="15364" width="6.33203125" style="67" customWidth="1"/>
    <col min="15365" max="15368" width="5.109375" style="67" customWidth="1"/>
    <col min="15369" max="15369" width="8.5546875" style="67" customWidth="1"/>
    <col min="15370" max="15370" width="3.5546875" style="67" customWidth="1"/>
    <col min="15371" max="15371" width="0" style="67" hidden="1" customWidth="1"/>
    <col min="15372" max="15614" width="9.109375" style="67"/>
    <col min="15615" max="15615" width="5.5546875" style="67" customWidth="1"/>
    <col min="15616" max="15616" width="3.109375" style="67" customWidth="1"/>
    <col min="15617" max="15618" width="11.88671875" style="67" customWidth="1"/>
    <col min="15619" max="15619" width="9" style="67" customWidth="1"/>
    <col min="15620" max="15620" width="6.33203125" style="67" customWidth="1"/>
    <col min="15621" max="15624" width="5.109375" style="67" customWidth="1"/>
    <col min="15625" max="15625" width="8.5546875" style="67" customWidth="1"/>
    <col min="15626" max="15626" width="3.5546875" style="67" customWidth="1"/>
    <col min="15627" max="15627" width="0" style="67" hidden="1" customWidth="1"/>
    <col min="15628" max="15870" width="9.109375" style="67"/>
    <col min="15871" max="15871" width="5.5546875" style="67" customWidth="1"/>
    <col min="15872" max="15872" width="3.109375" style="67" customWidth="1"/>
    <col min="15873" max="15874" width="11.88671875" style="67" customWidth="1"/>
    <col min="15875" max="15875" width="9" style="67" customWidth="1"/>
    <col min="15876" max="15876" width="6.33203125" style="67" customWidth="1"/>
    <col min="15877" max="15880" width="5.109375" style="67" customWidth="1"/>
    <col min="15881" max="15881" width="8.5546875" style="67" customWidth="1"/>
    <col min="15882" max="15882" width="3.5546875" style="67" customWidth="1"/>
    <col min="15883" max="15883" width="0" style="67" hidden="1" customWidth="1"/>
    <col min="15884" max="16126" width="9.109375" style="67"/>
    <col min="16127" max="16127" width="5.5546875" style="67" customWidth="1"/>
    <col min="16128" max="16128" width="3.109375" style="67" customWidth="1"/>
    <col min="16129" max="16130" width="11.88671875" style="67" customWidth="1"/>
    <col min="16131" max="16131" width="9" style="67" customWidth="1"/>
    <col min="16132" max="16132" width="6.33203125" style="67" customWidth="1"/>
    <col min="16133" max="16136" width="5.109375" style="67" customWidth="1"/>
    <col min="16137" max="16137" width="8.5546875" style="67" customWidth="1"/>
    <col min="16138" max="16138" width="3.5546875" style="67" customWidth="1"/>
    <col min="16139" max="16139" width="0" style="67" hidden="1" customWidth="1"/>
    <col min="16140" max="16384" width="9.109375" style="67"/>
  </cols>
  <sheetData>
    <row r="1" spans="2:14" ht="7.5" customHeight="1" x14ac:dyDescent="0.25"/>
    <row r="2" spans="2:14" ht="21" customHeight="1" x14ac:dyDescent="0.25">
      <c r="B2" s="188" t="s">
        <v>108</v>
      </c>
      <c r="C2" s="188"/>
      <c r="D2" s="188"/>
      <c r="E2" s="188"/>
      <c r="F2" s="188"/>
      <c r="G2" s="188"/>
      <c r="H2" s="188"/>
      <c r="I2" s="188"/>
    </row>
    <row r="3" spans="2:14" ht="15.75" customHeight="1" x14ac:dyDescent="0.25">
      <c r="B3" s="80" t="s">
        <v>111</v>
      </c>
      <c r="C3" s="81"/>
      <c r="D3" s="81"/>
      <c r="E3" s="81"/>
      <c r="F3" s="81"/>
      <c r="G3" s="81"/>
      <c r="H3" s="81"/>
      <c r="I3" s="81"/>
    </row>
    <row r="4" spans="2:14" ht="7.5" customHeight="1" x14ac:dyDescent="0.25">
      <c r="J4" s="68"/>
    </row>
    <row r="5" spans="2:14" ht="21" customHeight="1" x14ac:dyDescent="0.25">
      <c r="B5" s="162" t="s">
        <v>112</v>
      </c>
      <c r="C5" s="202" t="s">
        <v>99</v>
      </c>
      <c r="D5" s="165" t="s">
        <v>110</v>
      </c>
      <c r="E5" s="165" t="s">
        <v>100</v>
      </c>
      <c r="F5" s="165" t="s">
        <v>53</v>
      </c>
      <c r="G5" s="165" t="s">
        <v>101</v>
      </c>
      <c r="H5" s="165" t="s">
        <v>0</v>
      </c>
      <c r="I5" s="166" t="s">
        <v>97</v>
      </c>
      <c r="J5" s="68"/>
      <c r="K5" s="91"/>
      <c r="L5" s="164" t="s">
        <v>98</v>
      </c>
      <c r="M5" s="92"/>
      <c r="N5" s="91"/>
    </row>
    <row r="6" spans="2:14" ht="21" customHeight="1" x14ac:dyDescent="0.25">
      <c r="B6" s="79" t="s">
        <v>96</v>
      </c>
      <c r="C6" s="203"/>
      <c r="D6" s="78">
        <v>2022</v>
      </c>
      <c r="E6" s="78">
        <v>2</v>
      </c>
      <c r="F6" s="78">
        <v>12</v>
      </c>
      <c r="G6" s="78">
        <v>10</v>
      </c>
      <c r="H6" s="78">
        <v>0</v>
      </c>
      <c r="I6" s="78">
        <v>0</v>
      </c>
      <c r="J6" s="68"/>
      <c r="K6" s="91"/>
      <c r="L6" s="163">
        <f>DATE(D6,E6,F6)+TIME(G6,H6,0)-I6/24</f>
        <v>44604.416666666664</v>
      </c>
      <c r="M6" s="92"/>
      <c r="N6" s="91"/>
    </row>
    <row r="7" spans="2:14" ht="21" customHeight="1" x14ac:dyDescent="0.25">
      <c r="J7" s="68"/>
      <c r="K7" s="91"/>
      <c r="L7" s="93"/>
      <c r="M7" s="92"/>
      <c r="N7" s="91"/>
    </row>
    <row r="8" spans="2:14" ht="21" customHeight="1" x14ac:dyDescent="0.25">
      <c r="B8" s="162" t="s">
        <v>103</v>
      </c>
      <c r="C8" s="85"/>
      <c r="D8" s="189" t="s">
        <v>102</v>
      </c>
      <c r="E8" s="190"/>
      <c r="F8" s="193" t="s">
        <v>113</v>
      </c>
      <c r="G8" s="194"/>
      <c r="H8" s="90"/>
      <c r="I8" s="166" t="s">
        <v>97</v>
      </c>
      <c r="J8" s="68"/>
      <c r="K8" s="91"/>
      <c r="L8" s="92"/>
      <c r="M8" s="92"/>
      <c r="N8" s="91"/>
    </row>
    <row r="9" spans="2:14" ht="21" customHeight="1" x14ac:dyDescent="0.25">
      <c r="B9" s="79" t="s">
        <v>104</v>
      </c>
      <c r="C9" s="84"/>
      <c r="D9" s="191">
        <v>128</v>
      </c>
      <c r="E9" s="192"/>
      <c r="F9" s="195">
        <v>0.5</v>
      </c>
      <c r="G9" s="196"/>
      <c r="H9" s="86"/>
      <c r="I9" s="78">
        <v>1</v>
      </c>
      <c r="J9" s="68"/>
      <c r="K9" s="91"/>
      <c r="L9" s="92"/>
      <c r="M9" s="92"/>
      <c r="N9" s="91"/>
    </row>
    <row r="10" spans="2:14" ht="21" customHeight="1" x14ac:dyDescent="0.25">
      <c r="B10" s="73"/>
      <c r="C10" s="73"/>
      <c r="D10" s="71"/>
      <c r="E10" s="71"/>
      <c r="F10" s="72"/>
      <c r="G10" s="70"/>
      <c r="H10" s="74"/>
      <c r="I10" s="88"/>
      <c r="J10" s="68"/>
      <c r="K10" s="91"/>
      <c r="L10" s="94"/>
      <c r="M10" s="92"/>
      <c r="N10" s="91"/>
    </row>
    <row r="11" spans="2:14" ht="21" customHeight="1" x14ac:dyDescent="0.25">
      <c r="B11" s="165" t="s">
        <v>77</v>
      </c>
      <c r="C11" s="204" t="s">
        <v>109</v>
      </c>
      <c r="D11" s="204"/>
      <c r="E11" s="204"/>
      <c r="F11" s="204" t="s">
        <v>82</v>
      </c>
      <c r="G11" s="204"/>
      <c r="H11" s="204"/>
      <c r="I11" s="204"/>
      <c r="J11" s="68"/>
      <c r="K11" s="95"/>
      <c r="L11" s="92"/>
      <c r="M11" s="92"/>
      <c r="N11" s="91"/>
    </row>
    <row r="12" spans="2:14" ht="21" customHeight="1" x14ac:dyDescent="0.25">
      <c r="B12" s="76">
        <f>B13-$F$9</f>
        <v>4.5</v>
      </c>
      <c r="C12" s="75">
        <f t="shared" ref="C12:C18" si="0">$D$9/B12</f>
        <v>28.444444444444443</v>
      </c>
      <c r="D12" s="186" t="str">
        <f t="shared" ref="D12:D18" si="1">K12</f>
        <v>1 d 04:27</v>
      </c>
      <c r="E12" s="187"/>
      <c r="F12" s="200" t="str">
        <f>M12</f>
        <v>dddd, dd-mmm-yyyy</v>
      </c>
      <c r="G12" s="201"/>
      <c r="H12" s="201"/>
      <c r="I12" s="89">
        <f t="shared" ref="I12:I18" si="2">$L$6+C12/24+$I$9/24</f>
        <v>44605.643518518511</v>
      </c>
      <c r="J12" s="68"/>
      <c r="K12" s="96" t="str">
        <f t="shared" ref="K12:K18" si="3">CONCATENATE(ROUNDDOWN((C12)/24,0)," d ",TEXT(ROUNDDOWN((C12)-ROUNDDOWN((C12)/24,0)*24,0),"00"),":",TEXT(ROUNDUP((C12-(ROUNDDOWN((C12)/24,0))*24-(ROUNDDOWN((C12)-ROUNDDOWN((C12)/24,0)*24,0)))*60,0),"00"))</f>
        <v>1 d 04:27</v>
      </c>
      <c r="L12" s="92" t="str">
        <f t="shared" ref="L12:L18" si="4">TEXT($L$6+C12/24+$I$9/24,"dddd, dd-mmm-yyyy")</f>
        <v>dddd, dd-mmm-yyyy</v>
      </c>
      <c r="M12" s="92" t="str">
        <f>L12</f>
        <v>dddd, dd-mmm-yyyy</v>
      </c>
      <c r="N12" s="91"/>
    </row>
    <row r="13" spans="2:14" ht="21" customHeight="1" x14ac:dyDescent="0.25">
      <c r="B13" s="76">
        <f>B14-$F$9</f>
        <v>5</v>
      </c>
      <c r="C13" s="75">
        <f t="shared" si="0"/>
        <v>25.6</v>
      </c>
      <c r="D13" s="186" t="str">
        <f t="shared" si="1"/>
        <v>1 d 01:37</v>
      </c>
      <c r="E13" s="187"/>
      <c r="F13" s="200" t="str">
        <f t="shared" ref="F13:F18" si="5">M13</f>
        <v/>
      </c>
      <c r="G13" s="201"/>
      <c r="H13" s="201"/>
      <c r="I13" s="89">
        <f t="shared" si="2"/>
        <v>44605.524999999994</v>
      </c>
      <c r="J13" s="68"/>
      <c r="K13" s="96" t="str">
        <f t="shared" si="3"/>
        <v>1 d 01:37</v>
      </c>
      <c r="L13" s="92" t="str">
        <f t="shared" si="4"/>
        <v>dddd, dd-mmm-yyyy</v>
      </c>
      <c r="M13" s="92" t="str">
        <f t="shared" ref="M13:M18" si="6">IF(L13=L12,"",L13)</f>
        <v/>
      </c>
      <c r="N13" s="91"/>
    </row>
    <row r="14" spans="2:14" ht="21" customHeight="1" x14ac:dyDescent="0.25">
      <c r="B14" s="76">
        <f>B15-$F$9</f>
        <v>5.5</v>
      </c>
      <c r="C14" s="75">
        <f t="shared" si="0"/>
        <v>23.272727272727273</v>
      </c>
      <c r="D14" s="186" t="str">
        <f t="shared" si="1"/>
        <v>0 d 23:17</v>
      </c>
      <c r="E14" s="187"/>
      <c r="F14" s="200" t="str">
        <f t="shared" si="5"/>
        <v/>
      </c>
      <c r="G14" s="201"/>
      <c r="H14" s="201"/>
      <c r="I14" s="89">
        <f t="shared" si="2"/>
        <v>44605.428030303025</v>
      </c>
      <c r="J14" s="68"/>
      <c r="K14" s="96" t="str">
        <f t="shared" si="3"/>
        <v>0 d 23:17</v>
      </c>
      <c r="L14" s="92" t="str">
        <f t="shared" si="4"/>
        <v>dddd, dd-mmm-yyyy</v>
      </c>
      <c r="M14" s="92" t="str">
        <f t="shared" si="6"/>
        <v/>
      </c>
      <c r="N14" s="91"/>
    </row>
    <row r="15" spans="2:14" ht="21" customHeight="1" x14ac:dyDescent="0.25">
      <c r="B15" s="77">
        <v>6</v>
      </c>
      <c r="C15" s="75">
        <f t="shared" si="0"/>
        <v>21.333333333333332</v>
      </c>
      <c r="D15" s="186" t="str">
        <f t="shared" si="1"/>
        <v>0 d 21:20</v>
      </c>
      <c r="E15" s="187"/>
      <c r="F15" s="200" t="str">
        <f t="shared" si="5"/>
        <v/>
      </c>
      <c r="G15" s="201"/>
      <c r="H15" s="201"/>
      <c r="I15" s="89">
        <f t="shared" si="2"/>
        <v>44605.347222222219</v>
      </c>
      <c r="J15" s="68"/>
      <c r="K15" s="96" t="str">
        <f t="shared" si="3"/>
        <v>0 d 21:20</v>
      </c>
      <c r="L15" s="92" t="str">
        <f t="shared" si="4"/>
        <v>dddd, dd-mmm-yyyy</v>
      </c>
      <c r="M15" s="92" t="str">
        <f t="shared" si="6"/>
        <v/>
      </c>
      <c r="N15" s="91"/>
    </row>
    <row r="16" spans="2:14" ht="21" customHeight="1" x14ac:dyDescent="0.25">
      <c r="B16" s="76">
        <f>B15+$F$9</f>
        <v>6.5</v>
      </c>
      <c r="C16" s="75">
        <f t="shared" si="0"/>
        <v>19.692307692307693</v>
      </c>
      <c r="D16" s="186" t="str">
        <f t="shared" si="1"/>
        <v>0 d 19:42</v>
      </c>
      <c r="E16" s="187"/>
      <c r="F16" s="200" t="str">
        <f t="shared" si="5"/>
        <v/>
      </c>
      <c r="G16" s="201"/>
      <c r="H16" s="201"/>
      <c r="I16" s="89">
        <f t="shared" si="2"/>
        <v>44605.278846153844</v>
      </c>
      <c r="J16" s="68"/>
      <c r="K16" s="96" t="str">
        <f t="shared" si="3"/>
        <v>0 d 19:42</v>
      </c>
      <c r="L16" s="92" t="str">
        <f t="shared" si="4"/>
        <v>dddd, dd-mmm-yyyy</v>
      </c>
      <c r="M16" s="92" t="str">
        <f t="shared" si="6"/>
        <v/>
      </c>
      <c r="N16" s="91"/>
    </row>
    <row r="17" spans="2:14" ht="21" customHeight="1" x14ac:dyDescent="0.25">
      <c r="B17" s="76">
        <f>B16+$F$9</f>
        <v>7</v>
      </c>
      <c r="C17" s="75">
        <f t="shared" si="0"/>
        <v>18.285714285714285</v>
      </c>
      <c r="D17" s="186" t="str">
        <f t="shared" si="1"/>
        <v>0 d 18:18</v>
      </c>
      <c r="E17" s="187"/>
      <c r="F17" s="200" t="str">
        <f t="shared" si="5"/>
        <v/>
      </c>
      <c r="G17" s="201"/>
      <c r="H17" s="201"/>
      <c r="I17" s="89">
        <f t="shared" si="2"/>
        <v>44605.220238095237</v>
      </c>
      <c r="J17" s="68"/>
      <c r="K17" s="96" t="str">
        <f t="shared" si="3"/>
        <v>0 d 18:18</v>
      </c>
      <c r="L17" s="92" t="str">
        <f t="shared" si="4"/>
        <v>dddd, dd-mmm-yyyy</v>
      </c>
      <c r="M17" s="92" t="str">
        <f t="shared" si="6"/>
        <v/>
      </c>
      <c r="N17" s="91"/>
    </row>
    <row r="18" spans="2:14" ht="21" customHeight="1" x14ac:dyDescent="0.25">
      <c r="B18" s="76">
        <f>B17+$F$9</f>
        <v>7.5</v>
      </c>
      <c r="C18" s="75">
        <f t="shared" si="0"/>
        <v>17.066666666666666</v>
      </c>
      <c r="D18" s="186" t="str">
        <f t="shared" si="1"/>
        <v>0 d 17:04</v>
      </c>
      <c r="E18" s="187"/>
      <c r="F18" s="200" t="str">
        <f t="shared" si="5"/>
        <v/>
      </c>
      <c r="G18" s="201"/>
      <c r="H18" s="201"/>
      <c r="I18" s="89">
        <f t="shared" si="2"/>
        <v>44605.169444444437</v>
      </c>
      <c r="J18" s="68"/>
      <c r="K18" s="96" t="str">
        <f t="shared" si="3"/>
        <v>0 d 17:04</v>
      </c>
      <c r="L18" s="92" t="str">
        <f t="shared" si="4"/>
        <v>dddd, dd-mmm-yyyy</v>
      </c>
      <c r="M18" s="92" t="str">
        <f t="shared" si="6"/>
        <v/>
      </c>
      <c r="N18" s="91"/>
    </row>
    <row r="19" spans="2:14" ht="21" customHeight="1" x14ac:dyDescent="0.25">
      <c r="B19" s="197"/>
      <c r="C19" s="197"/>
      <c r="D19" s="197"/>
      <c r="E19" s="197"/>
      <c r="F19" s="197"/>
      <c r="G19" s="197"/>
      <c r="H19" s="197"/>
      <c r="I19" s="197"/>
      <c r="J19" s="68"/>
      <c r="K19" s="91"/>
      <c r="L19" s="92"/>
      <c r="M19" s="92"/>
      <c r="N19" s="91"/>
    </row>
    <row r="20" spans="2:14" ht="21" customHeight="1" x14ac:dyDescent="0.25">
      <c r="B20" s="198" t="s">
        <v>105</v>
      </c>
      <c r="C20" s="198"/>
      <c r="D20" s="198"/>
      <c r="E20" s="198"/>
      <c r="F20" s="198"/>
      <c r="G20" s="198"/>
      <c r="H20" s="198"/>
      <c r="I20" s="198"/>
      <c r="J20" s="68"/>
      <c r="K20" s="91"/>
      <c r="L20" s="92"/>
      <c r="M20" s="92"/>
      <c r="N20" s="91"/>
    </row>
    <row r="21" spans="2:14" ht="21" customHeight="1" x14ac:dyDescent="0.25">
      <c r="B21" s="82" t="s">
        <v>107</v>
      </c>
      <c r="C21" s="199" t="s">
        <v>106</v>
      </c>
      <c r="D21" s="82" t="s">
        <v>110</v>
      </c>
      <c r="E21" s="82" t="s">
        <v>100</v>
      </c>
      <c r="F21" s="82" t="s">
        <v>53</v>
      </c>
      <c r="G21" s="82" t="s">
        <v>101</v>
      </c>
      <c r="H21" s="82" t="s">
        <v>0</v>
      </c>
      <c r="I21" s="83" t="s">
        <v>97</v>
      </c>
      <c r="J21" s="68"/>
      <c r="K21" s="97"/>
      <c r="L21" s="92"/>
      <c r="M21" s="92"/>
      <c r="N21" s="91"/>
    </row>
    <row r="22" spans="2:14" ht="21" customHeight="1" x14ac:dyDescent="0.25">
      <c r="B22" s="87">
        <f>D9/(L22-L6)/24</f>
        <v>-7.2316384180798096E-2</v>
      </c>
      <c r="C22" s="199"/>
      <c r="D22" s="78">
        <v>2021</v>
      </c>
      <c r="E22" s="78">
        <v>11</v>
      </c>
      <c r="F22" s="78">
        <v>30</v>
      </c>
      <c r="G22" s="78">
        <v>17</v>
      </c>
      <c r="H22" s="78">
        <v>0</v>
      </c>
      <c r="I22" s="78">
        <v>1</v>
      </c>
      <c r="J22" s="68"/>
      <c r="K22" s="91"/>
      <c r="L22" s="93">
        <f>DATE(D22,E22,F22)+TIME(G22,H22,0)-I22/24</f>
        <v>44530.666666666672</v>
      </c>
      <c r="M22" s="92"/>
      <c r="N22" s="91"/>
    </row>
  </sheetData>
  <mergeCells count="25">
    <mergeCell ref="B19:I19"/>
    <mergeCell ref="B20:I20"/>
    <mergeCell ref="C21:C22"/>
    <mergeCell ref="F18:H18"/>
    <mergeCell ref="C5:C6"/>
    <mergeCell ref="F12:H12"/>
    <mergeCell ref="F13:H13"/>
    <mergeCell ref="F11:I11"/>
    <mergeCell ref="C11:E11"/>
    <mergeCell ref="D13:E13"/>
    <mergeCell ref="D12:E12"/>
    <mergeCell ref="F14:H14"/>
    <mergeCell ref="F15:H15"/>
    <mergeCell ref="F16:H16"/>
    <mergeCell ref="F17:H17"/>
    <mergeCell ref="D14:E14"/>
    <mergeCell ref="D15:E15"/>
    <mergeCell ref="D16:E16"/>
    <mergeCell ref="D17:E17"/>
    <mergeCell ref="D18:E18"/>
    <mergeCell ref="B2:I2"/>
    <mergeCell ref="D8:E8"/>
    <mergeCell ref="D9:E9"/>
    <mergeCell ref="F8:G8"/>
    <mergeCell ref="F9:G9"/>
  </mergeCells>
  <conditionalFormatting sqref="I12:I18">
    <cfRule type="cellIs" dxfId="1" priority="1" stopIfTrue="1" operator="equal">
      <formula>"(SUN)"</formula>
    </cfRule>
    <cfRule type="cellIs" dxfId="0" priority="2" stopIfTrue="1" operator="equal">
      <formula>"(SAT)"</formula>
    </cfRule>
  </conditionalFormatting>
  <printOptions horizontalCentered="1"/>
  <pageMargins left="0.5" right="0.5" top="0.5" bottom="0.5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0000"/>
  </sheetPr>
  <dimension ref="A1:O25"/>
  <sheetViews>
    <sheetView showGridLines="0" showRowColHeaders="0" zoomScaleNormal="100" workbookViewId="0">
      <selection activeCell="D8" sqref="D8"/>
    </sheetView>
  </sheetViews>
  <sheetFormatPr defaultColWidth="9.109375" defaultRowHeight="19.5" customHeight="1" x14ac:dyDescent="0.3"/>
  <cols>
    <col min="1" max="1" width="8.5546875" style="24" customWidth="1"/>
    <col min="2" max="2" width="25" style="24" customWidth="1"/>
    <col min="3" max="3" width="23.5546875" style="24" customWidth="1"/>
    <col min="4" max="4" width="10" style="24" customWidth="1"/>
    <col min="5" max="5" width="4.109375" style="24" customWidth="1"/>
    <col min="6" max="6" width="3.6640625" style="24" customWidth="1"/>
    <col min="7" max="7" width="20.6640625" style="24" customWidth="1"/>
    <col min="8" max="8" width="21.44140625" style="24" customWidth="1"/>
    <col min="9" max="9" width="10.88671875" style="24" customWidth="1"/>
    <col min="10" max="13" width="11.33203125" style="24" customWidth="1"/>
    <col min="14" max="14" width="3.6640625" style="24" customWidth="1"/>
    <col min="15" max="16384" width="9.109375" style="24"/>
  </cols>
  <sheetData>
    <row r="1" spans="1:15" ht="19.5" customHeight="1" x14ac:dyDescent="0.3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ht="19.5" customHeight="1" x14ac:dyDescent="0.3">
      <c r="A2" s="49"/>
      <c r="B2" s="46" t="s">
        <v>72</v>
      </c>
      <c r="C2" s="104"/>
      <c r="D2" s="47" t="s">
        <v>73</v>
      </c>
      <c r="E2" s="49"/>
      <c r="F2" s="36"/>
      <c r="G2" s="43"/>
      <c r="H2" s="43"/>
      <c r="I2" s="43"/>
      <c r="J2" s="43"/>
      <c r="K2" s="43"/>
      <c r="L2" s="43"/>
      <c r="M2" s="43"/>
      <c r="N2" s="41"/>
      <c r="O2" s="49"/>
    </row>
    <row r="3" spans="1:15" ht="19.5" customHeight="1" x14ac:dyDescent="0.3">
      <c r="A3" s="49"/>
      <c r="B3" s="46" t="s">
        <v>71</v>
      </c>
      <c r="C3" s="103" t="s">
        <v>74</v>
      </c>
      <c r="D3" s="105">
        <v>13</v>
      </c>
      <c r="E3" s="49"/>
      <c r="F3" s="37"/>
      <c r="G3" s="51" t="str">
        <f>CONCATENATE("Ver. ",C3)</f>
        <v>Ver. 07/18-1.9</v>
      </c>
      <c r="H3" s="66">
        <f ca="1">IF(C2="",TODAY(),C2)</f>
        <v>44602</v>
      </c>
      <c r="I3" s="32"/>
      <c r="J3" s="32"/>
      <c r="K3" s="32"/>
      <c r="L3" s="32"/>
      <c r="M3" s="32"/>
      <c r="N3" s="42"/>
      <c r="O3" s="49"/>
    </row>
    <row r="4" spans="1:15" ht="19.5" customHeight="1" x14ac:dyDescent="0.3">
      <c r="A4" s="49"/>
      <c r="B4" s="49"/>
      <c r="C4" s="49"/>
      <c r="D4" s="49"/>
      <c r="E4" s="49"/>
      <c r="F4" s="37"/>
      <c r="G4" s="33"/>
      <c r="H4" s="33"/>
      <c r="I4" s="52" t="s">
        <v>54</v>
      </c>
      <c r="J4" s="44">
        <f>K4-0.5</f>
        <v>11.5</v>
      </c>
      <c r="K4" s="44">
        <f>L4-0.5</f>
        <v>12</v>
      </c>
      <c r="L4" s="44">
        <f>M4-0.5</f>
        <v>12.5</v>
      </c>
      <c r="M4" s="45">
        <f>D3</f>
        <v>13</v>
      </c>
      <c r="N4" s="42"/>
      <c r="O4" s="49"/>
    </row>
    <row r="5" spans="1:15" ht="19.5" customHeight="1" x14ac:dyDescent="0.3">
      <c r="A5" s="49"/>
      <c r="B5" s="102" t="s">
        <v>55</v>
      </c>
      <c r="C5" s="102" t="s">
        <v>56</v>
      </c>
      <c r="D5" s="103">
        <v>2458.1999999999998</v>
      </c>
      <c r="E5" s="49"/>
      <c r="F5" s="37"/>
      <c r="G5" s="205" t="str">
        <f>CONCATENATE(B5," ",C5)</f>
        <v>Djibouti - Mombasa (berth to berth)</v>
      </c>
      <c r="H5" s="206"/>
      <c r="I5" s="25">
        <f>D5</f>
        <v>2458.1999999999998</v>
      </c>
      <c r="J5" s="26" t="str">
        <f>CONCATENATE(ROUNDDOWN(($I5/J$4)/24,0)," d ",TEXT(ROUNDDOWN(($I5/J$4)-ROUNDDOWN(($I5/J$4)/24,0)*24,0),"00"),":",TEXT(ROUNDUP(($I5/J$4-(ROUNDDOWN(($I5/J$4)/24,0))*24-(ROUNDDOWN(($I5/J$4)-ROUNDDOWN(($I5/J$4)/24,0)*24,0)))*60,0),"00"))</f>
        <v>8 d 21:46</v>
      </c>
      <c r="K5" s="27" t="str">
        <f t="shared" ref="J5:M9" si="0">CONCATENATE(ROUNDDOWN(($I5/K$4)/24,0)," d ",TEXT(ROUNDDOWN(($I5/K$4)-ROUNDDOWN(($I5/K$4)/24,0)*24,0),"00"),":",TEXT(ROUNDUP(($I5/K$4-(ROUNDDOWN(($I5/K$4)/24,0))*24-(ROUNDDOWN(($I5/K$4)-ROUNDDOWN(($I5/K$4)/24,0)*24,0)))*60,0),"00"))</f>
        <v>8 d 12:51</v>
      </c>
      <c r="L5" s="26" t="str">
        <f t="shared" si="0"/>
        <v>8 d 04:40</v>
      </c>
      <c r="M5" s="27" t="str">
        <f>CONCATENATE(ROUNDDOWN(($I5/M$4)/24,0)," d ",TEXT(ROUNDDOWN(($I5/M$4)-ROUNDDOWN(($I5/M$4)/24,0)*24,0),"00"),":",TEXT(ROUNDUP(($I5/M$4-(ROUNDDOWN(($I5/M$4)/24,0))*24-(ROUNDDOWN(($I5/M$4)-ROUNDDOWN(($I5/M$4)/24,0)*24,0)))*60,0),"00"))</f>
        <v>7 d 21:06</v>
      </c>
      <c r="N5" s="42"/>
      <c r="O5" s="49"/>
    </row>
    <row r="6" spans="1:15" ht="19.5" customHeight="1" x14ac:dyDescent="0.3">
      <c r="A6" s="49"/>
      <c r="B6" s="102" t="s">
        <v>57</v>
      </c>
      <c r="C6" s="102" t="s">
        <v>58</v>
      </c>
      <c r="D6" s="103">
        <v>2449</v>
      </c>
      <c r="E6" s="49"/>
      <c r="F6" s="37"/>
      <c r="G6" s="205" t="str">
        <f t="shared" ref="G6:G9" si="1">CONCATENATE(B6," - ",C6)</f>
        <v>Djibouti pilot station - Mombasa pilot station</v>
      </c>
      <c r="H6" s="206"/>
      <c r="I6" s="25">
        <f t="shared" ref="I6:I18" si="2">D6</f>
        <v>2449</v>
      </c>
      <c r="J6" s="26" t="str">
        <f t="shared" si="0"/>
        <v>8 d 20:58</v>
      </c>
      <c r="K6" s="27" t="str">
        <f t="shared" si="0"/>
        <v>8 d 12:06</v>
      </c>
      <c r="L6" s="26" t="str">
        <f t="shared" si="0"/>
        <v>8 d 03:56</v>
      </c>
      <c r="M6" s="27" t="str">
        <f t="shared" si="0"/>
        <v>7 d 20:24</v>
      </c>
      <c r="N6" s="42"/>
      <c r="O6" s="49"/>
    </row>
    <row r="7" spans="1:15" ht="19.5" customHeight="1" x14ac:dyDescent="0.3">
      <c r="A7" s="49"/>
      <c r="B7" s="102" t="s">
        <v>59</v>
      </c>
      <c r="C7" s="102" t="s">
        <v>60</v>
      </c>
      <c r="D7" s="103">
        <f>859.3-611.3</f>
        <v>248</v>
      </c>
      <c r="E7" s="49"/>
      <c r="F7" s="37"/>
      <c r="G7" s="205" t="str">
        <f t="shared" si="1"/>
        <v>Exit IRTC - Enter HRA</v>
      </c>
      <c r="H7" s="206"/>
      <c r="I7" s="25">
        <f t="shared" si="2"/>
        <v>248</v>
      </c>
      <c r="J7" s="26" t="str">
        <f t="shared" si="0"/>
        <v>0 d 21:34</v>
      </c>
      <c r="K7" s="27" t="str">
        <f t="shared" si="0"/>
        <v>0 d 20:41</v>
      </c>
      <c r="L7" s="26" t="str">
        <f t="shared" si="0"/>
        <v>0 d 19:51</v>
      </c>
      <c r="M7" s="27" t="str">
        <f t="shared" si="0"/>
        <v>0 d 19:05</v>
      </c>
      <c r="N7" s="42"/>
      <c r="O7" s="49"/>
    </row>
    <row r="8" spans="1:15" ht="19.5" customHeight="1" x14ac:dyDescent="0.3">
      <c r="A8" s="49"/>
      <c r="B8" s="102" t="s">
        <v>60</v>
      </c>
      <c r="C8" s="102" t="s">
        <v>61</v>
      </c>
      <c r="D8" s="103">
        <f>1829.9-859.3</f>
        <v>970.60000000000014</v>
      </c>
      <c r="E8" s="49"/>
      <c r="F8" s="37"/>
      <c r="G8" s="205" t="str">
        <f t="shared" si="1"/>
        <v>Enter HRA - Exit HRA</v>
      </c>
      <c r="H8" s="206"/>
      <c r="I8" s="25">
        <f t="shared" si="2"/>
        <v>970.60000000000014</v>
      </c>
      <c r="J8" s="26" t="str">
        <f t="shared" si="0"/>
        <v>3 d 12:25</v>
      </c>
      <c r="K8" s="27" t="str">
        <f t="shared" si="0"/>
        <v>3 d 08:54</v>
      </c>
      <c r="L8" s="26" t="str">
        <f t="shared" si="0"/>
        <v>3 d 05:39</v>
      </c>
      <c r="M8" s="27" t="str">
        <f t="shared" si="0"/>
        <v>3 d 02:40</v>
      </c>
      <c r="N8" s="42"/>
      <c r="O8" s="49"/>
    </row>
    <row r="9" spans="1:15" ht="19.5" customHeight="1" x14ac:dyDescent="0.3">
      <c r="A9" s="49"/>
      <c r="B9" s="102" t="s">
        <v>61</v>
      </c>
      <c r="C9" s="102" t="s">
        <v>58</v>
      </c>
      <c r="D9" s="103">
        <f>2449.5-1829.9</f>
        <v>619.59999999999991</v>
      </c>
      <c r="E9" s="49"/>
      <c r="F9" s="37"/>
      <c r="G9" s="205" t="str">
        <f t="shared" si="1"/>
        <v>Exit HRA - Mombasa pilot station</v>
      </c>
      <c r="H9" s="206"/>
      <c r="I9" s="25">
        <f t="shared" si="2"/>
        <v>619.59999999999991</v>
      </c>
      <c r="J9" s="26" t="str">
        <f t="shared" si="0"/>
        <v>2 d 05:53</v>
      </c>
      <c r="K9" s="27" t="str">
        <f t="shared" si="0"/>
        <v>2 d 03:38</v>
      </c>
      <c r="L9" s="26" t="str">
        <f t="shared" si="0"/>
        <v>2 d 01:35</v>
      </c>
      <c r="M9" s="27" t="str">
        <f t="shared" si="0"/>
        <v>1 d 23:40</v>
      </c>
      <c r="N9" s="42"/>
      <c r="O9" s="49"/>
    </row>
    <row r="10" spans="1:15" ht="19.5" customHeight="1" x14ac:dyDescent="0.3">
      <c r="A10" s="49"/>
      <c r="B10" s="50"/>
      <c r="C10" s="50"/>
      <c r="D10" s="50"/>
      <c r="E10" s="49"/>
      <c r="F10" s="37"/>
      <c r="G10" s="32"/>
      <c r="H10" s="32"/>
      <c r="I10" s="32"/>
      <c r="J10" s="34"/>
      <c r="K10" s="35"/>
      <c r="L10" s="34"/>
      <c r="M10" s="35"/>
      <c r="N10" s="42"/>
      <c r="O10" s="49"/>
    </row>
    <row r="11" spans="1:15" ht="19.5" customHeight="1" x14ac:dyDescent="0.3">
      <c r="A11" s="49"/>
      <c r="B11" s="102" t="s">
        <v>62</v>
      </c>
      <c r="C11" s="102"/>
      <c r="D11" s="103">
        <v>216.25</v>
      </c>
      <c r="E11" s="49"/>
      <c r="F11" s="37"/>
      <c r="G11" s="205" t="str">
        <f>CONCATENATE(B11," ",C11)</f>
        <v xml:space="preserve">Mombasa - Dar es Salam </v>
      </c>
      <c r="H11" s="206"/>
      <c r="I11" s="25">
        <f t="shared" si="2"/>
        <v>216.25</v>
      </c>
      <c r="J11" s="26" t="str">
        <f t="shared" ref="J11:M12" si="3">CONCATENATE(ROUNDDOWN(($I11/J$4)/24,0)," d ",TEXT(ROUNDDOWN(($I11/J$4)-ROUNDDOWN(($I11/J$4)/24,0)*24,0),"00"),":",TEXT(ROUNDUP(($I11/J$4-(ROUNDDOWN(($I11/J$4)/24,0))*24-(ROUNDDOWN(($I11/J$4)-ROUNDDOWN(($I11/J$4)/24,0)*24,0)))*60,0),"00"))</f>
        <v>0 d 18:49</v>
      </c>
      <c r="K11" s="27" t="str">
        <f t="shared" si="3"/>
        <v>0 d 18:02</v>
      </c>
      <c r="L11" s="26" t="str">
        <f t="shared" si="3"/>
        <v>0 d 17:18</v>
      </c>
      <c r="M11" s="27" t="str">
        <f t="shared" si="3"/>
        <v>0 d 16:39</v>
      </c>
      <c r="N11" s="42"/>
      <c r="O11" s="49"/>
    </row>
    <row r="12" spans="1:15" ht="19.5" customHeight="1" x14ac:dyDescent="0.3">
      <c r="A12" s="49"/>
      <c r="B12" s="102" t="s">
        <v>58</v>
      </c>
      <c r="C12" s="102" t="s">
        <v>63</v>
      </c>
      <c r="D12" s="103">
        <f>D11-4.7-8.1</f>
        <v>203.45000000000002</v>
      </c>
      <c r="E12" s="49"/>
      <c r="F12" s="37"/>
      <c r="G12" s="205" t="str">
        <f t="shared" ref="G12" si="4">CONCATENATE(B12," - ",C12)</f>
        <v>Mombasa pilot station - Dar es Salam pilot station</v>
      </c>
      <c r="H12" s="206"/>
      <c r="I12" s="25">
        <f t="shared" si="2"/>
        <v>203.45000000000002</v>
      </c>
      <c r="J12" s="26" t="str">
        <f t="shared" si="3"/>
        <v>0 d 17:42</v>
      </c>
      <c r="K12" s="27" t="str">
        <f t="shared" si="3"/>
        <v>0 d 16:58</v>
      </c>
      <c r="L12" s="26" t="str">
        <f t="shared" si="3"/>
        <v>0 d 16:17</v>
      </c>
      <c r="M12" s="27" t="str">
        <f t="shared" si="3"/>
        <v>0 d 15:40</v>
      </c>
      <c r="N12" s="42"/>
      <c r="O12" s="49"/>
    </row>
    <row r="13" spans="1:15" ht="19.5" customHeight="1" x14ac:dyDescent="0.3">
      <c r="A13" s="49"/>
      <c r="B13" s="50"/>
      <c r="C13" s="50"/>
      <c r="D13" s="50"/>
      <c r="E13" s="49"/>
      <c r="F13" s="37"/>
      <c r="G13" s="28"/>
      <c r="H13" s="28"/>
      <c r="I13" s="29"/>
      <c r="J13" s="30"/>
      <c r="K13" s="31"/>
      <c r="L13" s="30"/>
      <c r="M13" s="31"/>
      <c r="N13" s="42"/>
      <c r="O13" s="49"/>
    </row>
    <row r="14" spans="1:15" ht="19.5" customHeight="1" x14ac:dyDescent="0.3">
      <c r="A14" s="49"/>
      <c r="B14" s="102" t="s">
        <v>64</v>
      </c>
      <c r="C14" s="102"/>
      <c r="D14" s="103">
        <v>1703.4</v>
      </c>
      <c r="E14" s="49"/>
      <c r="F14" s="37"/>
      <c r="G14" s="205" t="str">
        <f>CONCATENATE(B14," ",C14)</f>
        <v xml:space="preserve">Dar es Salam - Durban </v>
      </c>
      <c r="H14" s="206"/>
      <c r="I14" s="25">
        <f t="shared" si="2"/>
        <v>1703.4</v>
      </c>
      <c r="J14" s="26" t="str">
        <f t="shared" ref="J14:M21" si="5">CONCATENATE(ROUNDDOWN(($I14/J$4)/24,0)," d ",TEXT(ROUNDDOWN(($I14/J$4)-ROUNDDOWN(($I14/J$4)/24,0)*24,0),"00"),":",TEXT(ROUNDUP(($I14/J$4-(ROUNDDOWN(($I14/J$4)/24,0))*24-(ROUNDDOWN(($I14/J$4)-ROUNDDOWN(($I14/J$4)/24,0)*24,0)))*60,0),"00"))</f>
        <v>6 d 04:08</v>
      </c>
      <c r="K14" s="27" t="str">
        <f t="shared" si="5"/>
        <v>5 d 21:58</v>
      </c>
      <c r="L14" s="26" t="str">
        <f t="shared" si="5"/>
        <v>5 d 16:17</v>
      </c>
      <c r="M14" s="27" t="str">
        <f t="shared" si="5"/>
        <v>5 d 11:02</v>
      </c>
      <c r="N14" s="42"/>
      <c r="O14" s="49"/>
    </row>
    <row r="15" spans="1:15" ht="19.5" customHeight="1" x14ac:dyDescent="0.3">
      <c r="A15" s="49"/>
      <c r="B15" s="102" t="s">
        <v>63</v>
      </c>
      <c r="C15" s="102" t="s">
        <v>65</v>
      </c>
      <c r="D15" s="103">
        <f>D14-4.5</f>
        <v>1698.9</v>
      </c>
      <c r="E15" s="49"/>
      <c r="F15" s="37"/>
      <c r="G15" s="205" t="str">
        <f>CONCATENATE(B15," - ",C15)</f>
        <v>Dar es Salam pilot station - Durban</v>
      </c>
      <c r="H15" s="206"/>
      <c r="I15" s="25">
        <f t="shared" si="2"/>
        <v>1698.9</v>
      </c>
      <c r="J15" s="26" t="str">
        <f t="shared" si="5"/>
        <v>6 d 03:44</v>
      </c>
      <c r="K15" s="27" t="str">
        <f t="shared" si="5"/>
        <v>5 d 21:35</v>
      </c>
      <c r="L15" s="26" t="str">
        <f t="shared" si="5"/>
        <v>5 d 15:55</v>
      </c>
      <c r="M15" s="27" t="str">
        <f t="shared" si="5"/>
        <v>5 d 10:42</v>
      </c>
      <c r="N15" s="42"/>
      <c r="O15" s="49"/>
    </row>
    <row r="16" spans="1:15" ht="19.5" customHeight="1" x14ac:dyDescent="0.3">
      <c r="A16" s="49"/>
      <c r="B16" s="102" t="s">
        <v>66</v>
      </c>
      <c r="C16" s="102" t="s">
        <v>67</v>
      </c>
      <c r="D16" s="103">
        <v>288.89999999999998</v>
      </c>
      <c r="E16" s="49"/>
      <c r="F16" s="37"/>
      <c r="G16" s="205" t="str">
        <f>CONCATENATE(B16," - ",C16)</f>
        <v>Dar es Salam - 10˚00 S</v>
      </c>
      <c r="H16" s="206"/>
      <c r="I16" s="25">
        <f t="shared" si="2"/>
        <v>288.89999999999998</v>
      </c>
      <c r="J16" s="26" t="str">
        <f t="shared" si="5"/>
        <v>1 d 01:08</v>
      </c>
      <c r="K16" s="27" t="str">
        <f t="shared" si="5"/>
        <v>1 d 00:05</v>
      </c>
      <c r="L16" s="26" t="str">
        <f t="shared" si="5"/>
        <v>0 d 23:07</v>
      </c>
      <c r="M16" s="27" t="str">
        <f t="shared" si="5"/>
        <v>0 d 22:14</v>
      </c>
      <c r="N16" s="42"/>
      <c r="O16" s="49"/>
    </row>
    <row r="17" spans="1:15" ht="19.5" customHeight="1" x14ac:dyDescent="0.3">
      <c r="A17" s="49"/>
      <c r="B17" s="102" t="s">
        <v>66</v>
      </c>
      <c r="C17" s="102" t="s">
        <v>68</v>
      </c>
      <c r="D17" s="103">
        <v>407.4</v>
      </c>
      <c r="E17" s="49"/>
      <c r="F17" s="37"/>
      <c r="G17" s="205" t="str">
        <f>CONCATENATE(B17," - ",C17)</f>
        <v>Dar es Salam - Moroni</v>
      </c>
      <c r="H17" s="206"/>
      <c r="I17" s="25">
        <f t="shared" si="2"/>
        <v>407.4</v>
      </c>
      <c r="J17" s="26" t="str">
        <f t="shared" si="5"/>
        <v>1 d 11:26</v>
      </c>
      <c r="K17" s="27" t="str">
        <f t="shared" si="5"/>
        <v>1 d 09:57</v>
      </c>
      <c r="L17" s="26" t="str">
        <f t="shared" si="5"/>
        <v>1 d 08:36</v>
      </c>
      <c r="M17" s="27" t="str">
        <f t="shared" si="5"/>
        <v>1 d 07:21</v>
      </c>
      <c r="N17" s="42"/>
      <c r="O17" s="49"/>
    </row>
    <row r="18" spans="1:15" ht="19.5" customHeight="1" x14ac:dyDescent="0.3">
      <c r="A18" s="49"/>
      <c r="B18" s="102" t="s">
        <v>68</v>
      </c>
      <c r="C18" s="102" t="s">
        <v>65</v>
      </c>
      <c r="D18" s="103">
        <f>D14-D17</f>
        <v>1296</v>
      </c>
      <c r="E18" s="49"/>
      <c r="F18" s="37"/>
      <c r="G18" s="205" t="str">
        <f>CONCATENATE(B18," - ",C18)</f>
        <v>Moroni - Durban</v>
      </c>
      <c r="H18" s="206"/>
      <c r="I18" s="25">
        <f t="shared" si="2"/>
        <v>1296</v>
      </c>
      <c r="J18" s="26" t="str">
        <f t="shared" si="5"/>
        <v>4 d 16:42</v>
      </c>
      <c r="K18" s="27" t="str">
        <f t="shared" si="5"/>
        <v>4 d 12:00</v>
      </c>
      <c r="L18" s="26" t="str">
        <f t="shared" si="5"/>
        <v>4 d 07:41</v>
      </c>
      <c r="M18" s="27" t="str">
        <f t="shared" si="5"/>
        <v>4 d 03:42</v>
      </c>
      <c r="N18" s="42"/>
      <c r="O18" s="49"/>
    </row>
    <row r="19" spans="1:15" ht="19.5" customHeight="1" x14ac:dyDescent="0.3">
      <c r="A19" s="49"/>
      <c r="B19" s="50"/>
      <c r="C19" s="50"/>
      <c r="D19" s="50"/>
      <c r="E19" s="49"/>
      <c r="F19" s="37"/>
      <c r="G19" s="28"/>
      <c r="H19" s="28"/>
      <c r="I19" s="29"/>
      <c r="J19" s="30"/>
      <c r="K19" s="31"/>
      <c r="L19" s="30"/>
      <c r="M19" s="31"/>
      <c r="N19" s="42"/>
      <c r="O19" s="49"/>
    </row>
    <row r="20" spans="1:15" ht="19.5" customHeight="1" x14ac:dyDescent="0.3">
      <c r="A20" s="49"/>
      <c r="B20" s="50"/>
      <c r="C20" s="50"/>
      <c r="D20" s="50"/>
      <c r="E20" s="49"/>
      <c r="F20" s="37"/>
      <c r="G20" s="28"/>
      <c r="H20" s="28"/>
      <c r="I20" s="29"/>
      <c r="J20" s="30"/>
      <c r="K20" s="31"/>
      <c r="L20" s="30"/>
      <c r="M20" s="31"/>
      <c r="N20" s="42"/>
      <c r="O20" s="49"/>
    </row>
    <row r="21" spans="1:15" ht="19.5" customHeight="1" x14ac:dyDescent="0.3">
      <c r="A21" s="49"/>
      <c r="B21" s="102" t="s">
        <v>69</v>
      </c>
      <c r="C21" s="102"/>
      <c r="D21" s="103">
        <f>D8</f>
        <v>970.60000000000014</v>
      </c>
      <c r="E21" s="49"/>
      <c r="F21" s="37"/>
      <c r="G21" s="205" t="str">
        <f>CONCATENATE(B21," ",C21)</f>
        <v xml:space="preserve">HRA </v>
      </c>
      <c r="H21" s="206"/>
      <c r="I21" s="25">
        <f t="shared" ref="I21" si="6">D21</f>
        <v>970.60000000000014</v>
      </c>
      <c r="J21" s="26" t="str">
        <f t="shared" si="5"/>
        <v>3 d 12:25</v>
      </c>
      <c r="K21" s="27" t="str">
        <f t="shared" si="5"/>
        <v>3 d 08:54</v>
      </c>
      <c r="L21" s="26" t="str">
        <f t="shared" si="5"/>
        <v>3 d 05:39</v>
      </c>
      <c r="M21" s="27" t="str">
        <f t="shared" si="5"/>
        <v>3 d 02:40</v>
      </c>
      <c r="N21" s="42"/>
      <c r="O21" s="49"/>
    </row>
    <row r="22" spans="1:15" ht="19.5" customHeight="1" x14ac:dyDescent="0.3">
      <c r="A22" s="49"/>
      <c r="B22" s="50"/>
      <c r="C22" s="50"/>
      <c r="D22" s="50"/>
      <c r="E22" s="49"/>
      <c r="F22" s="37"/>
      <c r="G22" s="28"/>
      <c r="H22" s="28"/>
      <c r="I22" s="29"/>
      <c r="J22" s="30"/>
      <c r="K22" s="31"/>
      <c r="L22" s="30"/>
      <c r="M22" s="31"/>
      <c r="N22" s="42"/>
      <c r="O22" s="49"/>
    </row>
    <row r="23" spans="1:15" ht="19.5" customHeight="1" x14ac:dyDescent="0.3">
      <c r="A23" s="49"/>
      <c r="B23" s="102" t="s">
        <v>52</v>
      </c>
      <c r="C23" s="102" t="s">
        <v>70</v>
      </c>
      <c r="D23" s="103">
        <f>D5+D11+D14</f>
        <v>4377.8500000000004</v>
      </c>
      <c r="E23" s="49"/>
      <c r="F23" s="37"/>
      <c r="G23" s="205" t="str">
        <f>CONCATENATE(B23," ",C23)</f>
        <v>TOTAL (Djibouti - Durban)</v>
      </c>
      <c r="H23" s="206"/>
      <c r="I23" s="25">
        <f t="shared" ref="I23" si="7">D23</f>
        <v>4377.8500000000004</v>
      </c>
      <c r="J23" s="26" t="str">
        <f t="shared" ref="J23:M23" si="8">CONCATENATE(ROUNDDOWN(($I23/J$4)/24,0)," d ",TEXT(ROUNDDOWN(($I23/J$4)-ROUNDDOWN(($I23/J$4)/24,0)*24,0),"00"),":",TEXT(ROUNDUP(($I23/J$4-(ROUNDDOWN(($I23/J$4)/24,0))*24-(ROUNDDOWN(($I23/J$4)-ROUNDDOWN(($I23/J$4)/24,0)*24,0)))*60,0),"00"))</f>
        <v>15 d 20:41</v>
      </c>
      <c r="K23" s="27" t="str">
        <f t="shared" si="8"/>
        <v>15 d 04:50</v>
      </c>
      <c r="L23" s="26" t="str">
        <f t="shared" si="8"/>
        <v>14 d 14:14</v>
      </c>
      <c r="M23" s="27" t="str">
        <f t="shared" si="8"/>
        <v>14 d 00:46</v>
      </c>
      <c r="N23" s="42"/>
      <c r="O23" s="49"/>
    </row>
    <row r="24" spans="1:15" ht="19.5" customHeight="1" x14ac:dyDescent="0.3">
      <c r="A24" s="49"/>
      <c r="B24" s="49"/>
      <c r="C24" s="49"/>
      <c r="D24" s="49"/>
      <c r="E24" s="49"/>
      <c r="F24" s="38"/>
      <c r="G24" s="39"/>
      <c r="H24" s="39"/>
      <c r="I24" s="39"/>
      <c r="J24" s="39"/>
      <c r="K24" s="39"/>
      <c r="L24" s="39"/>
      <c r="M24" s="39"/>
      <c r="N24" s="40"/>
      <c r="O24" s="49"/>
    </row>
    <row r="25" spans="1:15" ht="19.5" customHeight="1" x14ac:dyDescent="0.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</row>
  </sheetData>
  <mergeCells count="14">
    <mergeCell ref="G11:H11"/>
    <mergeCell ref="G5:H5"/>
    <mergeCell ref="G6:H6"/>
    <mergeCell ref="G7:H7"/>
    <mergeCell ref="G8:H8"/>
    <mergeCell ref="G9:H9"/>
    <mergeCell ref="G21:H21"/>
    <mergeCell ref="G23:H23"/>
    <mergeCell ref="G12:H12"/>
    <mergeCell ref="G14:H14"/>
    <mergeCell ref="G15:H15"/>
    <mergeCell ref="G16:H16"/>
    <mergeCell ref="G17:H17"/>
    <mergeCell ref="G18:H18"/>
  </mergeCells>
  <printOptions horizontalCentered="1"/>
  <pageMargins left="0.25" right="0.25" top="0.25" bottom="0.2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84E8-2991-4FCA-889A-E3888AF66F57}">
  <sheetPr>
    <tabColor rgb="FF00B050"/>
  </sheetPr>
  <dimension ref="B2:AJ21"/>
  <sheetViews>
    <sheetView workbookViewId="0">
      <selection activeCell="J15" sqref="J15"/>
    </sheetView>
  </sheetViews>
  <sheetFormatPr defaultRowHeight="13.2" x14ac:dyDescent="0.25"/>
  <cols>
    <col min="1" max="1" width="1.77734375" customWidth="1"/>
    <col min="2" max="2" width="3.33203125" customWidth="1"/>
    <col min="3" max="3" width="15.77734375" customWidth="1"/>
    <col min="4" max="4" width="6.77734375" customWidth="1"/>
    <col min="5" max="5" width="7.77734375" customWidth="1"/>
    <col min="6" max="6" width="8.77734375" customWidth="1"/>
    <col min="7" max="7" width="5.77734375" customWidth="1"/>
    <col min="8" max="8" width="6.77734375" customWidth="1"/>
    <col min="9" max="9" width="5.77734375" customWidth="1"/>
    <col min="10" max="15" width="3.77734375" customWidth="1"/>
    <col min="16" max="16" width="6.77734375" customWidth="1"/>
    <col min="17" max="22" width="3.77734375" customWidth="1"/>
    <col min="23" max="23" width="5.77734375" customWidth="1"/>
    <col min="24" max="24" width="6.77734375" customWidth="1"/>
    <col min="25" max="26" width="5.77734375" customWidth="1"/>
    <col min="27" max="27" width="6.77734375" customWidth="1"/>
    <col min="28" max="29" width="5.77734375" customWidth="1"/>
    <col min="30" max="30" width="6.77734375" customWidth="1"/>
    <col min="31" max="32" width="5.77734375" customWidth="1"/>
    <col min="33" max="33" width="6.77734375" customWidth="1"/>
    <col min="34" max="34" width="5.77734375" customWidth="1"/>
    <col min="35" max="35" width="7.77734375" customWidth="1"/>
    <col min="36" max="36" width="8.77734375" customWidth="1"/>
  </cols>
  <sheetData>
    <row r="2" spans="2:36" x14ac:dyDescent="0.25">
      <c r="I2" s="217" t="s">
        <v>126</v>
      </c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</row>
    <row r="3" spans="2:36" ht="18" customHeight="1" x14ac:dyDescent="0.25"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</row>
    <row r="4" spans="2:36" ht="18" customHeight="1" thickBot="1" x14ac:dyDescent="0.3"/>
    <row r="5" spans="2:36" ht="18" customHeight="1" thickBot="1" x14ac:dyDescent="0.3">
      <c r="B5" s="220" t="s">
        <v>117</v>
      </c>
      <c r="C5" s="225" t="s">
        <v>75</v>
      </c>
      <c r="D5" s="218" t="s">
        <v>124</v>
      </c>
      <c r="E5" s="218" t="s">
        <v>125</v>
      </c>
      <c r="F5" s="218" t="s">
        <v>76</v>
      </c>
      <c r="G5" s="225" t="s">
        <v>77</v>
      </c>
      <c r="H5" s="218" t="s">
        <v>121</v>
      </c>
      <c r="I5" s="218" t="s">
        <v>78</v>
      </c>
      <c r="J5" s="227" t="s">
        <v>79</v>
      </c>
      <c r="K5" s="228"/>
      <c r="L5" s="228"/>
      <c r="M5" s="228"/>
      <c r="N5" s="228"/>
      <c r="O5" s="229"/>
      <c r="P5" s="218" t="s">
        <v>122</v>
      </c>
      <c r="Q5" s="227" t="s">
        <v>80</v>
      </c>
      <c r="R5" s="228"/>
      <c r="S5" s="228"/>
      <c r="T5" s="228"/>
      <c r="U5" s="228"/>
      <c r="V5" s="229"/>
      <c r="W5" s="230" t="s">
        <v>81</v>
      </c>
      <c r="X5" s="231"/>
      <c r="Y5" s="232"/>
      <c r="Z5" s="222" t="s">
        <v>118</v>
      </c>
      <c r="AA5" s="223"/>
      <c r="AB5" s="224"/>
      <c r="AC5" s="222" t="s">
        <v>119</v>
      </c>
      <c r="AD5" s="223"/>
      <c r="AE5" s="224"/>
      <c r="AF5" s="222" t="s">
        <v>120</v>
      </c>
      <c r="AG5" s="223"/>
      <c r="AH5" s="224"/>
      <c r="AI5" s="109" t="s">
        <v>82</v>
      </c>
      <c r="AJ5" s="109" t="s">
        <v>83</v>
      </c>
    </row>
    <row r="6" spans="2:36" ht="18" customHeight="1" thickBot="1" x14ac:dyDescent="0.3">
      <c r="B6" s="221"/>
      <c r="C6" s="226"/>
      <c r="D6" s="219"/>
      <c r="E6" s="219"/>
      <c r="F6" s="219"/>
      <c r="G6" s="226"/>
      <c r="H6" s="219"/>
      <c r="I6" s="219"/>
      <c r="J6" s="222" t="s">
        <v>84</v>
      </c>
      <c r="K6" s="224"/>
      <c r="L6" s="222" t="s">
        <v>85</v>
      </c>
      <c r="M6" s="224"/>
      <c r="N6" s="222" t="s">
        <v>86</v>
      </c>
      <c r="O6" s="224"/>
      <c r="P6" s="219"/>
      <c r="Q6" s="222" t="s">
        <v>84</v>
      </c>
      <c r="R6" s="224"/>
      <c r="S6" s="222" t="s">
        <v>85</v>
      </c>
      <c r="T6" s="224"/>
      <c r="U6" s="222" t="s">
        <v>86</v>
      </c>
      <c r="V6" s="224"/>
      <c r="W6" s="110" t="s">
        <v>84</v>
      </c>
      <c r="X6" s="110" t="s">
        <v>85</v>
      </c>
      <c r="Y6" s="111" t="s">
        <v>86</v>
      </c>
      <c r="Z6" s="110" t="s">
        <v>84</v>
      </c>
      <c r="AA6" s="110" t="s">
        <v>85</v>
      </c>
      <c r="AB6" s="111" t="s">
        <v>86</v>
      </c>
      <c r="AC6" s="110" t="s">
        <v>84</v>
      </c>
      <c r="AD6" s="110" t="s">
        <v>85</v>
      </c>
      <c r="AE6" s="111" t="s">
        <v>86</v>
      </c>
      <c r="AF6" s="110" t="s">
        <v>84</v>
      </c>
      <c r="AG6" s="110" t="s">
        <v>85</v>
      </c>
      <c r="AH6" s="111" t="s">
        <v>86</v>
      </c>
      <c r="AI6" s="112"/>
      <c r="AJ6" s="112"/>
    </row>
    <row r="7" spans="2:36" ht="18" customHeight="1" thickBot="1" x14ac:dyDescent="0.3">
      <c r="B7" s="107">
        <v>1</v>
      </c>
      <c r="C7" s="161" t="s">
        <v>87</v>
      </c>
      <c r="D7" s="155"/>
      <c r="E7" s="119">
        <f>E8+D8</f>
        <v>10842</v>
      </c>
      <c r="F7" s="156"/>
      <c r="G7" s="155"/>
      <c r="H7" s="155"/>
      <c r="I7" s="155"/>
      <c r="J7" s="157"/>
      <c r="K7" s="158"/>
      <c r="L7" s="157"/>
      <c r="M7" s="158"/>
      <c r="N7" s="157"/>
      <c r="O7" s="158"/>
      <c r="P7" s="155"/>
      <c r="Q7" s="157"/>
      <c r="R7" s="158"/>
      <c r="S7" s="157"/>
      <c r="T7" s="158"/>
      <c r="U7" s="159"/>
      <c r="V7" s="158"/>
      <c r="W7" s="133">
        <v>510</v>
      </c>
      <c r="X7" s="134">
        <v>217.7</v>
      </c>
      <c r="Y7" s="134">
        <v>26.9</v>
      </c>
      <c r="Z7" s="119">
        <f>$Z$13-W7</f>
        <v>736.21475000000009</v>
      </c>
      <c r="AA7" s="119">
        <f>$AA$13-X7</f>
        <v>128.30525</v>
      </c>
      <c r="AB7" s="119">
        <f>$AB$13-Y7</f>
        <v>65.579999999999984</v>
      </c>
      <c r="AC7" s="155"/>
      <c r="AD7" s="155"/>
      <c r="AE7" s="155"/>
      <c r="AF7" s="155"/>
      <c r="AG7" s="155"/>
      <c r="AH7" s="155"/>
      <c r="AI7" s="154" t="s">
        <v>123</v>
      </c>
      <c r="AJ7" s="145">
        <f ca="1">TODAY()</f>
        <v>44602</v>
      </c>
    </row>
    <row r="8" spans="2:36" ht="18" customHeight="1" thickBot="1" x14ac:dyDescent="0.3">
      <c r="B8" s="107">
        <v>2</v>
      </c>
      <c r="C8" s="118" t="s">
        <v>88</v>
      </c>
      <c r="D8" s="140">
        <v>1242</v>
      </c>
      <c r="E8" s="124">
        <f t="shared" ref="E8:E10" si="0">E9+D9</f>
        <v>9600</v>
      </c>
      <c r="F8" s="124">
        <f>D8</f>
        <v>1242</v>
      </c>
      <c r="G8" s="122">
        <v>13</v>
      </c>
      <c r="H8" s="124">
        <f>I8</f>
        <v>4</v>
      </c>
      <c r="I8" s="143">
        <f>IF(G8="",0,ROUNDUP(D8/G8/24,1))</f>
        <v>4</v>
      </c>
      <c r="J8" s="136">
        <v>26.2</v>
      </c>
      <c r="K8" s="123">
        <f>ROUNDUP((I8+I8/100*$D$21)*J8,0)</f>
        <v>105</v>
      </c>
      <c r="L8" s="137">
        <v>0</v>
      </c>
      <c r="M8" s="123">
        <f>ROUNDUP((I8+I8/100*$E$21)*L8,1)</f>
        <v>0</v>
      </c>
      <c r="N8" s="136">
        <v>0.1</v>
      </c>
      <c r="O8" s="123">
        <f>ROUNDUP((I8+I8/100*$F$21)*N8,1)</f>
        <v>0.4</v>
      </c>
      <c r="P8" s="122">
        <v>3</v>
      </c>
      <c r="Q8" s="136">
        <v>2.8</v>
      </c>
      <c r="R8" s="123">
        <f>ROUNDUP((P8+P8/100*$D$21)*Q8,0)</f>
        <v>9</v>
      </c>
      <c r="S8" s="149">
        <v>0</v>
      </c>
      <c r="T8" s="123">
        <f>ROUNDUP((P8-P8/100*$E$21)*S8,1)</f>
        <v>0</v>
      </c>
      <c r="U8" s="150">
        <v>0.1</v>
      </c>
      <c r="V8" s="123">
        <f t="shared" ref="V8:V12" si="1">ROUNDUP((P8-P8/100*$F$21)*U8,1)</f>
        <v>0.3</v>
      </c>
      <c r="W8" s="124">
        <f>IF(W7-K8-R8&lt;0,0,W7-K8-R8)</f>
        <v>396</v>
      </c>
      <c r="X8" s="124">
        <f>IF(X7-T8-M8&lt;0,0,X7-T8-M8)</f>
        <v>217.7</v>
      </c>
      <c r="Y8" s="124">
        <f>IF(Y7-O8&lt;0,0,Y7-V8-O8)</f>
        <v>26.2</v>
      </c>
      <c r="Z8" s="125">
        <f>$Z$13-W8</f>
        <v>850.21475000000009</v>
      </c>
      <c r="AA8" s="125">
        <f>$AA$13-X8</f>
        <v>128.30525</v>
      </c>
      <c r="AB8" s="124">
        <f t="shared" ref="AB8:AB12" si="2">$AB$13-Y8</f>
        <v>66.279999999999987</v>
      </c>
      <c r="AC8" s="124">
        <f>K8+R8</f>
        <v>114</v>
      </c>
      <c r="AD8" s="124">
        <f>M8+T8</f>
        <v>0</v>
      </c>
      <c r="AE8" s="124">
        <f>O8+V8</f>
        <v>0.7</v>
      </c>
      <c r="AF8" s="124">
        <f>AC8</f>
        <v>114</v>
      </c>
      <c r="AG8" s="124">
        <f>AD8</f>
        <v>0</v>
      </c>
      <c r="AH8" s="124">
        <f>AE8</f>
        <v>0.7</v>
      </c>
      <c r="AI8" s="126">
        <f ca="1">ROUNDUP(AJ7+I8,0)</f>
        <v>44606</v>
      </c>
      <c r="AJ8" s="146">
        <f ca="1">ROUNDUP(AI8+P8,0)</f>
        <v>44609</v>
      </c>
    </row>
    <row r="9" spans="2:36" ht="18" customHeight="1" thickBot="1" x14ac:dyDescent="0.3">
      <c r="B9" s="107">
        <v>3</v>
      </c>
      <c r="C9" s="113"/>
      <c r="D9" s="140">
        <v>9600</v>
      </c>
      <c r="E9" s="124">
        <f t="shared" si="0"/>
        <v>0</v>
      </c>
      <c r="F9" s="124">
        <f>D9+F8</f>
        <v>10842</v>
      </c>
      <c r="G9" s="122">
        <v>12.5</v>
      </c>
      <c r="H9" s="124">
        <f>H8+I9</f>
        <v>36</v>
      </c>
      <c r="I9" s="143">
        <f t="shared" ref="I9:I12" si="3">IF(G9="",0,ROUNDUP(D9/G9/24,1))</f>
        <v>32</v>
      </c>
      <c r="J9" s="137">
        <v>27</v>
      </c>
      <c r="K9" s="123">
        <f>ROUNDUP((I9+I9/100*$D$21)*J9,0)</f>
        <v>864</v>
      </c>
      <c r="L9" s="137">
        <v>0</v>
      </c>
      <c r="M9" s="123">
        <f>ROUNDUP((I9+I9/100*$E$21)*L9,1)</f>
        <v>0</v>
      </c>
      <c r="N9" s="136">
        <v>0.1</v>
      </c>
      <c r="O9" s="123">
        <f>ROUNDUP((I9+I9/100*$F$21)*N9,1)</f>
        <v>3.2</v>
      </c>
      <c r="P9" s="122">
        <v>1</v>
      </c>
      <c r="Q9" s="147">
        <v>2.8</v>
      </c>
      <c r="R9" s="123">
        <f t="shared" ref="R9:R12" si="4">ROUNDUP((P9+P9/100*$D$21)*Q9,0)</f>
        <v>3</v>
      </c>
      <c r="S9" s="149">
        <v>0</v>
      </c>
      <c r="T9" s="123">
        <f t="shared" ref="T9:T12" si="5">ROUNDUP((P9-P9/100*$E$21)*S9,1)</f>
        <v>0</v>
      </c>
      <c r="U9" s="150">
        <v>0.1</v>
      </c>
      <c r="V9" s="123">
        <f t="shared" si="1"/>
        <v>0.1</v>
      </c>
      <c r="W9" s="124">
        <f t="shared" ref="W9:W12" si="6">IF(W8-K9-R9&lt;0,0,W8-K9-R9)</f>
        <v>0</v>
      </c>
      <c r="X9" s="124">
        <f t="shared" ref="X9:X12" si="7">IF(X8-T9-M9&lt;0,0,X8-T9-M9)</f>
        <v>217.7</v>
      </c>
      <c r="Y9" s="124">
        <f t="shared" ref="Y9:Y12" si="8">IF(Y8-O9&lt;0,0,Y8-V9-O9)</f>
        <v>22.9</v>
      </c>
      <c r="Z9" s="125">
        <f t="shared" ref="Z9:Z12" si="9">$Z$13-W9</f>
        <v>1246.2147500000001</v>
      </c>
      <c r="AA9" s="125">
        <f t="shared" ref="AA9:AA12" si="10">$AA$13-X9</f>
        <v>128.30525</v>
      </c>
      <c r="AB9" s="124">
        <f t="shared" si="2"/>
        <v>69.579999999999984</v>
      </c>
      <c r="AC9" s="124">
        <f t="shared" ref="AC9:AC12" si="11">K9+R9</f>
        <v>867</v>
      </c>
      <c r="AD9" s="124">
        <f t="shared" ref="AD9:AD12" si="12">M9+T9</f>
        <v>0</v>
      </c>
      <c r="AE9" s="124">
        <f>O9+V9</f>
        <v>3.3000000000000003</v>
      </c>
      <c r="AF9" s="124">
        <f>AF8+AC9</f>
        <v>981</v>
      </c>
      <c r="AG9" s="124">
        <f>AG8+AD9</f>
        <v>0</v>
      </c>
      <c r="AH9" s="124">
        <f>AH8+AE9</f>
        <v>4</v>
      </c>
      <c r="AI9" s="126">
        <f t="shared" ref="AI9:AI12" ca="1" si="13">ROUNDUP(AJ8+I9,0)</f>
        <v>44641</v>
      </c>
      <c r="AJ9" s="146">
        <f ca="1">ROUNDUP(AI9+P9,0)</f>
        <v>44642</v>
      </c>
    </row>
    <row r="10" spans="2:36" ht="18" customHeight="1" thickBot="1" x14ac:dyDescent="0.3">
      <c r="B10" s="107">
        <v>4</v>
      </c>
      <c r="C10" s="113"/>
      <c r="D10" s="139"/>
      <c r="E10" s="125">
        <f t="shared" si="0"/>
        <v>0</v>
      </c>
      <c r="F10" s="124">
        <f t="shared" ref="F10:F12" si="14">D10+F9</f>
        <v>10842</v>
      </c>
      <c r="G10" s="120"/>
      <c r="H10" s="124">
        <f t="shared" ref="H10:H12" si="15">H9+I10</f>
        <v>36</v>
      </c>
      <c r="I10" s="142">
        <f t="shared" si="3"/>
        <v>0</v>
      </c>
      <c r="J10" s="121"/>
      <c r="K10" s="123">
        <f>ROUNDUP((I10+I10/100*$D$21)*J10,0)</f>
        <v>0</v>
      </c>
      <c r="L10" s="121"/>
      <c r="M10" s="123">
        <f>ROUNDUP((I10+I10/100*$E$21)*L10,1)</f>
        <v>0</v>
      </c>
      <c r="N10" s="121"/>
      <c r="O10" s="123">
        <f>ROUNDUP((I10+I10/100*$F$21)*N10,1)</f>
        <v>0</v>
      </c>
      <c r="P10" s="127"/>
      <c r="Q10" s="147"/>
      <c r="R10" s="123">
        <f t="shared" si="4"/>
        <v>0</v>
      </c>
      <c r="S10" s="138"/>
      <c r="T10" s="123">
        <f t="shared" si="5"/>
        <v>0</v>
      </c>
      <c r="U10" s="150"/>
      <c r="V10" s="123">
        <f t="shared" si="1"/>
        <v>0</v>
      </c>
      <c r="W10" s="124">
        <f t="shared" si="6"/>
        <v>0</v>
      </c>
      <c r="X10" s="124">
        <f t="shared" si="7"/>
        <v>217.7</v>
      </c>
      <c r="Y10" s="124">
        <f t="shared" si="8"/>
        <v>22.9</v>
      </c>
      <c r="Z10" s="125">
        <f t="shared" si="9"/>
        <v>1246.2147500000001</v>
      </c>
      <c r="AA10" s="125">
        <f t="shared" si="10"/>
        <v>128.30525</v>
      </c>
      <c r="AB10" s="124">
        <f t="shared" si="2"/>
        <v>69.579999999999984</v>
      </c>
      <c r="AC10" s="124">
        <f t="shared" si="11"/>
        <v>0</v>
      </c>
      <c r="AD10" s="124">
        <f t="shared" si="12"/>
        <v>0</v>
      </c>
      <c r="AE10" s="124">
        <f>O10+V10</f>
        <v>0</v>
      </c>
      <c r="AF10" s="124">
        <f t="shared" ref="AF10:AF12" si="16">AF9+AC10</f>
        <v>981</v>
      </c>
      <c r="AG10" s="124">
        <f t="shared" ref="AG10:AG12" si="17">AG9+AD10</f>
        <v>0</v>
      </c>
      <c r="AH10" s="124">
        <f t="shared" ref="AH10:AH12" si="18">AH9+AE10</f>
        <v>4</v>
      </c>
      <c r="AI10" s="126">
        <f t="shared" ca="1" si="13"/>
        <v>44642</v>
      </c>
      <c r="AJ10" s="146">
        <f ca="1">ROUNDUP(AI10+P10,0)</f>
        <v>44642</v>
      </c>
    </row>
    <row r="11" spans="2:36" ht="18" customHeight="1" thickBot="1" x14ac:dyDescent="0.3">
      <c r="B11" s="107">
        <v>5</v>
      </c>
      <c r="C11" s="113"/>
      <c r="D11" s="139"/>
      <c r="E11" s="124">
        <f>D12</f>
        <v>0</v>
      </c>
      <c r="F11" s="124">
        <f t="shared" si="14"/>
        <v>10842</v>
      </c>
      <c r="G11" s="120"/>
      <c r="H11" s="124">
        <f t="shared" si="15"/>
        <v>36</v>
      </c>
      <c r="I11" s="142">
        <f t="shared" si="3"/>
        <v>0</v>
      </c>
      <c r="J11" s="121"/>
      <c r="K11" s="123">
        <f>ROUNDUP((I11+I11/100*$D$21)*J11,0)</f>
        <v>0</v>
      </c>
      <c r="L11" s="121"/>
      <c r="M11" s="123">
        <f>ROUNDUP((I11+I11/100*$E$21)*L11,1)</f>
        <v>0</v>
      </c>
      <c r="N11" s="121"/>
      <c r="O11" s="123">
        <f>ROUNDUP((I11+I11/100*$F$21)*N11,1)</f>
        <v>0</v>
      </c>
      <c r="P11" s="127"/>
      <c r="Q11" s="147"/>
      <c r="R11" s="123">
        <f t="shared" si="4"/>
        <v>0</v>
      </c>
      <c r="S11" s="138"/>
      <c r="T11" s="123">
        <f t="shared" si="5"/>
        <v>0</v>
      </c>
      <c r="U11" s="150"/>
      <c r="V11" s="123">
        <f t="shared" si="1"/>
        <v>0</v>
      </c>
      <c r="W11" s="124">
        <f t="shared" si="6"/>
        <v>0</v>
      </c>
      <c r="X11" s="124">
        <f t="shared" si="7"/>
        <v>217.7</v>
      </c>
      <c r="Y11" s="124">
        <f t="shared" si="8"/>
        <v>22.9</v>
      </c>
      <c r="Z11" s="125">
        <f t="shared" si="9"/>
        <v>1246.2147500000001</v>
      </c>
      <c r="AA11" s="125">
        <f t="shared" si="10"/>
        <v>128.30525</v>
      </c>
      <c r="AB11" s="124">
        <f t="shared" si="2"/>
        <v>69.579999999999984</v>
      </c>
      <c r="AC11" s="124">
        <f t="shared" si="11"/>
        <v>0</v>
      </c>
      <c r="AD11" s="124">
        <f t="shared" si="12"/>
        <v>0</v>
      </c>
      <c r="AE11" s="124">
        <f t="shared" ref="AE11:AE12" si="19">O11+V11</f>
        <v>0</v>
      </c>
      <c r="AF11" s="124">
        <f t="shared" si="16"/>
        <v>981</v>
      </c>
      <c r="AG11" s="124">
        <f t="shared" si="17"/>
        <v>0</v>
      </c>
      <c r="AH11" s="124">
        <f t="shared" si="18"/>
        <v>4</v>
      </c>
      <c r="AI11" s="126">
        <f t="shared" ca="1" si="13"/>
        <v>44642</v>
      </c>
      <c r="AJ11" s="146">
        <f ca="1">ROUNDUP(AI11+P11,0)</f>
        <v>44642</v>
      </c>
    </row>
    <row r="12" spans="2:36" ht="13.8" thickBot="1" x14ac:dyDescent="0.3">
      <c r="B12" s="107">
        <v>6</v>
      </c>
      <c r="C12" s="114"/>
      <c r="D12" s="141"/>
      <c r="E12" s="108"/>
      <c r="F12" s="124">
        <f t="shared" si="14"/>
        <v>10842</v>
      </c>
      <c r="G12" s="128"/>
      <c r="H12" s="124">
        <f t="shared" si="15"/>
        <v>36</v>
      </c>
      <c r="I12" s="142">
        <f t="shared" si="3"/>
        <v>0</v>
      </c>
      <c r="J12" s="129"/>
      <c r="K12" s="123">
        <f>ROUNDUP((I12+I12/100*$D$21)*J12,0)</f>
        <v>0</v>
      </c>
      <c r="L12" s="129"/>
      <c r="M12" s="123">
        <f>ROUNDUP((I12+I12/100*$E$21)*L12,1)</f>
        <v>0</v>
      </c>
      <c r="N12" s="129"/>
      <c r="O12" s="123">
        <f>ROUNDUP((I12+I12/100*$F$21)*N12,1)</f>
        <v>0</v>
      </c>
      <c r="P12" s="130"/>
      <c r="Q12" s="148"/>
      <c r="R12" s="123">
        <f t="shared" si="4"/>
        <v>0</v>
      </c>
      <c r="S12" s="138"/>
      <c r="T12" s="123">
        <f t="shared" si="5"/>
        <v>0</v>
      </c>
      <c r="U12" s="131"/>
      <c r="V12" s="123">
        <f t="shared" si="1"/>
        <v>0</v>
      </c>
      <c r="W12" s="132">
        <f t="shared" si="6"/>
        <v>0</v>
      </c>
      <c r="X12" s="124">
        <f t="shared" si="7"/>
        <v>217.7</v>
      </c>
      <c r="Y12" s="124">
        <f t="shared" si="8"/>
        <v>22.9</v>
      </c>
      <c r="Z12" s="135">
        <f t="shared" si="9"/>
        <v>1246.2147500000001</v>
      </c>
      <c r="AA12" s="125">
        <f t="shared" si="10"/>
        <v>128.30525</v>
      </c>
      <c r="AB12" s="125">
        <f t="shared" si="2"/>
        <v>69.579999999999984</v>
      </c>
      <c r="AC12" s="124">
        <f t="shared" si="11"/>
        <v>0</v>
      </c>
      <c r="AD12" s="124">
        <f t="shared" si="12"/>
        <v>0</v>
      </c>
      <c r="AE12" s="124">
        <f t="shared" si="19"/>
        <v>0</v>
      </c>
      <c r="AF12" s="132">
        <f t="shared" si="16"/>
        <v>981</v>
      </c>
      <c r="AG12" s="124">
        <f t="shared" si="17"/>
        <v>0</v>
      </c>
      <c r="AH12" s="124">
        <f t="shared" si="18"/>
        <v>4</v>
      </c>
      <c r="AI12" s="126">
        <f t="shared" ca="1" si="13"/>
        <v>44642</v>
      </c>
      <c r="AJ12" s="146">
        <f ca="1">ROUNDUP(AI12+P12,0)</f>
        <v>44642</v>
      </c>
    </row>
    <row r="13" spans="2:36" ht="13.8" thickBot="1" x14ac:dyDescent="0.3">
      <c r="B13" s="107"/>
      <c r="C13" s="106" t="s">
        <v>52</v>
      </c>
      <c r="D13" s="116">
        <f>E7</f>
        <v>10842</v>
      </c>
      <c r="E13" s="116"/>
      <c r="F13" s="116"/>
      <c r="G13" s="117"/>
      <c r="H13" s="116"/>
      <c r="I13" s="144">
        <f>SUM(I8:I12)</f>
        <v>36</v>
      </c>
      <c r="J13" s="211">
        <f>SUM(K8:K12)</f>
        <v>969</v>
      </c>
      <c r="K13" s="212"/>
      <c r="L13" s="209">
        <f>SUM(M8:M12)</f>
        <v>0</v>
      </c>
      <c r="M13" s="210"/>
      <c r="N13" s="209">
        <f>SUM(O8:O12)</f>
        <v>3.6</v>
      </c>
      <c r="O13" s="210"/>
      <c r="P13" s="117"/>
      <c r="Q13" s="209">
        <f>SUM(R8:R12)</f>
        <v>12</v>
      </c>
      <c r="R13" s="210"/>
      <c r="S13" s="209">
        <f>SUM(T8:T12)</f>
        <v>0</v>
      </c>
      <c r="T13" s="210"/>
      <c r="U13" s="209">
        <f>SUM(V8:V12)</f>
        <v>0.4</v>
      </c>
      <c r="V13" s="210"/>
      <c r="W13" s="160"/>
      <c r="X13" s="160"/>
      <c r="Y13" s="160"/>
      <c r="Z13" s="153">
        <f>(D18/100*D19)*D20</f>
        <v>1246.2147500000001</v>
      </c>
      <c r="AA13" s="116">
        <f>(E18/100*E19)*E20</f>
        <v>346.00524999999999</v>
      </c>
      <c r="AB13" s="116">
        <f>(F18/100*F19)*F20</f>
        <v>92.47999999999999</v>
      </c>
      <c r="AC13" s="152">
        <f>SUM(AC8:AC12)</f>
        <v>981</v>
      </c>
      <c r="AD13" s="116">
        <f>SUM(AD8:AD12)</f>
        <v>0</v>
      </c>
      <c r="AE13" s="151">
        <f>SUM(AE8:AE12)</f>
        <v>4</v>
      </c>
      <c r="AF13" s="160"/>
      <c r="AG13" s="160"/>
      <c r="AH13" s="160"/>
      <c r="AI13" s="160"/>
      <c r="AJ13" s="160"/>
    </row>
    <row r="14" spans="2:36" x14ac:dyDescent="0.25">
      <c r="AD14" s="115"/>
    </row>
    <row r="15" spans="2:36" ht="13.8" thickBot="1" x14ac:dyDescent="0.3"/>
    <row r="16" spans="2:36" x14ac:dyDescent="0.25">
      <c r="B16" s="213" t="s">
        <v>90</v>
      </c>
      <c r="C16" s="214"/>
      <c r="D16" s="178" t="s">
        <v>91</v>
      </c>
      <c r="E16" s="170"/>
      <c r="F16" s="171"/>
    </row>
    <row r="17" spans="2:6" x14ac:dyDescent="0.25">
      <c r="B17" s="215"/>
      <c r="C17" s="216"/>
      <c r="D17" s="179" t="s">
        <v>84</v>
      </c>
      <c r="E17" s="53" t="s">
        <v>85</v>
      </c>
      <c r="F17" s="172" t="s">
        <v>86</v>
      </c>
    </row>
    <row r="18" spans="2:6" x14ac:dyDescent="0.25">
      <c r="B18" s="215" t="s">
        <v>92</v>
      </c>
      <c r="C18" s="216"/>
      <c r="D18" s="180">
        <v>1543.3</v>
      </c>
      <c r="E18" s="167">
        <v>478.9</v>
      </c>
      <c r="F18" s="173">
        <v>128</v>
      </c>
    </row>
    <row r="19" spans="2:6" x14ac:dyDescent="0.25">
      <c r="B19" s="215" t="s">
        <v>93</v>
      </c>
      <c r="C19" s="216"/>
      <c r="D19" s="181">
        <v>85</v>
      </c>
      <c r="E19" s="168">
        <v>85</v>
      </c>
      <c r="F19" s="174">
        <v>85</v>
      </c>
    </row>
    <row r="20" spans="2:6" x14ac:dyDescent="0.25">
      <c r="B20" s="215" t="s">
        <v>94</v>
      </c>
      <c r="C20" s="216"/>
      <c r="D20" s="182">
        <v>0.95</v>
      </c>
      <c r="E20" s="169">
        <v>0.85</v>
      </c>
      <c r="F20" s="175">
        <v>0.85</v>
      </c>
    </row>
    <row r="21" spans="2:6" ht="13.8" thickBot="1" x14ac:dyDescent="0.3">
      <c r="B21" s="207" t="s">
        <v>89</v>
      </c>
      <c r="C21" s="208"/>
      <c r="D21" s="183">
        <v>0</v>
      </c>
      <c r="E21" s="176">
        <v>0</v>
      </c>
      <c r="F21" s="177">
        <v>0</v>
      </c>
    </row>
  </sheetData>
  <mergeCells count="34">
    <mergeCell ref="AF5:AH5"/>
    <mergeCell ref="C5:C6"/>
    <mergeCell ref="D5:D6"/>
    <mergeCell ref="E5:E6"/>
    <mergeCell ref="F5:F6"/>
    <mergeCell ref="G5:G6"/>
    <mergeCell ref="H5:H6"/>
    <mergeCell ref="J5:O5"/>
    <mergeCell ref="J6:K6"/>
    <mergeCell ref="L6:M6"/>
    <mergeCell ref="N6:O6"/>
    <mergeCell ref="Q5:V5"/>
    <mergeCell ref="Q6:R6"/>
    <mergeCell ref="S6:T6"/>
    <mergeCell ref="U6:V6"/>
    <mergeCell ref="W5:Y5"/>
    <mergeCell ref="I2:AD3"/>
    <mergeCell ref="B19:C19"/>
    <mergeCell ref="B20:C20"/>
    <mergeCell ref="I5:I6"/>
    <mergeCell ref="B5:B6"/>
    <mergeCell ref="P5:P6"/>
    <mergeCell ref="Z5:AB5"/>
    <mergeCell ref="AC5:AE5"/>
    <mergeCell ref="B21:C21"/>
    <mergeCell ref="U13:V13"/>
    <mergeCell ref="S13:T13"/>
    <mergeCell ref="Q13:R13"/>
    <mergeCell ref="N13:O13"/>
    <mergeCell ref="L13:M13"/>
    <mergeCell ref="J13:K13"/>
    <mergeCell ref="B16:C16"/>
    <mergeCell ref="B17:C17"/>
    <mergeCell ref="B18:C18"/>
  </mergeCells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CAL</vt:lpstr>
      <vt:lpstr>ETA</vt:lpstr>
      <vt:lpstr>Distance table</vt:lpstr>
      <vt:lpstr>BUNKER CALC,VOY</vt:lpstr>
      <vt:lpstr>'Distance table'!Область_печати</vt:lpstr>
      <vt:lpstr>ETA!Область_печати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</dc:creator>
  <cp:lastModifiedBy>Pavel</cp:lastModifiedBy>
  <cp:lastPrinted>2018-12-21T22:47:04Z</cp:lastPrinted>
  <dcterms:created xsi:type="dcterms:W3CDTF">2010-11-05T13:08:04Z</dcterms:created>
  <dcterms:modified xsi:type="dcterms:W3CDTF">2022-02-10T02:00:31Z</dcterms:modified>
</cp:coreProperties>
</file>