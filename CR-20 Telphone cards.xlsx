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pavel\OneDrive\Документы\"/>
    </mc:Choice>
  </mc:AlternateContent>
  <xr:revisionPtr revIDLastSave="0" documentId="8_{DC6C6190-DF5E-4E39-B976-428D74F82451}" xr6:coauthVersionLast="47" xr6:coauthVersionMax="47" xr10:uidLastSave="{00000000-0000-0000-0000-000000000000}"/>
  <bookViews>
    <workbookView xWindow="0" yWindow="727" windowWidth="21600" windowHeight="12773"/>
  </bookViews>
  <sheets>
    <sheet name="Phone Cards Crew" sheetId="2" r:id="rId1"/>
    <sheet name="Phone Cards Summary" sheetId="3" r:id="rId2"/>
  </sheets>
  <calcPr calcId="191029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6" i="2" l="1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15" i="2"/>
  <c r="F42" i="2" s="1"/>
  <c r="C6" i="2"/>
  <c r="C10" i="2"/>
  <c r="C7" i="2"/>
  <c r="C11" i="2"/>
  <c r="F24" i="3"/>
  <c r="E17" i="3"/>
  <c r="C24" i="3"/>
  <c r="F10" i="3"/>
  <c r="F17" i="3" s="1"/>
  <c r="G17" i="3" s="1"/>
  <c r="G18" i="3" s="1"/>
  <c r="G10" i="3"/>
  <c r="G11" i="3"/>
  <c r="G12" i="3"/>
  <c r="G13" i="3" s="1"/>
  <c r="E10" i="3"/>
  <c r="E42" i="2"/>
  <c r="D42" i="2"/>
  <c r="G14" i="3"/>
  <c r="G16" i="3"/>
  <c r="G44" i="2" l="1"/>
</calcChain>
</file>

<file path=xl/sharedStrings.xml><?xml version="1.0" encoding="utf-8"?>
<sst xmlns="http://schemas.openxmlformats.org/spreadsheetml/2006/main" count="40" uniqueCount="40">
  <si>
    <t>Name</t>
  </si>
  <si>
    <t>Rank</t>
  </si>
  <si>
    <t>TOTAL:</t>
  </si>
  <si>
    <t>Signature</t>
  </si>
  <si>
    <t>Received from Master :</t>
  </si>
  <si>
    <t>Month</t>
  </si>
  <si>
    <t>Date:</t>
  </si>
  <si>
    <t>At the beginning of Month</t>
  </si>
  <si>
    <t>Received during this month</t>
  </si>
  <si>
    <t>Amount</t>
  </si>
  <si>
    <t>US$</t>
  </si>
  <si>
    <t>Master</t>
  </si>
  <si>
    <t>At the end of Month</t>
  </si>
  <si>
    <t>:</t>
  </si>
  <si>
    <t>This form is to be sent in together with monthly portage bill.</t>
  </si>
  <si>
    <t>Copy : Master's File</t>
  </si>
  <si>
    <t>Vessel:</t>
  </si>
  <si>
    <t>Period:</t>
  </si>
  <si>
    <t>DATE</t>
  </si>
  <si>
    <t>Q-TY</t>
  </si>
  <si>
    <t>AMOUNT USD</t>
  </si>
  <si>
    <t>For representative</t>
  </si>
  <si>
    <t>Total at the beginning this month</t>
  </si>
  <si>
    <t>Total received this month</t>
  </si>
  <si>
    <t>Total amount at the end of the month:</t>
  </si>
  <si>
    <t>ROB from previous month, 24$ cards</t>
  </si>
  <si>
    <t>Total amount from previous month:</t>
  </si>
  <si>
    <t>Total amount supplied this month:</t>
  </si>
  <si>
    <t>Total amount saled this month:</t>
  </si>
  <si>
    <t>Master of the</t>
  </si>
  <si>
    <t>Iridium OpenPort  Crew Calling Cards</t>
  </si>
  <si>
    <t>QTTY Cards</t>
  </si>
  <si>
    <t>Supplied 26$ Cards</t>
  </si>
  <si>
    <t>Sale to Crew 26$ Cards</t>
  </si>
  <si>
    <t>ROB at the end of the month, 26$ cards</t>
  </si>
  <si>
    <t>MONTHLY   SUMMARY   IRIDIUM  VIRTUAL  PHONE   CARDS</t>
  </si>
  <si>
    <t>OpenPort  per card</t>
  </si>
  <si>
    <t>Original : MKTM LTD</t>
  </si>
  <si>
    <t>ппппппп</t>
  </si>
  <si>
    <t>M/T  SUNY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</si>
</sst>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70" formatCode="_(&quot;$&quot;* #,##0.00_);_(&quot;$&quot;* \(#,##0.00\);_(&quot;$&quot;* &quot;-&quot;??_);_(@_)"/>
    <numFmt numFmtId="171" formatCode="_(* #,##0.00_);_(* \(#,##0.00\);_(* &quot;-&quot;??_);_(@_)"/>
    <numFmt numFmtId="179" formatCode="_-* #,##0.00_р_._-;\-* #,##0.00_р_._-;_-* &quot;-&quot;??_р_._-;_-@_-"/>
    <numFmt numFmtId="189" formatCode="dd\.mm\.yyyy;@"/>
  </numFmts>
  <fonts count="20" x14ac:knownFonts="1">
    <font>
      <sz val="10"/>
      <name val="Arial"/>
      <family val="2"/>
      <charset val="204"/>
    </font>
    <font>
      <sz val="10"/>
      <name val="Arial"/>
      <charset val="204"/>
    </font>
    <font>
      <sz val="8"/>
      <name val="Arial"/>
      <family val="2"/>
      <charset val="204"/>
    </font>
    <font>
      <sz val="10"/>
      <name val="Arial"/>
      <family val="2"/>
      <charset val="204"/>
    </font>
    <font>
      <b/>
      <sz val="10"/>
      <name val="Arial"/>
      <family val="2"/>
    </font>
    <font>
      <b/>
      <sz val="16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i/>
      <sz val="8"/>
      <name val="Arial"/>
      <family val="2"/>
    </font>
    <font>
      <sz val="11"/>
      <name val="Times New Roman"/>
      <family val="1"/>
    </font>
    <font>
      <sz val="9"/>
      <name val="Arial"/>
      <family val="2"/>
      <charset val="204"/>
    </font>
    <font>
      <sz val="11"/>
      <name val="Arial"/>
      <family val="2"/>
      <charset val="204"/>
    </font>
    <font>
      <sz val="11"/>
      <name val="Arial"/>
      <family val="2"/>
    </font>
    <font>
      <b/>
      <sz val="11"/>
      <name val="Arial"/>
      <family val="2"/>
    </font>
    <font>
      <sz val="8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u/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9"/>
      <color theme="1"/>
      <name val="Calibri"/>
      <family val="2"/>
      <charset val="204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46">
    <border>
      <left/>
      <right/>
      <top/>
      <bottom/>
      <diagonal/>
    </border>
    <border>
      <left/>
      <right/>
      <top/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dotted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0" fontId="3" fillId="0" borderId="0"/>
    <xf numFmtId="179" fontId="1" fillId="0" borderId="0" applyFill="0" applyBorder="0" applyAlignment="0" applyProtection="0"/>
  </cellStyleXfs>
  <cellXfs count="126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8" fillId="0" borderId="0" xfId="0" applyFont="1"/>
    <xf numFmtId="0" fontId="14" fillId="0" borderId="0" xfId="0" applyFont="1" applyAlignment="1">
      <alignment horizontal="right"/>
    </xf>
    <xf numFmtId="0" fontId="15" fillId="0" borderId="0" xfId="0" applyFont="1"/>
    <xf numFmtId="14" fontId="0" fillId="0" borderId="1" xfId="0" applyNumberFormat="1" applyBorder="1" applyAlignment="1" applyProtection="1">
      <alignment horizontal="center" vertical="center" shrinkToFit="1"/>
      <protection locked="0"/>
    </xf>
    <xf numFmtId="17" fontId="7" fillId="0" borderId="1" xfId="0" applyNumberFormat="1" applyFont="1" applyBorder="1" applyAlignment="1" applyProtection="1">
      <alignment horizontal="center" vertical="center" shrinkToFit="1"/>
      <protection locked="0"/>
    </xf>
    <xf numFmtId="0" fontId="11" fillId="0" borderId="2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9" fillId="0" borderId="4" xfId="0" applyFont="1" applyBorder="1" applyAlignment="1" applyProtection="1">
      <alignment horizontal="center" vertical="center"/>
    </xf>
    <xf numFmtId="0" fontId="11" fillId="0" borderId="5" xfId="0" applyFont="1" applyBorder="1" applyAlignment="1" applyProtection="1">
      <alignment horizontal="center" vertical="center" shrinkToFit="1"/>
      <protection locked="0"/>
    </xf>
    <xf numFmtId="0" fontId="9" fillId="0" borderId="6" xfId="0" applyFont="1" applyBorder="1" applyAlignment="1" applyProtection="1">
      <alignment horizontal="center" vertical="center"/>
    </xf>
    <xf numFmtId="0" fontId="11" fillId="0" borderId="6" xfId="0" applyFont="1" applyBorder="1" applyAlignment="1" applyProtection="1">
      <alignment horizontal="center" vertical="center" shrinkToFit="1"/>
      <protection locked="0"/>
    </xf>
    <xf numFmtId="0" fontId="11" fillId="0" borderId="7" xfId="0" applyFont="1" applyBorder="1" applyAlignment="1" applyProtection="1">
      <alignment horizontal="center" vertical="center" shrinkToFit="1"/>
      <protection locked="0"/>
    </xf>
    <xf numFmtId="0" fontId="0" fillId="0" borderId="0" xfId="0" applyAlignment="1">
      <alignment vertical="center"/>
    </xf>
    <xf numFmtId="0" fontId="4" fillId="2" borderId="8" xfId="0" applyFont="1" applyFill="1" applyBorder="1" applyProtection="1">
      <protection locked="0"/>
    </xf>
    <xf numFmtId="0" fontId="11" fillId="0" borderId="9" xfId="0" applyFont="1" applyBorder="1" applyAlignment="1" applyProtection="1">
      <alignment vertical="center" shrinkToFit="1"/>
    </xf>
    <xf numFmtId="171" fontId="12" fillId="0" borderId="6" xfId="2" applyNumberFormat="1" applyFont="1" applyBorder="1" applyAlignment="1" applyProtection="1">
      <alignment vertical="center" shrinkToFit="1"/>
    </xf>
    <xf numFmtId="0" fontId="11" fillId="0" borderId="10" xfId="0" applyFont="1" applyBorder="1" applyAlignment="1" applyProtection="1">
      <alignment vertical="center" shrinkToFit="1"/>
    </xf>
    <xf numFmtId="0" fontId="13" fillId="0" borderId="11" xfId="0" applyFont="1" applyBorder="1" applyAlignment="1" applyProtection="1">
      <alignment horizontal="center" vertical="center" shrinkToFit="1"/>
    </xf>
    <xf numFmtId="0" fontId="13" fillId="0" borderId="12" xfId="0" applyFont="1" applyBorder="1" applyAlignment="1" applyProtection="1">
      <alignment horizontal="center" vertical="center" shrinkToFit="1"/>
    </xf>
    <xf numFmtId="0" fontId="11" fillId="0" borderId="0" xfId="0" applyFont="1" applyAlignment="1" applyProtection="1">
      <alignment shrinkToFit="1"/>
    </xf>
    <xf numFmtId="0" fontId="13" fillId="0" borderId="0" xfId="0" applyFont="1" applyAlignment="1" applyProtection="1">
      <alignment horizontal="center" shrinkToFit="1"/>
    </xf>
    <xf numFmtId="0" fontId="13" fillId="0" borderId="0" xfId="0" applyFont="1" applyBorder="1" applyAlignment="1" applyProtection="1">
      <alignment shrinkToFit="1"/>
    </xf>
    <xf numFmtId="171" fontId="13" fillId="0" borderId="0" xfId="2" applyNumberFormat="1" applyFont="1" applyBorder="1" applyAlignment="1" applyProtection="1">
      <alignment shrinkToFit="1"/>
    </xf>
    <xf numFmtId="0" fontId="11" fillId="0" borderId="0" xfId="0" applyFont="1" applyProtection="1"/>
    <xf numFmtId="0" fontId="13" fillId="0" borderId="0" xfId="0" applyFont="1" applyBorder="1" applyAlignment="1" applyProtection="1">
      <alignment vertical="center" shrinkToFit="1"/>
    </xf>
    <xf numFmtId="0" fontId="13" fillId="0" borderId="0" xfId="0" applyFont="1" applyAlignment="1" applyProtection="1">
      <alignment horizontal="right" vertical="center"/>
    </xf>
    <xf numFmtId="0" fontId="13" fillId="0" borderId="0" xfId="0" applyFont="1" applyBorder="1" applyAlignment="1" applyProtection="1">
      <alignment horizontal="center" vertical="center" shrinkToFit="1"/>
    </xf>
    <xf numFmtId="170" fontId="13" fillId="0" borderId="8" xfId="0" applyNumberFormat="1" applyFont="1" applyBorder="1" applyAlignment="1" applyProtection="1">
      <alignment horizontal="center" vertical="center" shrinkToFit="1"/>
    </xf>
    <xf numFmtId="0" fontId="0" fillId="0" borderId="0" xfId="0" applyAlignment="1" applyProtection="1">
      <alignment shrinkToFit="1"/>
    </xf>
    <xf numFmtId="0" fontId="0" fillId="0" borderId="0" xfId="0" applyProtection="1"/>
    <xf numFmtId="0" fontId="4" fillId="0" borderId="0" xfId="0" applyFont="1" applyBorder="1" applyAlignment="1" applyProtection="1">
      <alignment vertical="center" shrinkToFit="1"/>
    </xf>
    <xf numFmtId="0" fontId="4" fillId="0" borderId="0" xfId="0" applyFont="1" applyAlignment="1" applyProtection="1">
      <alignment horizontal="right" vertical="center"/>
    </xf>
    <xf numFmtId="0" fontId="4" fillId="0" borderId="0" xfId="0" applyFont="1" applyBorder="1" applyAlignment="1" applyProtection="1">
      <alignment horizontal="center" vertical="center" shrinkToFit="1"/>
    </xf>
    <xf numFmtId="170" fontId="4" fillId="0" borderId="0" xfId="0" applyNumberFormat="1" applyFont="1" applyBorder="1" applyAlignment="1" applyProtection="1">
      <alignment horizontal="center" vertical="center" shrinkToFit="1"/>
    </xf>
    <xf numFmtId="0" fontId="2" fillId="0" borderId="0" xfId="0" applyFont="1" applyProtection="1"/>
    <xf numFmtId="170" fontId="4" fillId="2" borderId="8" xfId="0" applyNumberFormat="1" applyFont="1" applyFill="1" applyBorder="1" applyAlignment="1" applyProtection="1">
      <alignment shrinkToFit="1"/>
    </xf>
    <xf numFmtId="0" fontId="0" fillId="2" borderId="0" xfId="0" applyFill="1" applyBorder="1" applyAlignment="1" applyProtection="1">
      <alignment shrinkToFit="1"/>
    </xf>
    <xf numFmtId="0" fontId="0" fillId="0" borderId="0" xfId="0" applyAlignment="1" applyProtection="1">
      <alignment horizontal="right"/>
    </xf>
    <xf numFmtId="0" fontId="7" fillId="0" borderId="0" xfId="0" applyFont="1" applyBorder="1" applyAlignment="1" applyProtection="1">
      <alignment horizontal="right" shrinkToFit="1"/>
    </xf>
    <xf numFmtId="170" fontId="4" fillId="0" borderId="0" xfId="0" applyNumberFormat="1" applyFont="1" applyBorder="1" applyAlignment="1" applyProtection="1">
      <alignment shrinkToFit="1"/>
    </xf>
    <xf numFmtId="0" fontId="0" fillId="0" borderId="0" xfId="0" applyBorder="1" applyAlignment="1" applyProtection="1">
      <alignment shrinkToFit="1"/>
    </xf>
    <xf numFmtId="170" fontId="4" fillId="0" borderId="8" xfId="0" applyNumberFormat="1" applyFont="1" applyBorder="1" applyAlignment="1" applyProtection="1">
      <alignment shrinkToFit="1"/>
    </xf>
    <xf numFmtId="0" fontId="4" fillId="0" borderId="0" xfId="0" applyFont="1" applyBorder="1" applyProtection="1"/>
    <xf numFmtId="0" fontId="7" fillId="0" borderId="0" xfId="0" applyFont="1" applyProtection="1"/>
    <xf numFmtId="0" fontId="2" fillId="0" borderId="0" xfId="0" applyFont="1" applyBorder="1" applyAlignment="1">
      <alignment horizontal="center"/>
    </xf>
    <xf numFmtId="0" fontId="0" fillId="0" borderId="13" xfId="0" applyBorder="1" applyProtection="1"/>
    <xf numFmtId="0" fontId="11" fillId="0" borderId="3" xfId="0" applyFont="1" applyBorder="1" applyAlignment="1" applyProtection="1">
      <alignment horizontal="center" vertical="center" shrinkToFit="1"/>
      <protection locked="0"/>
    </xf>
    <xf numFmtId="0" fontId="11" fillId="0" borderId="11" xfId="0" applyFont="1" applyBorder="1" applyAlignment="1" applyProtection="1">
      <alignment vertical="center" shrinkToFit="1"/>
    </xf>
    <xf numFmtId="0" fontId="9" fillId="0" borderId="14" xfId="0" applyFont="1" applyBorder="1" applyAlignment="1" applyProtection="1">
      <alignment horizontal="center" vertical="center"/>
    </xf>
    <xf numFmtId="171" fontId="12" fillId="0" borderId="15" xfId="2" applyNumberFormat="1" applyFont="1" applyBorder="1" applyAlignment="1" applyProtection="1">
      <alignment vertical="center" shrinkToFit="1"/>
    </xf>
    <xf numFmtId="171" fontId="12" fillId="0" borderId="4" xfId="2" applyNumberFormat="1" applyFont="1" applyBorder="1" applyAlignment="1" applyProtection="1">
      <alignment vertical="center" shrinkToFit="1"/>
    </xf>
    <xf numFmtId="171" fontId="12" fillId="0" borderId="16" xfId="2" applyNumberFormat="1" applyFont="1" applyBorder="1" applyAlignment="1" applyProtection="1">
      <alignment vertical="center" shrinkToFit="1"/>
    </xf>
    <xf numFmtId="171" fontId="13" fillId="0" borderId="17" xfId="2" applyNumberFormat="1" applyFont="1" applyBorder="1" applyAlignment="1" applyProtection="1">
      <alignment horizontal="center" vertical="center" shrinkToFit="1"/>
    </xf>
    <xf numFmtId="189" fontId="0" fillId="0" borderId="0" xfId="0" applyNumberFormat="1"/>
    <xf numFmtId="0" fontId="15" fillId="0" borderId="8" xfId="0" applyFont="1" applyBorder="1" applyAlignment="1">
      <alignment horizontal="center" vertical="center"/>
    </xf>
    <xf numFmtId="2" fontId="17" fillId="0" borderId="33" xfId="0" applyNumberFormat="1" applyFont="1" applyBorder="1" applyAlignment="1" applyProtection="1">
      <alignment vertical="center"/>
      <protection locked="0"/>
    </xf>
    <xf numFmtId="0" fontId="15" fillId="0" borderId="34" xfId="0" applyFont="1" applyBorder="1" applyAlignment="1">
      <alignment horizontal="center" vertical="center"/>
    </xf>
    <xf numFmtId="14" fontId="17" fillId="0" borderId="8" xfId="0" applyNumberFormat="1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14" fontId="17" fillId="0" borderId="32" xfId="0" applyNumberFormat="1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14" fontId="17" fillId="0" borderId="8" xfId="0" applyNumberFormat="1" applyFont="1" applyBorder="1" applyAlignment="1" applyProtection="1">
      <alignment vertical="center"/>
      <protection locked="0"/>
    </xf>
    <xf numFmtId="0" fontId="17" fillId="0" borderId="8" xfId="0" applyFont="1" applyBorder="1" applyAlignment="1" applyProtection="1">
      <alignment horizontal="center" vertical="center"/>
      <protection locked="0"/>
    </xf>
    <xf numFmtId="2" fontId="17" fillId="0" borderId="42" xfId="0" applyNumberFormat="1" applyFont="1" applyBorder="1" applyAlignment="1">
      <alignment horizontal="center" vertical="center"/>
    </xf>
    <xf numFmtId="2" fontId="17" fillId="0" borderId="43" xfId="0" applyNumberFormat="1" applyFont="1" applyBorder="1" applyAlignment="1">
      <alignment horizontal="center" vertical="center"/>
    </xf>
    <xf numFmtId="2" fontId="17" fillId="0" borderId="8" xfId="0" applyNumberFormat="1" applyFont="1" applyBorder="1" applyAlignment="1">
      <alignment horizontal="center" vertical="center"/>
    </xf>
    <xf numFmtId="2" fontId="19" fillId="0" borderId="44" xfId="0" applyNumberFormat="1" applyFont="1" applyBorder="1" applyAlignment="1">
      <alignment horizontal="center" vertical="center"/>
    </xf>
    <xf numFmtId="2" fontId="17" fillId="0" borderId="44" xfId="0" applyNumberFormat="1" applyFont="1" applyBorder="1" applyAlignment="1">
      <alignment horizontal="center" vertical="center"/>
    </xf>
    <xf numFmtId="0" fontId="2" fillId="0" borderId="0" xfId="0" applyFont="1" applyBorder="1" applyProtection="1"/>
    <xf numFmtId="0" fontId="7" fillId="2" borderId="0" xfId="0" applyFont="1" applyFill="1" applyBorder="1" applyAlignment="1" applyProtection="1">
      <alignment horizontal="right" indent="1" shrinkToFit="1"/>
    </xf>
    <xf numFmtId="0" fontId="7" fillId="2" borderId="26" xfId="0" applyFont="1" applyFill="1" applyBorder="1" applyAlignment="1" applyProtection="1">
      <alignment horizontal="right" indent="1" shrinkToFit="1"/>
    </xf>
    <xf numFmtId="0" fontId="0" fillId="2" borderId="27" xfId="0" applyFill="1" applyBorder="1" applyAlignment="1" applyProtection="1">
      <alignment horizontal="center" vertical="center"/>
    </xf>
    <xf numFmtId="0" fontId="0" fillId="2" borderId="0" xfId="0" applyFill="1" applyBorder="1" applyAlignment="1" applyProtection="1">
      <alignment horizontal="center" vertical="center"/>
    </xf>
    <xf numFmtId="0" fontId="9" fillId="0" borderId="28" xfId="0" applyFont="1" applyFill="1" applyBorder="1" applyAlignment="1" applyProtection="1">
      <alignment horizontal="left" vertical="center"/>
      <protection locked="0"/>
    </xf>
    <xf numFmtId="0" fontId="9" fillId="0" borderId="29" xfId="0" applyFont="1" applyFill="1" applyBorder="1" applyAlignment="1" applyProtection="1">
      <alignment horizontal="left" vertical="center"/>
      <protection locked="0"/>
    </xf>
    <xf numFmtId="0" fontId="5" fillId="0" borderId="0" xfId="0" applyFont="1" applyAlignment="1" applyProtection="1">
      <alignment horizontal="center"/>
    </xf>
    <xf numFmtId="0" fontId="6" fillId="0" borderId="1" xfId="0" applyFont="1" applyBorder="1" applyAlignment="1" applyProtection="1">
      <alignment shrinkToFit="1"/>
      <protection locked="0"/>
    </xf>
    <xf numFmtId="0" fontId="11" fillId="0" borderId="30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0" fontId="11" fillId="0" borderId="21" xfId="0" applyFont="1" applyBorder="1" applyAlignment="1">
      <alignment horizontal="center" vertical="center"/>
    </xf>
    <xf numFmtId="0" fontId="11" fillId="0" borderId="22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32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 wrapText="1"/>
    </xf>
    <xf numFmtId="0" fontId="11" fillId="0" borderId="32" xfId="0" applyFont="1" applyBorder="1" applyAlignment="1">
      <alignment horizontal="center" vertical="center" wrapText="1"/>
    </xf>
    <xf numFmtId="0" fontId="0" fillId="0" borderId="0" xfId="0" applyAlignment="1" applyProtection="1">
      <alignment horizontal="right" indent="1" shrinkToFit="1"/>
    </xf>
    <xf numFmtId="0" fontId="9" fillId="0" borderId="19" xfId="0" applyFont="1" applyFill="1" applyBorder="1" applyAlignment="1" applyProtection="1">
      <alignment horizontal="left" vertical="center"/>
      <protection locked="0"/>
    </xf>
    <xf numFmtId="0" fontId="9" fillId="0" borderId="20" xfId="0" applyFont="1" applyFill="1" applyBorder="1" applyAlignment="1" applyProtection="1">
      <alignment horizontal="left" vertical="center"/>
      <protection locked="0"/>
    </xf>
    <xf numFmtId="0" fontId="9" fillId="0" borderId="24" xfId="0" applyFont="1" applyFill="1" applyBorder="1" applyAlignment="1" applyProtection="1">
      <alignment horizontal="left" vertical="center"/>
      <protection locked="0"/>
    </xf>
    <xf numFmtId="0" fontId="9" fillId="0" borderId="25" xfId="0" applyFont="1" applyFill="1" applyBorder="1" applyAlignment="1" applyProtection="1">
      <alignment horizontal="left" vertical="center"/>
      <protection locked="0"/>
    </xf>
    <xf numFmtId="0" fontId="11" fillId="0" borderId="23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13" xfId="0" applyFont="1" applyBorder="1" applyAlignment="1" applyProtection="1">
      <alignment horizontal="left"/>
      <protection locked="0"/>
    </xf>
    <xf numFmtId="0" fontId="9" fillId="0" borderId="21" xfId="0" applyFont="1" applyFill="1" applyBorder="1" applyAlignment="1" applyProtection="1">
      <alignment horizontal="left" vertical="center"/>
      <protection locked="0"/>
    </xf>
    <xf numFmtId="0" fontId="11" fillId="0" borderId="0" xfId="0" applyFont="1" applyAlignment="1" applyProtection="1">
      <alignment shrinkToFit="1"/>
    </xf>
    <xf numFmtId="0" fontId="16" fillId="0" borderId="0" xfId="0" applyFont="1" applyAlignment="1">
      <alignment horizontal="center" vertical="center"/>
    </xf>
    <xf numFmtId="0" fontId="17" fillId="0" borderId="17" xfId="0" applyFont="1" applyBorder="1" applyAlignment="1">
      <alignment vertical="center"/>
    </xf>
    <xf numFmtId="0" fontId="17" fillId="0" borderId="35" xfId="0" applyFont="1" applyBorder="1" applyAlignment="1">
      <alignment vertical="center"/>
    </xf>
    <xf numFmtId="0" fontId="17" fillId="0" borderId="36" xfId="0" applyFont="1" applyBorder="1" applyAlignment="1">
      <alignment vertical="center"/>
    </xf>
    <xf numFmtId="0" fontId="17" fillId="0" borderId="39" xfId="0" applyFont="1" applyBorder="1" applyAlignment="1">
      <alignment vertical="center"/>
    </xf>
    <xf numFmtId="0" fontId="17" fillId="0" borderId="5" xfId="0" applyFont="1" applyBorder="1" applyAlignment="1">
      <alignment vertical="center"/>
    </xf>
    <xf numFmtId="0" fontId="17" fillId="0" borderId="23" xfId="0" applyFont="1" applyBorder="1" applyAlignment="1">
      <alignment vertical="center"/>
    </xf>
    <xf numFmtId="0" fontId="18" fillId="0" borderId="34" xfId="0" applyFont="1" applyBorder="1" applyAlignment="1">
      <alignment horizontal="right" vertical="center"/>
    </xf>
    <xf numFmtId="0" fontId="18" fillId="0" borderId="37" xfId="0" applyFont="1" applyBorder="1" applyAlignment="1">
      <alignment horizontal="right" vertical="center"/>
    </xf>
    <xf numFmtId="0" fontId="18" fillId="0" borderId="38" xfId="0" applyFont="1" applyBorder="1" applyAlignment="1">
      <alignment horizontal="right" vertical="center"/>
    </xf>
    <xf numFmtId="0" fontId="17" fillId="0" borderId="34" xfId="0" applyFont="1" applyBorder="1" applyAlignment="1">
      <alignment vertical="center"/>
    </xf>
    <xf numFmtId="0" fontId="17" fillId="0" borderId="37" xfId="0" applyFont="1" applyBorder="1" applyAlignment="1">
      <alignment vertical="center"/>
    </xf>
    <xf numFmtId="0" fontId="17" fillId="0" borderId="38" xfId="0" applyFont="1" applyBorder="1" applyAlignment="1">
      <alignment vertical="center"/>
    </xf>
    <xf numFmtId="0" fontId="17" fillId="0" borderId="12" xfId="0" applyFont="1" applyFill="1" applyBorder="1" applyAlignment="1">
      <alignment vertical="center"/>
    </xf>
    <xf numFmtId="0" fontId="17" fillId="0" borderId="32" xfId="0" applyFont="1" applyFill="1" applyBorder="1" applyAlignment="1">
      <alignment vertical="center"/>
    </xf>
    <xf numFmtId="0" fontId="10" fillId="0" borderId="0" xfId="0" applyFont="1" applyBorder="1" applyAlignment="1">
      <alignment horizontal="center" vertical="center"/>
    </xf>
    <xf numFmtId="0" fontId="18" fillId="0" borderId="34" xfId="0" applyFont="1" applyFill="1" applyBorder="1" applyAlignment="1">
      <alignment horizontal="right" vertical="center"/>
    </xf>
    <xf numFmtId="0" fontId="18" fillId="0" borderId="37" xfId="0" applyFont="1" applyFill="1" applyBorder="1" applyAlignment="1">
      <alignment horizontal="right" vertical="center"/>
    </xf>
    <xf numFmtId="0" fontId="18" fillId="0" borderId="38" xfId="0" applyFont="1" applyFill="1" applyBorder="1" applyAlignment="1">
      <alignment horizontal="right" vertical="center"/>
    </xf>
    <xf numFmtId="0" fontId="17" fillId="0" borderId="30" xfId="0" applyFont="1" applyFill="1" applyBorder="1" applyAlignment="1">
      <alignment vertical="center"/>
    </xf>
    <xf numFmtId="0" fontId="17" fillId="0" borderId="40" xfId="0" applyFont="1" applyFill="1" applyBorder="1" applyAlignment="1">
      <alignment vertical="center"/>
    </xf>
    <xf numFmtId="0" fontId="17" fillId="0" borderId="41" xfId="0" applyFont="1" applyFill="1" applyBorder="1" applyAlignment="1">
      <alignment vertical="center"/>
    </xf>
    <xf numFmtId="0" fontId="4" fillId="0" borderId="0" xfId="0" applyFont="1" applyAlignment="1" applyProtection="1">
      <alignment horizontal="center"/>
    </xf>
    <xf numFmtId="0" fontId="0" fillId="0" borderId="0" xfId="0" applyAlignment="1" applyProtection="1">
      <alignment horizontal="right"/>
    </xf>
    <xf numFmtId="0" fontId="9" fillId="0" borderId="45" xfId="0" applyFont="1" applyFill="1" applyBorder="1" applyAlignment="1" applyProtection="1">
      <alignment horizontal="left" vertical="center"/>
      <protection locked="0"/>
    </xf>
    <xf numFmtId="0" fontId="13" fillId="0" borderId="8" xfId="0" applyFont="1" applyBorder="1" applyAlignment="1" applyProtection="1">
      <alignment horizontal="center" shrinkToFit="1"/>
    </xf>
  </cellXfs>
  <cellStyles count="3">
    <cellStyle name="Обычный" xfId="0" builtinId="0"/>
    <cellStyle name="Обычный 2" xfId="1"/>
    <cellStyle name="Финансовый" xfId="2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51"/>
  <sheetViews>
    <sheetView tabSelected="1" topLeftCell="A28" workbookViewId="0">
      <selection activeCell="C45" sqref="C45"/>
    </sheetView>
  </sheetViews>
  <sheetFormatPr defaultRowHeight="12.75" x14ac:dyDescent="0.35"/>
  <cols>
    <col min="2" max="2" width="22" customWidth="1"/>
    <col min="3" max="3" width="14.86328125" customWidth="1"/>
    <col min="4" max="5" width="9.86328125" customWidth="1"/>
    <col min="6" max="6" width="11.1328125" customWidth="1"/>
    <col min="7" max="7" width="17.53125" customWidth="1"/>
  </cols>
  <sheetData>
    <row r="1" spans="1:7" ht="20.65" x14ac:dyDescent="0.6">
      <c r="A1" s="78" t="s">
        <v>30</v>
      </c>
      <c r="B1" s="78"/>
      <c r="C1" s="78"/>
      <c r="D1" s="78"/>
      <c r="E1" s="78"/>
      <c r="F1" s="78"/>
      <c r="G1" s="78"/>
    </row>
    <row r="2" spans="1:7" ht="17.649999999999999" x14ac:dyDescent="0.5">
      <c r="A2" s="32" t="s">
        <v>4</v>
      </c>
      <c r="B2" s="32"/>
      <c r="C2" s="79" t="s">
        <v>39</v>
      </c>
      <c r="D2" s="79"/>
      <c r="E2" s="79"/>
      <c r="F2" s="79"/>
      <c r="G2" s="79"/>
    </row>
    <row r="3" spans="1:7" ht="9.75" customHeight="1" x14ac:dyDescent="0.35">
      <c r="A3" s="32"/>
      <c r="B3" s="32"/>
      <c r="C3" s="32"/>
      <c r="D3" s="32"/>
      <c r="E3" s="32"/>
      <c r="F3" s="32"/>
      <c r="G3" s="32"/>
    </row>
    <row r="4" spans="1:7" x14ac:dyDescent="0.35">
      <c r="A4" s="46" t="s">
        <v>5</v>
      </c>
      <c r="B4" s="7"/>
      <c r="C4" s="43"/>
      <c r="D4" s="43"/>
      <c r="E4" s="32"/>
      <c r="F4" s="40" t="s">
        <v>6</v>
      </c>
      <c r="G4" s="6">
        <v>44083</v>
      </c>
    </row>
    <row r="5" spans="1:7" ht="13.15" thickBot="1" x14ac:dyDescent="0.4">
      <c r="A5" s="32"/>
      <c r="B5" s="43"/>
      <c r="C5" s="43"/>
      <c r="D5" s="43"/>
      <c r="E5" s="32"/>
      <c r="F5" s="40"/>
      <c r="G5" s="43"/>
    </row>
    <row r="6" spans="1:7" ht="13.5" thickBot="1" x14ac:dyDescent="0.45">
      <c r="A6" s="72" t="s">
        <v>7</v>
      </c>
      <c r="B6" s="73"/>
      <c r="C6" s="38">
        <f>E6*26</f>
        <v>0</v>
      </c>
      <c r="D6" s="39"/>
      <c r="E6" s="16"/>
      <c r="F6" s="74" t="s">
        <v>36</v>
      </c>
      <c r="G6" s="75"/>
    </row>
    <row r="7" spans="1:7" ht="13.5" thickBot="1" x14ac:dyDescent="0.45">
      <c r="A7" s="72" t="s">
        <v>8</v>
      </c>
      <c r="B7" s="73"/>
      <c r="C7" s="38">
        <f>E7*26</f>
        <v>0</v>
      </c>
      <c r="D7" s="39"/>
      <c r="E7" s="16"/>
      <c r="F7" s="74"/>
      <c r="G7" s="75"/>
    </row>
    <row r="8" spans="1:7" ht="6" customHeight="1" x14ac:dyDescent="0.35">
      <c r="A8" s="40"/>
      <c r="B8" s="40"/>
      <c r="C8" s="32"/>
      <c r="D8" s="32"/>
      <c r="E8" s="32"/>
      <c r="F8" s="40"/>
      <c r="G8" s="43"/>
    </row>
    <row r="9" spans="1:7" ht="6" customHeight="1" thickBot="1" x14ac:dyDescent="0.45">
      <c r="A9" s="40"/>
      <c r="B9" s="41"/>
      <c r="C9" s="42"/>
      <c r="D9" s="43"/>
      <c r="E9" s="45"/>
      <c r="F9" s="40"/>
      <c r="G9" s="43"/>
    </row>
    <row r="10" spans="1:7" ht="13.5" thickBot="1" x14ac:dyDescent="0.45">
      <c r="A10" s="88" t="s">
        <v>22</v>
      </c>
      <c r="B10" s="88"/>
      <c r="C10" s="44">
        <f>C6</f>
        <v>0</v>
      </c>
      <c r="D10" s="43"/>
      <c r="E10" s="45"/>
      <c r="F10" s="40"/>
      <c r="G10" s="43"/>
    </row>
    <row r="11" spans="1:7" ht="13.5" thickBot="1" x14ac:dyDescent="0.45">
      <c r="A11" s="88" t="s">
        <v>23</v>
      </c>
      <c r="B11" s="88"/>
      <c r="C11" s="44">
        <f>C6+C7</f>
        <v>0</v>
      </c>
      <c r="D11" s="43"/>
      <c r="E11" s="45"/>
      <c r="F11" s="40"/>
      <c r="G11" s="43"/>
    </row>
    <row r="12" spans="1:7" ht="13.15" thickBot="1" x14ac:dyDescent="0.4">
      <c r="A12" s="32"/>
      <c r="B12" s="32"/>
      <c r="C12" s="32"/>
      <c r="D12" s="32"/>
      <c r="E12" s="32"/>
      <c r="F12" s="32"/>
      <c r="G12" s="32"/>
    </row>
    <row r="13" spans="1:7" s="1" customFormat="1" ht="13.5" x14ac:dyDescent="0.35">
      <c r="A13" s="80" t="s">
        <v>0</v>
      </c>
      <c r="B13" s="81"/>
      <c r="C13" s="84" t="s">
        <v>1</v>
      </c>
      <c r="D13" s="86" t="s">
        <v>31</v>
      </c>
      <c r="E13" s="86"/>
      <c r="F13" s="8" t="s">
        <v>9</v>
      </c>
      <c r="G13" s="93" t="s">
        <v>3</v>
      </c>
    </row>
    <row r="14" spans="1:7" s="1" customFormat="1" ht="13.9" thickBot="1" x14ac:dyDescent="0.4">
      <c r="A14" s="82"/>
      <c r="B14" s="83"/>
      <c r="C14" s="85"/>
      <c r="D14" s="87"/>
      <c r="E14" s="87"/>
      <c r="F14" s="9" t="s">
        <v>10</v>
      </c>
      <c r="G14" s="94"/>
    </row>
    <row r="15" spans="1:7" ht="18.75" customHeight="1" x14ac:dyDescent="0.35">
      <c r="A15" s="91"/>
      <c r="B15" s="92"/>
      <c r="C15" s="10"/>
      <c r="D15" s="11"/>
      <c r="E15" s="11"/>
      <c r="F15" s="53">
        <f>(D15*26)</f>
        <v>0</v>
      </c>
      <c r="G15" s="17"/>
    </row>
    <row r="16" spans="1:7" ht="18.75" customHeight="1" x14ac:dyDescent="0.35">
      <c r="A16" s="89"/>
      <c r="B16" s="90"/>
      <c r="C16" s="12"/>
      <c r="D16" s="13"/>
      <c r="E16" s="13"/>
      <c r="F16" s="18">
        <f t="shared" ref="F16:F41" si="0">(D16*26)</f>
        <v>0</v>
      </c>
      <c r="G16" s="19"/>
    </row>
    <row r="17" spans="1:7" ht="18.75" customHeight="1" x14ac:dyDescent="0.35">
      <c r="A17" s="89"/>
      <c r="B17" s="90"/>
      <c r="C17" s="12"/>
      <c r="D17" s="13"/>
      <c r="E17" s="13"/>
      <c r="F17" s="18">
        <f t="shared" si="0"/>
        <v>0</v>
      </c>
      <c r="G17" s="19"/>
    </row>
    <row r="18" spans="1:7" ht="18.75" customHeight="1" x14ac:dyDescent="0.35">
      <c r="A18" s="89"/>
      <c r="B18" s="90"/>
      <c r="C18" s="12"/>
      <c r="D18" s="13"/>
      <c r="E18" s="13"/>
      <c r="F18" s="18">
        <f t="shared" si="0"/>
        <v>0</v>
      </c>
      <c r="G18" s="19"/>
    </row>
    <row r="19" spans="1:7" ht="18.75" customHeight="1" x14ac:dyDescent="0.35">
      <c r="A19" s="89"/>
      <c r="B19" s="90"/>
      <c r="C19" s="12"/>
      <c r="D19" s="13"/>
      <c r="E19" s="13"/>
      <c r="F19" s="18">
        <f t="shared" si="0"/>
        <v>0</v>
      </c>
      <c r="G19" s="19"/>
    </row>
    <row r="20" spans="1:7" ht="18.75" customHeight="1" x14ac:dyDescent="0.35">
      <c r="A20" s="89"/>
      <c r="B20" s="90"/>
      <c r="C20" s="12"/>
      <c r="D20" s="13"/>
      <c r="E20" s="13"/>
      <c r="F20" s="18">
        <f t="shared" si="0"/>
        <v>0</v>
      </c>
      <c r="G20" s="19"/>
    </row>
    <row r="21" spans="1:7" ht="18.75" customHeight="1" x14ac:dyDescent="0.35">
      <c r="A21" s="89"/>
      <c r="B21" s="90"/>
      <c r="C21" s="12"/>
      <c r="D21" s="13"/>
      <c r="E21" s="13"/>
      <c r="F21" s="18">
        <f t="shared" si="0"/>
        <v>0</v>
      </c>
      <c r="G21" s="19"/>
    </row>
    <row r="22" spans="1:7" ht="18.75" customHeight="1" x14ac:dyDescent="0.35">
      <c r="A22" s="89"/>
      <c r="B22" s="90"/>
      <c r="C22" s="12"/>
      <c r="D22" s="13"/>
      <c r="E22" s="13"/>
      <c r="F22" s="18">
        <f t="shared" si="0"/>
        <v>0</v>
      </c>
      <c r="G22" s="19"/>
    </row>
    <row r="23" spans="1:7" ht="18.75" customHeight="1" x14ac:dyDescent="0.35">
      <c r="A23" s="89"/>
      <c r="B23" s="90"/>
      <c r="C23" s="12"/>
      <c r="D23" s="13"/>
      <c r="E23" s="13"/>
      <c r="F23" s="18">
        <f t="shared" si="0"/>
        <v>0</v>
      </c>
      <c r="G23" s="19"/>
    </row>
    <row r="24" spans="1:7" ht="18.75" customHeight="1" x14ac:dyDescent="0.35">
      <c r="A24" s="89"/>
      <c r="B24" s="90"/>
      <c r="C24" s="12"/>
      <c r="D24" s="13"/>
      <c r="E24" s="13"/>
      <c r="F24" s="18">
        <f t="shared" si="0"/>
        <v>0</v>
      </c>
      <c r="G24" s="19"/>
    </row>
    <row r="25" spans="1:7" ht="18.75" customHeight="1" x14ac:dyDescent="0.35">
      <c r="A25" s="89"/>
      <c r="B25" s="90"/>
      <c r="C25" s="12"/>
      <c r="D25" s="13"/>
      <c r="E25" s="13"/>
      <c r="F25" s="18">
        <f t="shared" si="0"/>
        <v>0</v>
      </c>
      <c r="G25" s="19"/>
    </row>
    <row r="26" spans="1:7" ht="18.75" customHeight="1" x14ac:dyDescent="0.35">
      <c r="A26" s="89"/>
      <c r="B26" s="90"/>
      <c r="C26" s="12"/>
      <c r="D26" s="13"/>
      <c r="E26" s="13"/>
      <c r="F26" s="18">
        <f t="shared" si="0"/>
        <v>0</v>
      </c>
      <c r="G26" s="19"/>
    </row>
    <row r="27" spans="1:7" ht="18.75" customHeight="1" x14ac:dyDescent="0.35">
      <c r="A27" s="89"/>
      <c r="B27" s="90"/>
      <c r="C27" s="12"/>
      <c r="D27" s="13"/>
      <c r="E27" s="13"/>
      <c r="F27" s="18">
        <f t="shared" si="0"/>
        <v>0</v>
      </c>
      <c r="G27" s="19"/>
    </row>
    <row r="28" spans="1:7" ht="18.75" customHeight="1" x14ac:dyDescent="0.35">
      <c r="A28" s="89"/>
      <c r="B28" s="90"/>
      <c r="C28" s="12"/>
      <c r="D28" s="13"/>
      <c r="E28" s="13"/>
      <c r="F28" s="18">
        <f t="shared" si="0"/>
        <v>0</v>
      </c>
      <c r="G28" s="19"/>
    </row>
    <row r="29" spans="1:7" ht="18.75" customHeight="1" x14ac:dyDescent="0.35">
      <c r="A29" s="89"/>
      <c r="B29" s="90"/>
      <c r="C29" s="12"/>
      <c r="D29" s="13"/>
      <c r="E29" s="13"/>
      <c r="F29" s="18">
        <f t="shared" si="0"/>
        <v>0</v>
      </c>
      <c r="G29" s="19"/>
    </row>
    <row r="30" spans="1:7" ht="18.75" customHeight="1" x14ac:dyDescent="0.35">
      <c r="A30" s="89"/>
      <c r="B30" s="90"/>
      <c r="C30" s="12"/>
      <c r="D30" s="13"/>
      <c r="E30" s="13"/>
      <c r="F30" s="18">
        <f t="shared" si="0"/>
        <v>0</v>
      </c>
      <c r="G30" s="19"/>
    </row>
    <row r="31" spans="1:7" ht="18.75" customHeight="1" x14ac:dyDescent="0.35">
      <c r="A31" s="89"/>
      <c r="B31" s="90"/>
      <c r="C31" s="12"/>
      <c r="D31" s="13"/>
      <c r="E31" s="13"/>
      <c r="F31" s="18">
        <f t="shared" si="0"/>
        <v>0</v>
      </c>
      <c r="G31" s="19"/>
    </row>
    <row r="32" spans="1:7" ht="18.75" customHeight="1" x14ac:dyDescent="0.35">
      <c r="A32" s="89"/>
      <c r="B32" s="90"/>
      <c r="C32" s="12"/>
      <c r="D32" s="13"/>
      <c r="E32" s="13"/>
      <c r="F32" s="18">
        <f t="shared" si="0"/>
        <v>0</v>
      </c>
      <c r="G32" s="19"/>
    </row>
    <row r="33" spans="1:7" ht="18.75" customHeight="1" x14ac:dyDescent="0.35">
      <c r="A33" s="89"/>
      <c r="B33" s="90"/>
      <c r="C33" s="12"/>
      <c r="D33" s="13"/>
      <c r="E33" s="13"/>
      <c r="F33" s="18">
        <f t="shared" si="0"/>
        <v>0</v>
      </c>
      <c r="G33" s="19"/>
    </row>
    <row r="34" spans="1:7" ht="18.75" customHeight="1" x14ac:dyDescent="0.35">
      <c r="A34" s="89"/>
      <c r="B34" s="90"/>
      <c r="C34" s="12"/>
      <c r="D34" s="13"/>
      <c r="E34" s="13"/>
      <c r="F34" s="54">
        <f t="shared" si="0"/>
        <v>0</v>
      </c>
      <c r="G34" s="19"/>
    </row>
    <row r="35" spans="1:7" ht="18.75" customHeight="1" x14ac:dyDescent="0.35">
      <c r="A35" s="89"/>
      <c r="B35" s="90"/>
      <c r="C35" s="12"/>
      <c r="D35" s="13"/>
      <c r="E35" s="13"/>
      <c r="F35" s="54">
        <f t="shared" si="0"/>
        <v>0</v>
      </c>
      <c r="G35" s="19"/>
    </row>
    <row r="36" spans="1:7" ht="18.75" customHeight="1" x14ac:dyDescent="0.35">
      <c r="A36" s="89"/>
      <c r="B36" s="90"/>
      <c r="C36" s="12"/>
      <c r="D36" s="13"/>
      <c r="E36" s="13"/>
      <c r="F36" s="54">
        <f t="shared" si="0"/>
        <v>0</v>
      </c>
      <c r="G36" s="19"/>
    </row>
    <row r="37" spans="1:7" ht="18.75" customHeight="1" x14ac:dyDescent="0.35">
      <c r="A37" s="89"/>
      <c r="B37" s="90"/>
      <c r="C37" s="12"/>
      <c r="D37" s="13"/>
      <c r="E37" s="13"/>
      <c r="F37" s="54">
        <f t="shared" si="0"/>
        <v>0</v>
      </c>
      <c r="G37" s="19"/>
    </row>
    <row r="38" spans="1:7" ht="18.75" customHeight="1" x14ac:dyDescent="0.35">
      <c r="A38" s="89"/>
      <c r="B38" s="90"/>
      <c r="C38" s="12"/>
      <c r="D38" s="13"/>
      <c r="E38" s="13"/>
      <c r="F38" s="54">
        <f t="shared" si="0"/>
        <v>0</v>
      </c>
      <c r="G38" s="19"/>
    </row>
    <row r="39" spans="1:7" ht="18.75" customHeight="1" x14ac:dyDescent="0.35">
      <c r="A39" s="89"/>
      <c r="B39" s="90"/>
      <c r="C39" s="12"/>
      <c r="D39" s="13"/>
      <c r="E39" s="13"/>
      <c r="F39" s="54">
        <f t="shared" si="0"/>
        <v>0</v>
      </c>
      <c r="G39" s="19"/>
    </row>
    <row r="40" spans="1:7" ht="18.75" customHeight="1" x14ac:dyDescent="0.35">
      <c r="A40" s="89"/>
      <c r="B40" s="90"/>
      <c r="C40" s="12"/>
      <c r="D40" s="13"/>
      <c r="E40" s="13"/>
      <c r="F40" s="54">
        <f t="shared" si="0"/>
        <v>0</v>
      </c>
      <c r="G40" s="19"/>
    </row>
    <row r="41" spans="1:7" ht="18.75" customHeight="1" thickBot="1" x14ac:dyDescent="0.4">
      <c r="A41" s="76"/>
      <c r="B41" s="77"/>
      <c r="C41" s="51"/>
      <c r="D41" s="14"/>
      <c r="E41" s="49"/>
      <c r="F41" s="52">
        <f t="shared" si="0"/>
        <v>0</v>
      </c>
      <c r="G41" s="50"/>
    </row>
    <row r="42" spans="1:7" ht="21" customHeight="1" thickBot="1" x14ac:dyDescent="0.45">
      <c r="A42" s="98"/>
      <c r="B42" s="124"/>
      <c r="C42" s="125" t="s">
        <v>2</v>
      </c>
      <c r="D42" s="21">
        <f>SUM(D15:D40)</f>
        <v>0</v>
      </c>
      <c r="E42" s="20">
        <f>SUM(E15:E40)</f>
        <v>0</v>
      </c>
      <c r="F42" s="55">
        <f>SUM(F15:F41)</f>
        <v>0</v>
      </c>
      <c r="G42" s="20"/>
    </row>
    <row r="43" spans="1:7" ht="11.25" customHeight="1" thickBot="1" x14ac:dyDescent="0.45">
      <c r="A43" s="99"/>
      <c r="B43" s="99"/>
      <c r="C43" s="23"/>
      <c r="D43" s="24"/>
      <c r="E43" s="24"/>
      <c r="F43" s="25"/>
      <c r="G43" s="24"/>
    </row>
    <row r="44" spans="1:7" ht="21" customHeight="1" thickBot="1" x14ac:dyDescent="0.4">
      <c r="A44" s="22"/>
      <c r="B44" s="22"/>
      <c r="C44" s="26"/>
      <c r="D44" s="27"/>
      <c r="E44" s="28" t="s">
        <v>12</v>
      </c>
      <c r="F44" s="29" t="s">
        <v>13</v>
      </c>
      <c r="G44" s="30">
        <f>(C10+C11)-F42</f>
        <v>0</v>
      </c>
    </row>
    <row r="45" spans="1:7" ht="9" customHeight="1" x14ac:dyDescent="0.35">
      <c r="A45" s="22"/>
      <c r="B45" s="22"/>
      <c r="C45" s="32"/>
      <c r="D45" s="33"/>
      <c r="E45" s="34"/>
      <c r="F45" s="35"/>
      <c r="G45" s="36"/>
    </row>
    <row r="46" spans="1:7" x14ac:dyDescent="0.35">
      <c r="A46" s="31"/>
      <c r="B46" s="31"/>
      <c r="C46" s="32"/>
      <c r="D46" s="32"/>
      <c r="E46" s="32"/>
      <c r="F46" s="32"/>
      <c r="G46" s="32"/>
    </row>
    <row r="47" spans="1:7" x14ac:dyDescent="0.35">
      <c r="A47" s="32"/>
      <c r="B47" s="32"/>
      <c r="C47" s="32"/>
      <c r="D47" s="32"/>
      <c r="E47" s="32"/>
      <c r="F47" s="32"/>
      <c r="G47" s="32"/>
    </row>
    <row r="48" spans="1:7" s="2" customFormat="1" ht="11.25" customHeight="1" x14ac:dyDescent="0.35">
      <c r="A48" s="32"/>
      <c r="B48" s="32"/>
      <c r="C48" s="37"/>
      <c r="D48" s="71"/>
      <c r="E48" s="71"/>
      <c r="F48" s="37"/>
      <c r="G48" s="37"/>
    </row>
    <row r="49" spans="1:7" s="2" customFormat="1" ht="11.25" customHeight="1" x14ac:dyDescent="0.3">
      <c r="A49" s="37" t="s">
        <v>14</v>
      </c>
      <c r="B49" s="37"/>
      <c r="D49" s="96" t="s">
        <v>11</v>
      </c>
      <c r="E49" s="96"/>
      <c r="F49" s="97" t="s">
        <v>38</v>
      </c>
      <c r="G49" s="97"/>
    </row>
    <row r="50" spans="1:7" s="2" customFormat="1" ht="12.75" customHeight="1" x14ac:dyDescent="0.3">
      <c r="A50" s="3" t="s">
        <v>37</v>
      </c>
      <c r="D50" s="95"/>
      <c r="E50" s="95"/>
      <c r="F50" s="47"/>
      <c r="G50" s="47"/>
    </row>
    <row r="51" spans="1:7" x14ac:dyDescent="0.35">
      <c r="A51" s="3" t="s">
        <v>15</v>
      </c>
      <c r="B51" s="2"/>
    </row>
  </sheetData>
  <sheetProtection selectLockedCells="1"/>
  <mergeCells count="44">
    <mergeCell ref="D50:E50"/>
    <mergeCell ref="D49:E49"/>
    <mergeCell ref="F49:G49"/>
    <mergeCell ref="A36:B36"/>
    <mergeCell ref="A42:B42"/>
    <mergeCell ref="A43:B43"/>
    <mergeCell ref="A37:B37"/>
    <mergeCell ref="A38:B38"/>
    <mergeCell ref="A39:B39"/>
    <mergeCell ref="A40:B40"/>
    <mergeCell ref="A31:B31"/>
    <mergeCell ref="A32:B32"/>
    <mergeCell ref="A33:B33"/>
    <mergeCell ref="A18:B18"/>
    <mergeCell ref="A19:B19"/>
    <mergeCell ref="A20:B20"/>
    <mergeCell ref="A21:B21"/>
    <mergeCell ref="G13:G14"/>
    <mergeCell ref="A34:B34"/>
    <mergeCell ref="A35:B35"/>
    <mergeCell ref="A24:B24"/>
    <mergeCell ref="A25:B25"/>
    <mergeCell ref="A26:B26"/>
    <mergeCell ref="A27:B27"/>
    <mergeCell ref="A28:B28"/>
    <mergeCell ref="A29:B29"/>
    <mergeCell ref="A30:B30"/>
    <mergeCell ref="A11:B11"/>
    <mergeCell ref="A22:B22"/>
    <mergeCell ref="A23:B23"/>
    <mergeCell ref="A15:B15"/>
    <mergeCell ref="A16:B16"/>
    <mergeCell ref="A7:B7"/>
    <mergeCell ref="A17:B17"/>
    <mergeCell ref="A6:B6"/>
    <mergeCell ref="F6:G7"/>
    <mergeCell ref="A41:B41"/>
    <mergeCell ref="A1:G1"/>
    <mergeCell ref="C2:G2"/>
    <mergeCell ref="A13:B14"/>
    <mergeCell ref="C13:C14"/>
    <mergeCell ref="D13:D14"/>
    <mergeCell ref="E13:E14"/>
    <mergeCell ref="A10:B10"/>
  </mergeCells>
  <pageMargins left="0.70866141732283472" right="0.19685039370078741" top="0.19685039370078741" bottom="0.15748031496062992" header="0.15748031496062992" footer="0.15748031496062992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workbookViewId="0">
      <selection activeCell="F24" sqref="F24"/>
    </sheetView>
  </sheetViews>
  <sheetFormatPr defaultRowHeight="12.75" x14ac:dyDescent="0.35"/>
  <cols>
    <col min="2" max="2" width="10.1328125" bestFit="1" customWidth="1"/>
    <col min="4" max="4" width="11.46484375" customWidth="1"/>
    <col min="5" max="5" width="16.33203125" customWidth="1"/>
    <col min="6" max="6" width="14.46484375" customWidth="1"/>
    <col min="7" max="7" width="16.1328125" customWidth="1"/>
  </cols>
  <sheetData>
    <row r="1" spans="1:7" x14ac:dyDescent="0.35">
      <c r="A1" t="s">
        <v>16</v>
      </c>
    </row>
    <row r="2" spans="1:7" x14ac:dyDescent="0.35">
      <c r="A2" t="s">
        <v>17</v>
      </c>
      <c r="B2" s="56">
        <v>44083</v>
      </c>
      <c r="G2" s="4"/>
    </row>
    <row r="6" spans="1:7" ht="24" customHeight="1" x14ac:dyDescent="0.35">
      <c r="A6" s="100" t="s">
        <v>35</v>
      </c>
      <c r="B6" s="100"/>
      <c r="C6" s="100"/>
      <c r="D6" s="100"/>
      <c r="E6" s="100"/>
      <c r="F6" s="100"/>
      <c r="G6" s="100"/>
    </row>
    <row r="7" spans="1:7" ht="15.75" x14ac:dyDescent="0.5">
      <c r="D7" s="5"/>
    </row>
    <row r="8" spans="1:7" ht="13.15" thickBot="1" x14ac:dyDescent="0.4"/>
    <row r="9" spans="1:7" ht="16.149999999999999" thickBot="1" x14ac:dyDescent="0.4">
      <c r="A9" s="15"/>
      <c r="B9" s="15"/>
      <c r="C9" s="15"/>
      <c r="D9" s="15"/>
      <c r="E9" s="59" t="s">
        <v>18</v>
      </c>
      <c r="F9" s="57" t="s">
        <v>19</v>
      </c>
      <c r="G9" s="57" t="s">
        <v>20</v>
      </c>
    </row>
    <row r="10" spans="1:7" ht="16.149999999999999" thickBot="1" x14ac:dyDescent="0.4">
      <c r="A10" s="101" t="s">
        <v>25</v>
      </c>
      <c r="B10" s="102"/>
      <c r="C10" s="102"/>
      <c r="D10" s="103"/>
      <c r="E10" s="60">
        <f>B2-1</f>
        <v>44082</v>
      </c>
      <c r="F10" s="61">
        <f>'Phone Cards Crew'!E6</f>
        <v>0</v>
      </c>
      <c r="G10" s="66">
        <f>F10*26</f>
        <v>0</v>
      </c>
    </row>
    <row r="11" spans="1:7" ht="16.149999999999999" thickBot="1" x14ac:dyDescent="0.4">
      <c r="A11" s="107" t="s">
        <v>26</v>
      </c>
      <c r="B11" s="108"/>
      <c r="C11" s="108"/>
      <c r="D11" s="108"/>
      <c r="E11" s="108"/>
      <c r="F11" s="109"/>
      <c r="G11" s="68">
        <f>SUM(G10:G10)</f>
        <v>0</v>
      </c>
    </row>
    <row r="12" spans="1:7" ht="16.149999999999999" thickBot="1" x14ac:dyDescent="0.4">
      <c r="A12" s="104" t="s">
        <v>32</v>
      </c>
      <c r="B12" s="105"/>
      <c r="C12" s="105"/>
      <c r="D12" s="106"/>
      <c r="E12" s="64"/>
      <c r="F12" s="61"/>
      <c r="G12" s="67">
        <f>F12*26</f>
        <v>0</v>
      </c>
    </row>
    <row r="13" spans="1:7" ht="16.149999999999999" thickBot="1" x14ac:dyDescent="0.4">
      <c r="A13" s="107" t="s">
        <v>27</v>
      </c>
      <c r="B13" s="108"/>
      <c r="C13" s="108"/>
      <c r="D13" s="108"/>
      <c r="E13" s="108"/>
      <c r="F13" s="109"/>
      <c r="G13" s="68">
        <f>SUM(G12:G12)</f>
        <v>0</v>
      </c>
    </row>
    <row r="14" spans="1:7" ht="16.149999999999999" thickBot="1" x14ac:dyDescent="0.4">
      <c r="A14" s="110" t="s">
        <v>33</v>
      </c>
      <c r="B14" s="111"/>
      <c r="C14" s="111"/>
      <c r="D14" s="111"/>
      <c r="E14" s="112"/>
      <c r="F14" s="61"/>
      <c r="G14" s="68">
        <f>F14*26</f>
        <v>0</v>
      </c>
    </row>
    <row r="15" spans="1:7" ht="16.149999999999999" thickBot="1" x14ac:dyDescent="0.4">
      <c r="A15" s="119" t="s">
        <v>21</v>
      </c>
      <c r="B15" s="120"/>
      <c r="C15" s="120"/>
      <c r="D15" s="120"/>
      <c r="E15" s="121"/>
      <c r="F15" s="65"/>
      <c r="G15" s="58"/>
    </row>
    <row r="16" spans="1:7" ht="16.149999999999999" thickBot="1" x14ac:dyDescent="0.4">
      <c r="A16" s="116" t="s">
        <v>28</v>
      </c>
      <c r="B16" s="117"/>
      <c r="C16" s="117"/>
      <c r="D16" s="117"/>
      <c r="E16" s="117"/>
      <c r="F16" s="118"/>
      <c r="G16" s="68">
        <f>SUM(G14:G15)</f>
        <v>0</v>
      </c>
    </row>
    <row r="17" spans="1:7" ht="16.149999999999999" thickBot="1" x14ac:dyDescent="0.4">
      <c r="A17" s="113" t="s">
        <v>34</v>
      </c>
      <c r="B17" s="114"/>
      <c r="C17" s="114"/>
      <c r="D17" s="114"/>
      <c r="E17" s="62">
        <f>'Phone Cards Crew'!G4</f>
        <v>44083</v>
      </c>
      <c r="F17" s="63">
        <f>F10+F12-F14</f>
        <v>0</v>
      </c>
      <c r="G17" s="69">
        <f>F17*26</f>
        <v>0</v>
      </c>
    </row>
    <row r="18" spans="1:7" ht="15.75" customHeight="1" thickBot="1" x14ac:dyDescent="0.4">
      <c r="A18" s="15"/>
      <c r="B18" s="15"/>
      <c r="C18" s="15"/>
      <c r="D18" s="15"/>
      <c r="E18" s="115" t="s">
        <v>24</v>
      </c>
      <c r="F18" s="115"/>
      <c r="G18" s="70">
        <f>G17</f>
        <v>0</v>
      </c>
    </row>
    <row r="20" spans="1:7" x14ac:dyDescent="0.35">
      <c r="A20" s="32"/>
      <c r="B20" s="32"/>
      <c r="C20" s="32"/>
      <c r="D20" s="32"/>
      <c r="E20" s="32"/>
      <c r="F20" s="32"/>
      <c r="G20" s="32"/>
    </row>
    <row r="21" spans="1:7" x14ac:dyDescent="0.35">
      <c r="A21" s="32"/>
      <c r="B21" s="32"/>
      <c r="C21" s="32"/>
      <c r="D21" s="32"/>
      <c r="E21" s="32"/>
      <c r="F21" s="32"/>
      <c r="G21" s="32"/>
    </row>
    <row r="22" spans="1:7" x14ac:dyDescent="0.35">
      <c r="A22" s="32"/>
      <c r="B22" s="32"/>
      <c r="C22" s="32"/>
      <c r="D22" s="32"/>
      <c r="E22" s="32"/>
      <c r="F22" s="32"/>
      <c r="G22" s="32"/>
    </row>
    <row r="23" spans="1:7" x14ac:dyDescent="0.35">
      <c r="A23" s="32"/>
      <c r="B23" s="32"/>
      <c r="C23" s="32"/>
      <c r="D23" s="32"/>
      <c r="E23" s="32"/>
      <c r="F23" s="32"/>
      <c r="G23" s="32"/>
    </row>
    <row r="24" spans="1:7" ht="13.15" x14ac:dyDescent="0.4">
      <c r="A24" s="123" t="s">
        <v>29</v>
      </c>
      <c r="B24" s="123"/>
      <c r="C24" s="122" t="str">
        <f>'Phone Cards Crew'!C2:G2</f>
        <v>M/T  SUNY</v>
      </c>
      <c r="D24" s="122"/>
      <c r="E24" s="48"/>
      <c r="F24" s="48" t="str">
        <f>'Phone Cards Crew'!F49:G49</f>
        <v>ппппппп</v>
      </c>
      <c r="G24" s="32"/>
    </row>
    <row r="25" spans="1:7" x14ac:dyDescent="0.35">
      <c r="A25" s="32"/>
      <c r="B25" s="32"/>
      <c r="C25" s="32"/>
      <c r="D25" s="32"/>
      <c r="E25" s="32"/>
      <c r="F25" s="32"/>
      <c r="G25" s="32"/>
    </row>
    <row r="26" spans="1:7" x14ac:dyDescent="0.35">
      <c r="A26" s="32"/>
      <c r="B26" s="32"/>
      <c r="C26" s="32"/>
      <c r="D26" s="32"/>
      <c r="E26" s="32"/>
      <c r="F26" s="32"/>
      <c r="G26" s="32"/>
    </row>
  </sheetData>
  <sheetProtection selectLockedCells="1"/>
  <mergeCells count="12">
    <mergeCell ref="A17:D17"/>
    <mergeCell ref="E18:F18"/>
    <mergeCell ref="A16:F16"/>
    <mergeCell ref="A15:E15"/>
    <mergeCell ref="C24:D24"/>
    <mergeCell ref="A24:B24"/>
    <mergeCell ref="A6:G6"/>
    <mergeCell ref="A10:D10"/>
    <mergeCell ref="A12:D12"/>
    <mergeCell ref="A11:F11"/>
    <mergeCell ref="A13:F13"/>
    <mergeCell ref="A14:E14"/>
  </mergeCells>
  <pageMargins left="0.84" right="0.34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Phone Cards Crew</vt:lpstr>
      <vt:lpstr>Phone Cards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Natalia Naydenko</dc:creator>
  <cp:lastModifiedBy>pavel</cp:lastModifiedBy>
  <cp:lastPrinted>2013-04-26T03:08:25Z</cp:lastPrinted>
  <dcterms:created xsi:type="dcterms:W3CDTF">2012-09-27T14:06:16Z</dcterms:created>
  <dcterms:modified xsi:type="dcterms:W3CDTF">2026-02-03T21:12:10Z</dcterms:modified>
</cp:coreProperties>
</file>